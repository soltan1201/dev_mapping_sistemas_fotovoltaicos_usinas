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SIL" sheetId="1" r:id="rId4"/>
    <sheet state="visible" name="DADOS COBERTURA PANTANAL" sheetId="2" r:id="rId5"/>
    <sheet state="visible" name="SANKEY" sheetId="3" r:id="rId6"/>
    <sheet state="visible" name="GRAFICO HISTORICO" sheetId="4" r:id="rId7"/>
    <sheet state="visible" name="MANCHETES" sheetId="5" r:id="rId8"/>
    <sheet state="hidden" name="Matriz Cerrado" sheetId="6" r:id="rId9"/>
  </sheets>
  <definedNames/>
  <calcPr/>
  <extLst>
    <ext uri="GoogleSheetsCustomDataVersion2">
      <go:sheetsCustomData xmlns:go="http://customooxmlschemas.google.com/" r:id="rId10" roundtripDataChecksum="XG0e43avAiwWLz2dgY/qZI1n/40/01MAXTg4GhqQAdU="/>
    </ext>
  </extLst>
</workbook>
</file>

<file path=xl/sharedStrings.xml><?xml version="1.0" encoding="utf-8"?>
<sst xmlns="http://schemas.openxmlformats.org/spreadsheetml/2006/main" count="789" uniqueCount="114">
  <si>
    <t>Area total</t>
  </si>
  <si>
    <t>Area Mha</t>
  </si>
  <si>
    <t>%</t>
  </si>
  <si>
    <t>AMAZONIA</t>
  </si>
  <si>
    <t>CAATINGA</t>
  </si>
  <si>
    <t>CERRADO</t>
  </si>
  <si>
    <t>MATA ATLANTICA</t>
  </si>
  <si>
    <t>PAMPA</t>
  </si>
  <si>
    <t>PANTANAL</t>
  </si>
  <si>
    <t>Total</t>
  </si>
  <si>
    <t>Floresta</t>
  </si>
  <si>
    <t>Para o Grafico Circular da composição do uso da terra</t>
  </si>
  <si>
    <t>Area total (ha)</t>
  </si>
  <si>
    <t>Mha</t>
  </si>
  <si>
    <t>1. Forest</t>
  </si>
  <si>
    <t>1.1. Forest Formation</t>
  </si>
  <si>
    <t>1. Floresta</t>
  </si>
  <si>
    <t>Transições 1985 a 2025</t>
  </si>
  <si>
    <t>1.2. Savanna Formation</t>
  </si>
  <si>
    <t>1.3. Flooded Savanna</t>
  </si>
  <si>
    <t>1.4. Mangrove</t>
  </si>
  <si>
    <t>1.5. Floodable Forest</t>
  </si>
  <si>
    <t>2. Formação Natural não Florestal</t>
  </si>
  <si>
    <t>1.6. Wooded Sandbank Vegetation</t>
  </si>
  <si>
    <t>2. Herbaceous and Shrubby Vegetation</t>
  </si>
  <si>
    <t>Savana</t>
  </si>
  <si>
    <t>Savana Alagável</t>
  </si>
  <si>
    <t>Campestre</t>
  </si>
  <si>
    <t>2.1. Wetland</t>
  </si>
  <si>
    <t>Campo Alagado</t>
  </si>
  <si>
    <t>Agropecuaria</t>
  </si>
  <si>
    <t>Áreas Não Vegetadas</t>
  </si>
  <si>
    <t>Água</t>
  </si>
  <si>
    <t>total 1985</t>
  </si>
  <si>
    <t>2.2. Marisma</t>
  </si>
  <si>
    <t>3. Agropecuária</t>
  </si>
  <si>
    <t>2.3. Grassland Formation</t>
  </si>
  <si>
    <t>2.4. Herbaceous-Shrub Mosaic</t>
  </si>
  <si>
    <t>2.5. Hypersaline Tidal Flat</t>
  </si>
  <si>
    <t>2.6. Rocky Outcrop</t>
  </si>
  <si>
    <t>2.7. Herbaceous Sandbank Vegetation</t>
  </si>
  <si>
    <t>4. Área não Vegetada</t>
  </si>
  <si>
    <t>3. Farming</t>
  </si>
  <si>
    <t>3.1. Pasture</t>
  </si>
  <si>
    <t>3.2. Agriculture</t>
  </si>
  <si>
    <t>3.3. Forest Plantation</t>
  </si>
  <si>
    <t>5. Corpo D'água</t>
  </si>
  <si>
    <t>3.4. Mosaic of Uses</t>
  </si>
  <si>
    <t>4. Non vegetated area</t>
  </si>
  <si>
    <t>4.1. Beach, Dune and Sand Spot</t>
  </si>
  <si>
    <t>4.2. Urban Area</t>
  </si>
  <si>
    <t>4.3. Mining</t>
  </si>
  <si>
    <t>4.4. Photovoltaic Power Plant (beta)</t>
  </si>
  <si>
    <t>4.5. Wind Farm</t>
  </si>
  <si>
    <t>4.6. Other non Vegetated Areas</t>
  </si>
  <si>
    <t>5. Water</t>
  </si>
  <si>
    <t>5.1. River, Lake and Ocean</t>
  </si>
  <si>
    <t>5.2. Aquaculture</t>
  </si>
  <si>
    <t>6. Not Observed</t>
  </si>
  <si>
    <t>Total Geral</t>
  </si>
  <si>
    <t>total 2025</t>
  </si>
  <si>
    <t>aumento agro</t>
  </si>
  <si>
    <t>crescimento agro</t>
  </si>
  <si>
    <t>vegetação nativa convertida em agro</t>
  </si>
  <si>
    <t>vegetação nativa + água convertida em agro</t>
  </si>
  <si>
    <t>vegetação nativa 1985</t>
  </si>
  <si>
    <t>Formação Natural não Florestal</t>
  </si>
  <si>
    <t>Agropecuária</t>
  </si>
  <si>
    <t>Área não Vegetada</t>
  </si>
  <si>
    <t>Corpo D'água</t>
  </si>
  <si>
    <t>Não Observado</t>
  </si>
  <si>
    <t>Perda de áreas naturais entre 1985 e 2025</t>
  </si>
  <si>
    <t>% de perda de áreas naturais</t>
  </si>
  <si>
    <t>Manchetes para Pantanal</t>
  </si>
  <si>
    <t>crescimento da área de pastagem entre 1985 a 2025</t>
  </si>
  <si>
    <t>áreas naturais em 2025</t>
  </si>
  <si>
    <t>(contando água como natural)</t>
  </si>
  <si>
    <t>Perda de Áreas Naturais entre 1985 e 2025 (Vegetação Nativa e Água)</t>
  </si>
  <si>
    <t>-</t>
  </si>
  <si>
    <t/>
  </si>
  <si>
    <t>Expansão da pastagem entre 1985 e 2025</t>
  </si>
  <si>
    <t>Pastagem</t>
  </si>
  <si>
    <t>Formação Campestre (Campo)</t>
  </si>
  <si>
    <t>Formações Florestais</t>
  </si>
  <si>
    <t>Formações Savanicas</t>
  </si>
  <si>
    <t>Florestas Plantadas</t>
  </si>
  <si>
    <t>Cultivo Anual e Perene</t>
  </si>
  <si>
    <t>Cultivo Semi-Perene</t>
  </si>
  <si>
    <t>Mosaico de Cultivos</t>
  </si>
  <si>
    <t>Mosaico de Agricultura ou Pastagem</t>
  </si>
  <si>
    <t>Outros</t>
  </si>
  <si>
    <t>Praias e dunas</t>
  </si>
  <si>
    <t>Agricultura</t>
  </si>
  <si>
    <t>Formações Florestais Naturais</t>
  </si>
  <si>
    <t>Mangue</t>
  </si>
  <si>
    <t>Infraestrutura Urbana</t>
  </si>
  <si>
    <t>Outras áreas não vegetadas</t>
  </si>
  <si>
    <t>Corpos Dágua</t>
  </si>
  <si>
    <t>Não observado</t>
  </si>
  <si>
    <t>Apicum</t>
  </si>
  <si>
    <t>Aquicultura</t>
  </si>
  <si>
    <t>Afloramento Rochoso</t>
  </si>
  <si>
    <t>Mineração</t>
  </si>
  <si>
    <t>Área Úmida Natural não Florestal</t>
  </si>
  <si>
    <t>Outra formação não Florestal</t>
  </si>
  <si>
    <t>Rios, Lagos e Oceanos</t>
  </si>
  <si>
    <t>vegetação nativa + água 1985</t>
  </si>
  <si>
    <t>1. Forest Total</t>
  </si>
  <si>
    <t>2. Herbaceous and Shrubby Vegetation Total</t>
  </si>
  <si>
    <t>7. Not Observed</t>
  </si>
  <si>
    <t>Rótulos de Linha</t>
  </si>
  <si>
    <t>Savana + Savana alagável</t>
  </si>
  <si>
    <t xml:space="preserve">Campo alagado + água </t>
  </si>
  <si>
    <t>EM MILHOES DE HECTARES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</si>
</sst>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_(* #,##0_);_(* \(#,##0\);_(* &quot;-&quot;??_);_(@_)"/>
    <numFmt numFmtId="165" formatCode="_(* #,##0.0_);_(* \(#,##0.0\);_(* &quot;-&quot;??_);_(@_)"/>
    <numFmt numFmtId="166" formatCode="0.0%"/>
    <numFmt numFmtId="167" formatCode="_(* #,##0.000_);_(* \(#,##0.000\);_(* &quot;-&quot;??_);_(@_)"/>
    <numFmt numFmtId="168" formatCode="_-* #,##0.0_-;\-* #,##0.0_-;_-* &quot;-&quot;??_-;_-@"/>
    <numFmt numFmtId="169" formatCode="0.000%"/>
    <numFmt numFmtId="170" formatCode="0.000"/>
    <numFmt numFmtId="171" formatCode="_(* #,##0.00_);_(* \(#,##0.00\);_(* &quot;-&quot;??_);_(@_)"/>
    <numFmt numFmtId="172" formatCode="_-* #,##0.00_-;\-* #,##0.00_-;_-* &quot;-&quot;??_-;_-@"/>
  </numFmts>
  <fonts count="27">
    <font>
      <sz val="12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sz val="11.0"/>
      <color rgb="FF000000"/>
      <name val="Calibri"/>
    </font>
    <font>
      <b/>
      <sz val="20.0"/>
      <color theme="1"/>
      <name val="Calibri"/>
    </font>
    <font>
      <b/>
      <sz val="11.0"/>
      <color theme="1"/>
      <name val="Calibri"/>
    </font>
    <font>
      <b/>
      <sz val="22.0"/>
      <color theme="1"/>
      <name val="Calibri"/>
    </font>
    <font>
      <sz val="22.0"/>
      <color rgb="FFFF0000"/>
      <name val="Calibri"/>
    </font>
    <font/>
    <font>
      <b/>
      <sz val="12.0"/>
      <color rgb="FF0000FF"/>
      <name val="Calibri"/>
    </font>
    <font>
      <b/>
      <sz val="12.0"/>
      <color rgb="FF006100"/>
      <name val="Calibri"/>
    </font>
    <font>
      <b/>
      <sz val="11.0"/>
      <color rgb="FF000000"/>
      <name val="Calibri"/>
    </font>
    <font>
      <sz val="12.0"/>
      <color rgb="FF000000"/>
      <name val="Calibri"/>
    </font>
    <font>
      <color theme="1"/>
      <name val="Calibri"/>
      <scheme val="minor"/>
    </font>
    <font>
      <b/>
      <sz val="18.0"/>
      <color theme="1"/>
      <name val="Calibri"/>
    </font>
    <font>
      <b/>
      <sz val="12.0"/>
      <color rgb="FF000000"/>
      <name val="Calibri"/>
    </font>
    <font>
      <b/>
      <sz val="14.0"/>
      <color theme="1"/>
      <name val="Calibri"/>
    </font>
    <font>
      <b/>
      <sz val="20.0"/>
      <color rgb="FFFF0000"/>
      <name val="Calibri"/>
    </font>
    <font>
      <sz val="12.0"/>
      <color rgb="FF006100"/>
      <name val="Calibri"/>
    </font>
    <font>
      <sz val="12.0"/>
      <color theme="1"/>
      <name val="Arial"/>
    </font>
    <font>
      <b/>
      <sz val="24.0"/>
      <color rgb="FF000000"/>
      <name val="Calibri"/>
    </font>
    <font>
      <sz val="18.0"/>
      <color rgb="FF000000"/>
      <name val="Calibri"/>
    </font>
    <font>
      <b/>
      <sz val="17.0"/>
      <color theme="1"/>
      <name val="Arial"/>
    </font>
    <font>
      <b/>
      <sz val="24.0"/>
      <color theme="1"/>
      <name val="Calibri"/>
    </font>
    <font>
      <sz val="18.0"/>
      <color theme="1"/>
      <name val="Calibri"/>
    </font>
    <font>
      <sz val="12.0"/>
      <color rgb="FF9C57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C6EFCE"/>
        <bgColor rgb="FFC6EFCE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rgb="FFFFEB9C"/>
        <bgColor rgb="FFFFEB9C"/>
      </patternFill>
    </fill>
  </fills>
  <borders count="15">
    <border/>
    <border>
      <left/>
      <right/>
      <top/>
      <bottom/>
    </border>
    <border>
      <left/>
      <right/>
      <top/>
      <bottom style="thin">
        <color rgb="FF8EAADB"/>
      </bottom>
    </border>
    <border>
      <bottom style="thin">
        <color rgb="FF8EAADB"/>
      </bottom>
    </border>
    <border>
      <left/>
      <right/>
      <top style="thin">
        <color rgb="FF000000"/>
      </top>
    </border>
    <border>
      <left/>
      <right/>
      <top style="thin">
        <color rgb="FF000000"/>
      </top>
      <bottom/>
    </border>
    <border>
      <left/>
      <right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bottom style="thin">
        <color rgb="FF000000"/>
      </bottom>
    </border>
    <border>
      <left/>
      <right/>
      <top style="thin">
        <color rgb="FF8EAADB"/>
      </top>
      <bottom/>
    </border>
    <border>
      <left/>
      <right/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top style="thin">
        <color rgb="FF2E75B5"/>
      </top>
      <bottom style="medium">
        <color rgb="FF2E75B5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164" xfId="0" applyAlignment="1" applyFont="1" applyNumberFormat="1">
      <alignment horizontal="right" vertical="bottom"/>
    </xf>
    <xf borderId="0" fillId="0" fontId="1" numFmtId="165" xfId="0" applyFont="1" applyNumberFormat="1"/>
    <xf borderId="0" fillId="0" fontId="1" numFmtId="166" xfId="0" applyFont="1" applyNumberFormat="1"/>
    <xf borderId="1" fillId="2" fontId="3" numFmtId="0" xfId="0" applyBorder="1" applyFont="1"/>
    <xf borderId="1" fillId="2" fontId="3" numFmtId="164" xfId="0" applyBorder="1" applyFont="1" applyNumberFormat="1"/>
    <xf borderId="1" fillId="2" fontId="1" numFmtId="165" xfId="0" applyBorder="1" applyFont="1" applyNumberFormat="1"/>
    <xf borderId="0" fillId="0" fontId="4" numFmtId="164" xfId="0" applyAlignment="1" applyFont="1" applyNumberFormat="1">
      <alignment horizontal="right"/>
    </xf>
    <xf borderId="0" fillId="0" fontId="1" numFmtId="9" xfId="0" applyAlignment="1" applyFont="1" applyNumberFormat="1">
      <alignment horizontal="center"/>
    </xf>
    <xf borderId="0" fillId="0" fontId="5" numFmtId="0" xfId="0" applyFont="1"/>
    <xf borderId="0" fillId="0" fontId="1" numFmtId="0" xfId="0" applyAlignment="1" applyFont="1">
      <alignment horizontal="right"/>
    </xf>
    <xf borderId="2" fillId="3" fontId="6" numFmtId="164" xfId="0" applyAlignment="1" applyBorder="1" applyFill="1" applyFont="1" applyNumberFormat="1">
      <alignment horizontal="left"/>
    </xf>
    <xf borderId="2" fillId="3" fontId="6" numFmtId="164" xfId="0" applyBorder="1" applyFont="1" applyNumberFormat="1"/>
    <xf borderId="2" fillId="3" fontId="6" numFmtId="167" xfId="0" applyBorder="1" applyFont="1" applyNumberFormat="1"/>
    <xf borderId="2" fillId="3" fontId="6" numFmtId="10" xfId="0" applyBorder="1" applyFont="1" applyNumberFormat="1"/>
    <xf borderId="0" fillId="0" fontId="6" numFmtId="164" xfId="0" applyAlignment="1" applyFont="1" applyNumberFormat="1">
      <alignment horizontal="left" vertical="center"/>
    </xf>
    <xf borderId="0" fillId="0" fontId="6" numFmtId="164" xfId="0" applyAlignment="1" applyFont="1" applyNumberFormat="1">
      <alignment vertical="center"/>
    </xf>
    <xf borderId="0" fillId="0" fontId="6" numFmtId="165" xfId="0" applyAlignment="1" applyFont="1" applyNumberFormat="1">
      <alignment vertical="center"/>
    </xf>
    <xf borderId="0" fillId="0" fontId="6" numFmtId="166" xfId="0" applyAlignment="1" applyFont="1" applyNumberFormat="1">
      <alignment vertical="center"/>
    </xf>
    <xf borderId="0" fillId="0" fontId="6" numFmtId="164" xfId="0" applyAlignment="1" applyFont="1" applyNumberFormat="1">
      <alignment horizontal="left"/>
    </xf>
    <xf borderId="3" fillId="0" fontId="6" numFmtId="164" xfId="0" applyBorder="1" applyFont="1" applyNumberFormat="1"/>
    <xf borderId="0" fillId="0" fontId="6" numFmtId="167" xfId="0" applyFont="1" applyNumberFormat="1"/>
    <xf borderId="0" fillId="0" fontId="6" numFmtId="10" xfId="0" applyFont="1" applyNumberFormat="1"/>
    <xf borderId="4" fillId="3" fontId="6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/>
    </xf>
    <xf borderId="0" fillId="0" fontId="7" numFmtId="0" xfId="0" applyFont="1"/>
    <xf borderId="4" fillId="3" fontId="6" numFmtId="165" xfId="0" applyAlignment="1" applyBorder="1" applyFont="1" applyNumberFormat="1">
      <alignment horizontal="center" vertical="center"/>
    </xf>
    <xf borderId="0" fillId="0" fontId="8" numFmtId="0" xfId="0" applyFont="1"/>
    <xf borderId="0" fillId="0" fontId="1" numFmtId="164" xfId="0" applyFont="1" applyNumberFormat="1"/>
    <xf borderId="4" fillId="3" fontId="6" numFmtId="166" xfId="0" applyAlignment="1" applyBorder="1" applyFont="1" applyNumberFormat="1">
      <alignment horizontal="center" vertical="center"/>
    </xf>
    <xf borderId="5" fillId="4" fontId="6" numFmtId="164" xfId="0" applyAlignment="1" applyBorder="1" applyFill="1" applyFont="1" applyNumberFormat="1">
      <alignment horizontal="left"/>
    </xf>
    <xf borderId="5" fillId="4" fontId="6" numFmtId="168" xfId="0" applyBorder="1" applyFont="1" applyNumberFormat="1"/>
    <xf borderId="5" fillId="4" fontId="6" numFmtId="9" xfId="0" applyAlignment="1" applyBorder="1" applyFont="1" applyNumberFormat="1">
      <alignment horizontal="center"/>
    </xf>
    <xf borderId="6" fillId="0" fontId="9" numFmtId="0" xfId="0" applyBorder="1" applyFont="1"/>
    <xf borderId="7" fillId="0" fontId="9" numFmtId="0" xfId="0" applyBorder="1" applyFont="1"/>
    <xf borderId="0" fillId="0" fontId="1" numFmtId="9" xfId="0" applyFont="1" applyNumberFormat="1"/>
    <xf borderId="5" fillId="4" fontId="6" numFmtId="165" xfId="0" applyBorder="1" applyFont="1" applyNumberFormat="1"/>
    <xf borderId="0" fillId="0" fontId="10" numFmtId="0" xfId="0" applyAlignment="1" applyFont="1">
      <alignment horizontal="center"/>
    </xf>
    <xf borderId="8" fillId="0" fontId="4" numFmtId="0" xfId="0" applyBorder="1" applyFont="1"/>
    <xf borderId="8" fillId="5" fontId="11" numFmtId="0" xfId="0" applyBorder="1" applyFill="1" applyFont="1"/>
    <xf borderId="8" fillId="5" fontId="1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8" fillId="5" fontId="11" numFmtId="0" xfId="0" applyAlignment="1" applyBorder="1" applyFont="1">
      <alignment horizontal="left" shrinkToFit="0" vertical="center" wrapText="1"/>
    </xf>
    <xf borderId="0" fillId="0" fontId="1" numFmtId="166" xfId="0" applyAlignment="1" applyFont="1" applyNumberFormat="1">
      <alignment vertical="center"/>
    </xf>
    <xf borderId="9" fillId="0" fontId="1" numFmtId="9" xfId="0" applyAlignment="1" applyBorder="1" applyFont="1" applyNumberFormat="1">
      <alignment horizontal="center"/>
    </xf>
    <xf borderId="8" fillId="6" fontId="12" numFmtId="0" xfId="0" applyBorder="1" applyFill="1" applyFont="1"/>
    <xf borderId="1" fillId="7" fontId="13" numFmtId="164" xfId="0" applyBorder="1" applyFill="1" applyFont="1" applyNumberFormat="1"/>
    <xf borderId="8" fillId="5" fontId="11" numFmtId="0" xfId="0" applyAlignment="1" applyBorder="1" applyFont="1">
      <alignment horizontal="left"/>
    </xf>
    <xf borderId="4" fillId="3" fontId="6" numFmtId="164" xfId="0" applyAlignment="1" applyBorder="1" applyFont="1" applyNumberFormat="1">
      <alignment horizontal="left" vertical="center"/>
    </xf>
    <xf borderId="8" fillId="0" fontId="4" numFmtId="3" xfId="0" applyBorder="1" applyFont="1" applyNumberFormat="1"/>
    <xf borderId="8" fillId="6" fontId="4" numFmtId="3" xfId="0" applyBorder="1" applyFont="1" applyNumberFormat="1"/>
    <xf borderId="1" fillId="8" fontId="1" numFmtId="0" xfId="0" applyBorder="1" applyFill="1" applyFont="1"/>
    <xf borderId="0" fillId="0" fontId="6" numFmtId="165" xfId="0" applyFont="1" applyNumberFormat="1"/>
    <xf borderId="1" fillId="8" fontId="3" numFmtId="0" xfId="0" applyAlignment="1" applyBorder="1" applyFont="1">
      <alignment horizontal="center"/>
    </xf>
    <xf borderId="9" fillId="0" fontId="1" numFmtId="0" xfId="0" applyAlignment="1" applyBorder="1" applyFont="1">
      <alignment vertical="center"/>
    </xf>
    <xf borderId="9" fillId="0" fontId="1" numFmtId="166" xfId="0" applyAlignment="1" applyBorder="1" applyFont="1" applyNumberFormat="1">
      <alignment vertical="center"/>
    </xf>
    <xf borderId="9" fillId="0" fontId="1" numFmtId="0" xfId="0" applyBorder="1" applyFont="1"/>
    <xf borderId="1" fillId="8" fontId="1" numFmtId="0" xfId="0" applyAlignment="1" applyBorder="1" applyFont="1">
      <alignment horizontal="center"/>
    </xf>
    <xf borderId="10" fillId="0" fontId="9" numFmtId="0" xfId="0" applyBorder="1" applyFont="1"/>
    <xf borderId="3" fillId="0" fontId="6" numFmtId="164" xfId="0" applyAlignment="1" applyBorder="1" applyFont="1" applyNumberFormat="1">
      <alignment horizontal="left"/>
    </xf>
    <xf borderId="3" fillId="0" fontId="6" numFmtId="167" xfId="0" applyBorder="1" applyFont="1" applyNumberFormat="1"/>
    <xf borderId="3" fillId="0" fontId="6" numFmtId="10" xfId="0" applyBorder="1" applyFont="1" applyNumberFormat="1"/>
    <xf borderId="9" fillId="0" fontId="1" numFmtId="166" xfId="0" applyBorder="1" applyFont="1" applyNumberFormat="1"/>
    <xf borderId="0" fillId="0" fontId="6" numFmtId="164" xfId="0" applyFont="1" applyNumberFormat="1"/>
    <xf borderId="5" fillId="3" fontId="6" numFmtId="164" xfId="0" applyAlignment="1" applyBorder="1" applyFont="1" applyNumberFormat="1">
      <alignment horizontal="left" vertical="center"/>
    </xf>
    <xf borderId="5" fillId="3" fontId="6" numFmtId="164" xfId="0" applyAlignment="1" applyBorder="1" applyFont="1" applyNumberFormat="1">
      <alignment vertical="center"/>
    </xf>
    <xf borderId="5" fillId="3" fontId="6" numFmtId="165" xfId="0" applyAlignment="1" applyBorder="1" applyFont="1" applyNumberFormat="1">
      <alignment vertical="center"/>
    </xf>
    <xf borderId="5" fillId="3" fontId="6" numFmtId="166" xfId="0" applyAlignment="1" applyBorder="1" applyFont="1" applyNumberFormat="1">
      <alignment horizontal="center" vertical="center"/>
    </xf>
    <xf borderId="0" fillId="0" fontId="6" numFmtId="0" xfId="0" applyAlignment="1" applyFont="1">
      <alignment horizontal="left"/>
    </xf>
    <xf borderId="0" fillId="0" fontId="6" numFmtId="166" xfId="0" applyFont="1" applyNumberFormat="1"/>
    <xf borderId="3" fillId="0" fontId="6" numFmtId="169" xfId="0" applyBorder="1" applyFont="1" applyNumberFormat="1"/>
    <xf borderId="0" fillId="0" fontId="1" numFmtId="166" xfId="0" applyAlignment="1" applyFont="1" applyNumberFormat="1">
      <alignment horizontal="center" vertical="center"/>
    </xf>
    <xf borderId="0" fillId="0" fontId="14" numFmtId="0" xfId="0" applyFont="1"/>
    <xf borderId="11" fillId="2" fontId="6" numFmtId="10" xfId="0" applyBorder="1" applyFont="1" applyNumberFormat="1"/>
    <xf borderId="11" fillId="2" fontId="6" numFmtId="164" xfId="0" applyBorder="1" applyFont="1" applyNumberFormat="1"/>
    <xf borderId="11" fillId="2" fontId="6" numFmtId="170" xfId="0" applyBorder="1" applyFont="1" applyNumberFormat="1"/>
    <xf borderId="8" fillId="9" fontId="12" numFmtId="0" xfId="0" applyBorder="1" applyFill="1" applyFont="1"/>
    <xf borderId="8" fillId="9" fontId="4" numFmtId="3" xfId="0" applyBorder="1" applyFont="1" applyNumberFormat="1"/>
    <xf borderId="1" fillId="8" fontId="6" numFmtId="0" xfId="0" applyBorder="1" applyFont="1"/>
    <xf borderId="1" fillId="8" fontId="6" numFmtId="0" xfId="0" applyAlignment="1" applyBorder="1" applyFont="1">
      <alignment horizontal="center"/>
    </xf>
    <xf borderId="0" fillId="0" fontId="1" numFmtId="3" xfId="0" applyFont="1" applyNumberFormat="1"/>
    <xf borderId="0" fillId="0" fontId="15" numFmtId="166" xfId="0" applyFont="1" applyNumberFormat="1"/>
    <xf borderId="1" fillId="8" fontId="16" numFmtId="10" xfId="0" applyBorder="1" applyFont="1" applyNumberFormat="1"/>
    <xf borderId="0" fillId="0" fontId="13" numFmtId="0" xfId="0" applyFont="1"/>
    <xf borderId="0" fillId="0" fontId="3" numFmtId="10" xfId="0" applyFont="1" applyNumberFormat="1"/>
    <xf borderId="0" fillId="0" fontId="1" numFmtId="0" xfId="0" applyAlignment="1" applyFont="1">
      <alignment shrinkToFit="0" wrapText="1"/>
    </xf>
    <xf borderId="0" fillId="0" fontId="1" numFmtId="10" xfId="0" applyFont="1" applyNumberFormat="1"/>
    <xf borderId="0" fillId="0" fontId="17" numFmtId="0" xfId="0" applyFont="1"/>
    <xf borderId="0" fillId="0" fontId="7" numFmtId="164" xfId="0" applyFont="1" applyNumberFormat="1"/>
    <xf borderId="0" fillId="0" fontId="18" numFmtId="164" xfId="0" applyFont="1" applyNumberFormat="1"/>
    <xf borderId="1" fillId="5" fontId="19" numFmtId="0" xfId="0" applyBorder="1" applyFont="1"/>
    <xf borderId="0" fillId="0" fontId="19" numFmtId="0" xfId="0" applyFont="1"/>
    <xf borderId="12" fillId="10" fontId="6" numFmtId="164" xfId="0" applyAlignment="1" applyBorder="1" applyFill="1" applyFont="1" applyNumberFormat="1">
      <alignment horizontal="left"/>
    </xf>
    <xf borderId="1" fillId="6" fontId="1" numFmtId="0" xfId="0" applyBorder="1" applyFont="1"/>
    <xf borderId="1" fillId="6" fontId="4" numFmtId="164" xfId="0" applyAlignment="1" applyBorder="1" applyFont="1" applyNumberFormat="1">
      <alignment horizontal="right"/>
    </xf>
    <xf borderId="1" fillId="6" fontId="1" numFmtId="165" xfId="0" applyBorder="1" applyFont="1" applyNumberFormat="1"/>
    <xf borderId="1" fillId="6" fontId="1" numFmtId="166" xfId="0" applyBorder="1" applyFont="1" applyNumberFormat="1"/>
    <xf borderId="1" fillId="10" fontId="6" numFmtId="164" xfId="0" applyAlignment="1" applyBorder="1" applyFont="1" applyNumberFormat="1">
      <alignment horizontal="left"/>
    </xf>
    <xf borderId="13" fillId="0" fontId="6" numFmtId="164" xfId="0" applyBorder="1" applyFont="1" applyNumberFormat="1"/>
    <xf borderId="12" fillId="10" fontId="6" numFmtId="166" xfId="0" applyBorder="1" applyFont="1" applyNumberFormat="1"/>
    <xf borderId="13" fillId="0" fontId="6" numFmtId="164" xfId="0" applyAlignment="1" applyBorder="1" applyFont="1" applyNumberFormat="1">
      <alignment horizontal="left"/>
    </xf>
    <xf borderId="0" fillId="0" fontId="6" numFmtId="0" xfId="0" applyFont="1"/>
    <xf borderId="0" fillId="0" fontId="20" numFmtId="166" xfId="0" applyFont="1" applyNumberFormat="1"/>
    <xf borderId="13" fillId="0" fontId="2" numFmtId="164" xfId="0" applyAlignment="1" applyBorder="1" applyFont="1" applyNumberFormat="1">
      <alignment horizontal="left"/>
    </xf>
    <xf borderId="0" fillId="0" fontId="20" numFmtId="0" xfId="0" applyFont="1"/>
    <xf borderId="0" fillId="0" fontId="21" numFmtId="171" xfId="0" applyFont="1" applyNumberFormat="1"/>
    <xf borderId="0" fillId="0" fontId="22" numFmtId="0" xfId="0" applyFont="1"/>
    <xf borderId="0" fillId="0" fontId="15" numFmtId="0" xfId="0" applyFont="1"/>
    <xf borderId="0" fillId="0" fontId="23" numFmtId="0" xfId="0" applyAlignment="1" applyFont="1">
      <alignment horizontal="center"/>
    </xf>
    <xf borderId="0" fillId="0" fontId="24" numFmtId="166" xfId="0" applyAlignment="1" applyFont="1" applyNumberFormat="1">
      <alignment horizontal="left"/>
    </xf>
    <xf borderId="0" fillId="0" fontId="25" numFmtId="0" xfId="0" applyFont="1"/>
    <xf borderId="0" fillId="0" fontId="2" numFmtId="164" xfId="0" applyAlignment="1" applyFont="1" applyNumberFormat="1">
      <alignment horizontal="left"/>
    </xf>
    <xf borderId="0" fillId="0" fontId="21" numFmtId="166" xfId="0" applyAlignment="1" applyFont="1" applyNumberFormat="1">
      <alignment horizontal="left"/>
    </xf>
    <xf borderId="0" fillId="0" fontId="24" numFmtId="9" xfId="0" applyAlignment="1" applyFont="1" applyNumberForma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71" xfId="0" applyFont="1" applyNumberFormat="1"/>
    <xf borderId="0" fillId="0" fontId="26" numFmtId="0" xfId="0" applyFont="1"/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/>
    </xf>
    <xf borderId="1" fillId="2" fontId="6" numFmtId="0" xfId="0" applyBorder="1" applyFont="1"/>
    <xf borderId="1" fillId="6" fontId="6" numFmtId="0" xfId="0" applyBorder="1" applyFont="1"/>
    <xf borderId="1" fillId="6" fontId="6" numFmtId="0" xfId="0" applyAlignment="1" applyBorder="1" applyFont="1">
      <alignment horizontal="left"/>
    </xf>
    <xf borderId="1" fillId="6" fontId="6" numFmtId="1" xfId="0" applyBorder="1" applyFont="1" applyNumberFormat="1"/>
    <xf borderId="1" fillId="6" fontId="2" numFmtId="1" xfId="0" applyBorder="1" applyFont="1" applyNumberFormat="1"/>
    <xf borderId="0" fillId="0" fontId="4" numFmtId="164" xfId="0" applyAlignment="1" applyFont="1" applyNumberFormat="1">
      <alignment horizontal="left"/>
    </xf>
    <xf borderId="1" fillId="6" fontId="4" numFmtId="3" xfId="0" applyBorder="1" applyFont="1" applyNumberFormat="1"/>
    <xf borderId="0" fillId="0" fontId="2" numFmtId="0" xfId="0" applyAlignment="1" applyFont="1">
      <alignment horizontal="left"/>
    </xf>
    <xf borderId="0" fillId="0" fontId="2" numFmtId="1" xfId="0" applyFont="1" applyNumberFormat="1"/>
    <xf borderId="1" fillId="9" fontId="4" numFmtId="3" xfId="0" applyBorder="1" applyFont="1" applyNumberFormat="1"/>
    <xf borderId="14" fillId="0" fontId="6" numFmtId="164" xfId="0" applyAlignment="1" applyBorder="1" applyFont="1" applyNumberFormat="1">
      <alignment horizontal="left"/>
    </xf>
    <xf borderId="0" fillId="0" fontId="6" numFmtId="1" xfId="0" applyFont="1" applyNumberFormat="1"/>
    <xf borderId="14" fillId="0" fontId="6" numFmtId="164" xfId="0" applyBorder="1" applyFont="1" applyNumberFormat="1"/>
    <xf borderId="1" fillId="6" fontId="1" numFmtId="0" xfId="0" applyAlignment="1" applyBorder="1" applyFont="1">
      <alignment horizontal="left"/>
    </xf>
    <xf borderId="1" fillId="6" fontId="1" numFmtId="1" xfId="0" applyBorder="1" applyFont="1" applyNumberFormat="1"/>
    <xf borderId="0" fillId="0" fontId="1" numFmtId="1" xfId="0" applyFont="1" applyNumberFormat="1"/>
    <xf borderId="0" fillId="0" fontId="12" numFmtId="10" xfId="0" applyAlignment="1" applyFont="1" applyNumberFormat="1">
      <alignment horizontal="right"/>
    </xf>
    <xf borderId="0" fillId="0" fontId="12" numFmtId="0" xfId="0" applyAlignment="1" applyFont="1">
      <alignment horizontal="right"/>
    </xf>
    <xf borderId="0" fillId="0" fontId="12" numFmtId="164" xfId="0" applyAlignment="1" applyFont="1" applyNumberFormat="1">
      <alignment horizontal="right"/>
    </xf>
    <xf borderId="0" fillId="0" fontId="3" numFmtId="0" xfId="0" applyFont="1"/>
    <xf borderId="1" fillId="11" fontId="26" numFmtId="0" xfId="0" applyBorder="1" applyFill="1" applyFont="1"/>
    <xf borderId="1" fillId="11" fontId="26" numFmtId="172" xfId="0" applyBorder="1" applyFont="1" applyNumberFormat="1"/>
    <xf borderId="0" fillId="0" fontId="26" numFmtId="17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axId val="227229872"/>
        <c:axId val="873964882"/>
      </c:lineChart>
      <c:catAx>
        <c:axId val="227229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873964882"/>
      </c:catAx>
      <c:valAx>
        <c:axId val="87396488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227229872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Vegetação Nativa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HISTORICO'!$B$4:$AK$4</c:f>
            </c:strRef>
          </c:cat>
          <c:val>
            <c:numRef>
              <c:f>'GRAFICO HISTORICO'!$B$5:$AK$5</c:f>
              <c:numCache/>
            </c:numRef>
          </c:val>
          <c:smooth val="0"/>
        </c:ser>
        <c:axId val="508493604"/>
        <c:axId val="1968440647"/>
      </c:lineChart>
      <c:catAx>
        <c:axId val="508493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968440647"/>
      </c:catAx>
      <c:valAx>
        <c:axId val="1968440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849360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HISTORICO'!$B$41:$AM$41</c:f>
            </c:strRef>
          </c:cat>
          <c:val>
            <c:numRef>
              <c:f>'GRAFICO HISTORICO'!$B$49:$AN$49</c:f>
              <c:numCache/>
            </c:numRef>
          </c:val>
          <c:smooth val="0"/>
        </c:ser>
        <c:axId val="1236806055"/>
        <c:axId val="2033773672"/>
      </c:lineChart>
      <c:catAx>
        <c:axId val="1236806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2033773672"/>
      </c:catAx>
      <c:valAx>
        <c:axId val="20337736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6806055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'GRAFICO HISTORICO'!$B$4:$AK$4</c:f>
            </c:strRef>
          </c:cat>
          <c:val>
            <c:numRef>
              <c:f>'GRAFICO HISTORICO'!$B$51:$AN$51</c:f>
              <c:numCache/>
            </c:numRef>
          </c:val>
          <c:smooth val="0"/>
        </c:ser>
        <c:axId val="2026208848"/>
        <c:axId val="1390666366"/>
      </c:lineChart>
      <c:catAx>
        <c:axId val="2026208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700">
                <a:solidFill>
                  <a:srgbClr val="000000"/>
                </a:solidFill>
                <a:latin typeface="+mn-lt"/>
              </a:defRPr>
            </a:pPr>
          </a:p>
        </c:txPr>
        <c:crossAx val="1390666366"/>
      </c:catAx>
      <c:valAx>
        <c:axId val="1390666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6208848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781050</xdr:colOff>
      <xdr:row>66</xdr:row>
      <xdr:rowOff>76200</xdr:rowOff>
    </xdr:from>
    <xdr:ext cx="5143500" cy="2705100"/>
    <xdr:graphicFrame>
      <xdr:nvGraphicFramePr>
        <xdr:cNvPr id="124379357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123825</xdr:colOff>
      <xdr:row>66</xdr:row>
      <xdr:rowOff>85725</xdr:rowOff>
    </xdr:from>
    <xdr:ext cx="5191125" cy="2705100"/>
    <xdr:graphicFrame>
      <xdr:nvGraphicFramePr>
        <xdr:cNvPr id="2062564105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95250</xdr:colOff>
      <xdr:row>52</xdr:row>
      <xdr:rowOff>28575</xdr:rowOff>
    </xdr:from>
    <xdr:ext cx="5210175" cy="2705100"/>
    <xdr:graphicFrame>
      <xdr:nvGraphicFramePr>
        <xdr:cNvPr id="100586915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781050</xdr:colOff>
      <xdr:row>52</xdr:row>
      <xdr:rowOff>47625</xdr:rowOff>
    </xdr:from>
    <xdr:ext cx="5143500" cy="2705100"/>
    <xdr:graphicFrame>
      <xdr:nvGraphicFramePr>
        <xdr:cNvPr id="309719703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56"/>
    <col customWidth="1" min="2" max="2" width="18.56"/>
    <col customWidth="1" min="3" max="26" width="11.0"/>
  </cols>
  <sheetData>
    <row r="1" ht="15.75" customHeight="1"/>
    <row r="2" ht="15.75" customHeight="1">
      <c r="A2" s="1"/>
      <c r="B2" s="1" t="s">
        <v>0</v>
      </c>
      <c r="C2" s="1" t="s">
        <v>1</v>
      </c>
      <c r="D2" s="1" t="s">
        <v>2</v>
      </c>
    </row>
    <row r="3" ht="15.75" customHeight="1">
      <c r="A3" s="2" t="s">
        <v>3</v>
      </c>
      <c r="B3" s="3">
        <v>4.207828033E8</v>
      </c>
      <c r="C3" s="4">
        <f t="shared" ref="C3:C9" si="1">B3/1000000</f>
        <v>420.7828033</v>
      </c>
      <c r="D3" s="5">
        <f t="shared" ref="D3:D8" si="2">C3/C$9</f>
        <v>0.4946632649</v>
      </c>
    </row>
    <row r="4" ht="15.75" customHeight="1">
      <c r="A4" s="2" t="s">
        <v>4</v>
      </c>
      <c r="B4" s="3">
        <v>8.626110405E7</v>
      </c>
      <c r="C4" s="4">
        <f t="shared" si="1"/>
        <v>86.26110405</v>
      </c>
      <c r="D4" s="5">
        <f t="shared" si="2"/>
        <v>0.1014067092</v>
      </c>
    </row>
    <row r="5" ht="15.75" customHeight="1">
      <c r="A5" s="2" t="s">
        <v>5</v>
      </c>
      <c r="B5" s="3">
        <v>2.004390674E8</v>
      </c>
      <c r="C5" s="4">
        <f t="shared" si="1"/>
        <v>200.4390674</v>
      </c>
      <c r="D5" s="5">
        <f t="shared" si="2"/>
        <v>0.2356318811</v>
      </c>
    </row>
    <row r="6" ht="15.75" customHeight="1">
      <c r="A6" s="2" t="s">
        <v>6</v>
      </c>
      <c r="B6" s="3">
        <v>1.086744891E8</v>
      </c>
      <c r="C6" s="4">
        <f t="shared" si="1"/>
        <v>108.6744891</v>
      </c>
      <c r="D6" s="5">
        <f t="shared" si="2"/>
        <v>0.1277554053</v>
      </c>
    </row>
    <row r="7" ht="15.75" customHeight="1">
      <c r="A7" s="2" t="s">
        <v>7</v>
      </c>
      <c r="B7" s="3">
        <v>1.939351615E7</v>
      </c>
      <c r="C7" s="4">
        <f t="shared" si="1"/>
        <v>19.39351615</v>
      </c>
      <c r="D7" s="5">
        <f t="shared" si="2"/>
        <v>0.02279860285</v>
      </c>
    </row>
    <row r="8" ht="15.75" customHeight="1">
      <c r="A8" s="2" t="s">
        <v>8</v>
      </c>
      <c r="B8" s="3">
        <v>1.509396001E7</v>
      </c>
      <c r="C8" s="4">
        <f t="shared" si="1"/>
        <v>15.09396001</v>
      </c>
      <c r="D8" s="5">
        <f t="shared" si="2"/>
        <v>0.0177441366</v>
      </c>
    </row>
    <row r="9" ht="15.75" customHeight="1">
      <c r="A9" s="6" t="s">
        <v>9</v>
      </c>
      <c r="B9" s="7">
        <f>SUM(B3:B8)</f>
        <v>850644940</v>
      </c>
      <c r="C9" s="8">
        <f t="shared" si="1"/>
        <v>850.64494</v>
      </c>
      <c r="D9" s="1"/>
    </row>
    <row r="10" ht="15.75" customHeight="1"/>
    <row r="11" ht="15.75" customHeight="1"/>
    <row r="12" ht="15.75" customHeight="1">
      <c r="A12" s="1"/>
      <c r="B12" s="1" t="s">
        <v>0</v>
      </c>
      <c r="C12" s="1" t="s">
        <v>1</v>
      </c>
      <c r="D12" s="1" t="s">
        <v>2</v>
      </c>
    </row>
    <row r="13" ht="15.75" customHeight="1">
      <c r="A13" s="2" t="s">
        <v>10</v>
      </c>
      <c r="B13" s="9">
        <v>5.05743963971196E8</v>
      </c>
      <c r="C13" s="4">
        <f t="shared" ref="C13:C19" si="3">B13/1000000</f>
        <v>505.743964</v>
      </c>
      <c r="D13" s="5">
        <f t="shared" ref="D13:D18" si="4">C13/C$9</f>
        <v>0.5945417885</v>
      </c>
    </row>
    <row r="14" ht="15.75" customHeight="1">
      <c r="A14" s="2" t="s">
        <v>66</v>
      </c>
      <c r="B14" s="9">
        <v>4.5916553319222786E7</v>
      </c>
      <c r="C14" s="4">
        <f t="shared" si="3"/>
        <v>45.91655332</v>
      </c>
      <c r="D14" s="5">
        <f t="shared" si="4"/>
        <v>0.05397851813</v>
      </c>
    </row>
    <row r="15" ht="15.75" customHeight="1">
      <c r="A15" s="2" t="s">
        <v>67</v>
      </c>
      <c r="B15" s="9">
        <v>2.733145849763439E8</v>
      </c>
      <c r="C15" s="4">
        <f t="shared" si="3"/>
        <v>273.314585</v>
      </c>
      <c r="D15" s="5">
        <f t="shared" si="4"/>
        <v>0.3213027811</v>
      </c>
    </row>
    <row r="16" ht="15.75" customHeight="1">
      <c r="A16" s="2" t="s">
        <v>68</v>
      </c>
      <c r="B16" s="9">
        <v>6374980.097670273</v>
      </c>
      <c r="C16" s="4">
        <f t="shared" si="3"/>
        <v>6.374980098</v>
      </c>
      <c r="D16" s="5">
        <f t="shared" si="4"/>
        <v>0.007494290271</v>
      </c>
    </row>
    <row r="17" ht="15.75" customHeight="1">
      <c r="A17" s="2" t="s">
        <v>69</v>
      </c>
      <c r="B17" s="9">
        <v>1.929361521263376E7</v>
      </c>
      <c r="C17" s="4">
        <f t="shared" si="3"/>
        <v>19.29361521</v>
      </c>
      <c r="D17" s="5">
        <f t="shared" si="4"/>
        <v>0.02268116144</v>
      </c>
    </row>
    <row r="18" ht="15.75" customHeight="1">
      <c r="A18" s="96" t="s">
        <v>70</v>
      </c>
      <c r="B18" s="97">
        <v>1242.4168973205565</v>
      </c>
      <c r="C18" s="98">
        <f t="shared" si="3"/>
        <v>0.001242416897</v>
      </c>
      <c r="D18" s="99">
        <f t="shared" si="4"/>
        <v>0.000001460558735</v>
      </c>
    </row>
    <row r="19" ht="15.75" customHeight="1">
      <c r="A19" s="6" t="s">
        <v>9</v>
      </c>
      <c r="B19" s="7">
        <f>SUM(B13:B18)</f>
        <v>850644940</v>
      </c>
      <c r="C19" s="8">
        <f t="shared" si="3"/>
        <v>850.64494</v>
      </c>
      <c r="D19" s="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5.0"/>
    <col customWidth="1" min="2" max="2" width="34.0"/>
    <col customWidth="1" min="3" max="3" width="21.56"/>
    <col customWidth="1" min="4" max="4" width="22.44"/>
    <col customWidth="1" min="5" max="5" width="16.44"/>
    <col customWidth="1" min="6" max="6" width="11.0"/>
    <col customWidth="1" min="7" max="7" width="18.11"/>
    <col customWidth="1" min="8" max="8" width="12.11"/>
    <col customWidth="1" min="9" max="9" width="6.56"/>
    <col customWidth="1" min="10" max="10" width="6.67"/>
    <col customWidth="1" min="11" max="11" width="17.44"/>
    <col customWidth="1" min="12" max="12" width="13.56"/>
    <col customWidth="1" min="13" max="13" width="11.0"/>
    <col customWidth="1" min="14" max="14" width="10.56"/>
    <col customWidth="1" min="15" max="15" width="21.11"/>
    <col customWidth="1" min="16" max="16" width="13.56"/>
    <col customWidth="1" min="17" max="22" width="11.0"/>
    <col customWidth="1" min="23" max="26" width="11.44"/>
  </cols>
  <sheetData>
    <row r="1">
      <c r="J1" s="5"/>
      <c r="N1" s="10"/>
    </row>
    <row r="2">
      <c r="A2" s="11" t="s">
        <v>11</v>
      </c>
      <c r="J2" s="5"/>
      <c r="N2" s="10"/>
    </row>
    <row r="3" ht="15.75" customHeight="1">
      <c r="G3" s="2"/>
      <c r="H3" s="2"/>
      <c r="I3" s="2"/>
      <c r="J3" s="5"/>
      <c r="K3" s="2"/>
      <c r="L3" s="2"/>
      <c r="M3" s="2"/>
      <c r="N3" s="10"/>
    </row>
    <row r="4" ht="15.75" customHeight="1">
      <c r="C4" s="12" t="s">
        <v>12</v>
      </c>
      <c r="D4" s="12" t="s">
        <v>13</v>
      </c>
      <c r="G4" s="2"/>
      <c r="H4" s="2"/>
      <c r="I4" s="2"/>
      <c r="J4" s="5"/>
      <c r="K4" s="2"/>
      <c r="L4" s="2"/>
      <c r="M4" s="2"/>
      <c r="N4" s="10"/>
    </row>
    <row r="5" ht="15.75" customHeight="1">
      <c r="B5" s="13" t="s">
        <v>14</v>
      </c>
      <c r="C5" s="14">
        <v>5517804.86342361</v>
      </c>
      <c r="D5" s="15">
        <f t="shared" ref="D5:D36" si="1">C5/1000000</f>
        <v>5.517804863</v>
      </c>
      <c r="E5" s="16">
        <f t="shared" ref="E5:E35" si="2">C5/$C$36</f>
        <v>0.365563766</v>
      </c>
      <c r="G5" s="17"/>
      <c r="H5" s="18"/>
      <c r="I5" s="19"/>
      <c r="J5" s="20"/>
      <c r="K5" s="2"/>
      <c r="L5" s="2"/>
      <c r="M5" s="2"/>
      <c r="N5" s="10"/>
    </row>
    <row r="6" ht="15.75" customHeight="1">
      <c r="B6" s="21" t="s">
        <v>15</v>
      </c>
      <c r="C6" s="22">
        <v>2036256.4162379242</v>
      </c>
      <c r="D6" s="23">
        <f t="shared" si="1"/>
        <v>2.036256416</v>
      </c>
      <c r="E6" s="24">
        <f t="shared" si="2"/>
        <v>0.1349053804</v>
      </c>
      <c r="G6" s="25" t="s">
        <v>16</v>
      </c>
      <c r="H6" s="25">
        <f>C5</f>
        <v>5517804.863</v>
      </c>
      <c r="I6" s="28">
        <f>H6/1000000</f>
        <v>5.517804863</v>
      </c>
      <c r="J6" s="31">
        <f>E5</f>
        <v>0.365563766</v>
      </c>
      <c r="K6" s="32" t="str">
        <f t="shared" ref="K6:L6" si="3">B6</f>
        <v>1.1. Forest Formation</v>
      </c>
      <c r="L6" s="32">
        <f t="shared" si="3"/>
        <v>2036256.416</v>
      </c>
      <c r="M6" s="33">
        <f t="shared" ref="M6:M8" si="5">L6/1000000</f>
        <v>2.036256416</v>
      </c>
      <c r="N6" s="34">
        <f t="shared" ref="N6:N8" si="6">M6/I$6</f>
        <v>0.3690337855</v>
      </c>
    </row>
    <row r="7" ht="15.75" customHeight="1">
      <c r="B7" s="21" t="s">
        <v>18</v>
      </c>
      <c r="C7" s="22">
        <v>3307283.0859799</v>
      </c>
      <c r="D7" s="23">
        <f t="shared" si="1"/>
        <v>3.307283086</v>
      </c>
      <c r="E7" s="24">
        <f t="shared" si="2"/>
        <v>0.219113015</v>
      </c>
      <c r="G7" s="35"/>
      <c r="H7" s="35"/>
      <c r="I7" s="35"/>
      <c r="J7" s="35"/>
      <c r="K7" s="32" t="str">
        <f t="shared" ref="K7:L7" si="4">B7</f>
        <v>1.2. Savanna Formation</v>
      </c>
      <c r="L7" s="32">
        <f t="shared" si="4"/>
        <v>3307283.086</v>
      </c>
      <c r="M7" s="33">
        <f t="shared" si="5"/>
        <v>3.307283086</v>
      </c>
      <c r="N7" s="34">
        <f t="shared" si="6"/>
        <v>0.5993838434</v>
      </c>
    </row>
    <row r="8" ht="15.75" customHeight="1">
      <c r="B8" s="21" t="s">
        <v>19</v>
      </c>
      <c r="C8" s="22">
        <v>174265.36120578652</v>
      </c>
      <c r="D8" s="23">
        <f t="shared" si="1"/>
        <v>0.1742653612</v>
      </c>
      <c r="E8" s="24">
        <f t="shared" si="2"/>
        <v>0.01154537054</v>
      </c>
      <c r="G8" s="36"/>
      <c r="H8" s="36"/>
      <c r="I8" s="36"/>
      <c r="J8" s="36"/>
      <c r="K8" s="32" t="str">
        <f t="shared" ref="K8:L8" si="7">B8</f>
        <v>1.3. Flooded Savanna</v>
      </c>
      <c r="L8" s="32">
        <f t="shared" si="7"/>
        <v>174265.3612</v>
      </c>
      <c r="M8" s="33">
        <f t="shared" si="5"/>
        <v>0.1742653612</v>
      </c>
      <c r="N8" s="34">
        <f t="shared" si="6"/>
        <v>0.03158237116</v>
      </c>
      <c r="O8" s="37"/>
    </row>
    <row r="9" ht="15.75" customHeight="1">
      <c r="B9" s="21" t="s">
        <v>20</v>
      </c>
      <c r="C9" s="22">
        <v>0.0</v>
      </c>
      <c r="D9" s="23">
        <f t="shared" si="1"/>
        <v>0</v>
      </c>
      <c r="E9" s="24">
        <f t="shared" si="2"/>
        <v>0</v>
      </c>
      <c r="G9" s="17"/>
      <c r="H9" s="18"/>
      <c r="I9" s="19"/>
      <c r="J9" s="20"/>
      <c r="K9" s="2"/>
      <c r="L9" s="2"/>
      <c r="M9" s="2"/>
      <c r="N9" s="10"/>
      <c r="O9" s="37"/>
    </row>
    <row r="10" ht="15.75" customHeight="1">
      <c r="B10" s="21" t="s">
        <v>21</v>
      </c>
      <c r="C10" s="22">
        <v>0.0</v>
      </c>
      <c r="D10" s="23">
        <f t="shared" si="1"/>
        <v>0</v>
      </c>
      <c r="E10" s="24">
        <f t="shared" si="2"/>
        <v>0</v>
      </c>
      <c r="G10" s="25" t="s">
        <v>22</v>
      </c>
      <c r="H10" s="25">
        <f>C12</f>
        <v>6504361.351</v>
      </c>
      <c r="I10" s="28">
        <f>H10/1000000</f>
        <v>6.504361351</v>
      </c>
      <c r="J10" s="31">
        <f>E12</f>
        <v>0.430924777</v>
      </c>
      <c r="K10" s="32" t="str">
        <f t="shared" ref="K10:L10" si="8">B13</f>
        <v>2.1. Wetland</v>
      </c>
      <c r="L10" s="32">
        <f t="shared" si="8"/>
        <v>1495778.049</v>
      </c>
      <c r="M10" s="38">
        <f t="shared" ref="M10:M12" si="10">L10/1000000</f>
        <v>1.495778049</v>
      </c>
      <c r="N10" s="34">
        <f t="shared" ref="N10:N12" si="11">M10/I$10</f>
        <v>0.2299653984</v>
      </c>
    </row>
    <row r="11" ht="15.75" customHeight="1">
      <c r="B11" s="21" t="s">
        <v>23</v>
      </c>
      <c r="C11" s="21">
        <v>0.0</v>
      </c>
      <c r="D11" s="23">
        <f t="shared" si="1"/>
        <v>0</v>
      </c>
      <c r="E11" s="24">
        <f t="shared" si="2"/>
        <v>0</v>
      </c>
      <c r="G11" s="35"/>
      <c r="H11" s="35"/>
      <c r="I11" s="35"/>
      <c r="J11" s="35"/>
      <c r="K11" s="32" t="str">
        <f t="shared" ref="K11:L11" si="9">B15</f>
        <v>2.3. Grassland Formation</v>
      </c>
      <c r="L11" s="32">
        <f t="shared" si="9"/>
        <v>5005375.48</v>
      </c>
      <c r="M11" s="38">
        <f t="shared" si="10"/>
        <v>5.00537548</v>
      </c>
      <c r="N11" s="34">
        <f t="shared" si="11"/>
        <v>0.7695414215</v>
      </c>
    </row>
    <row r="12" ht="15.75" customHeight="1">
      <c r="B12" s="13" t="s">
        <v>24</v>
      </c>
      <c r="C12" s="14">
        <v>6504361.3506026175</v>
      </c>
      <c r="D12" s="15">
        <f t="shared" si="1"/>
        <v>6.504361351</v>
      </c>
      <c r="E12" s="16">
        <f t="shared" si="2"/>
        <v>0.430924777</v>
      </c>
      <c r="G12" s="36"/>
      <c r="H12" s="36"/>
      <c r="I12" s="36"/>
      <c r="J12" s="36"/>
      <c r="K12" s="32" t="str">
        <f t="shared" ref="K12:L12" si="12">B18</f>
        <v>2.6. Rocky Outcrop</v>
      </c>
      <c r="L12" s="32">
        <f t="shared" si="12"/>
        <v>3207.821903</v>
      </c>
      <c r="M12" s="38">
        <f t="shared" si="10"/>
        <v>0.003207821903</v>
      </c>
      <c r="N12" s="34">
        <f t="shared" si="11"/>
        <v>0.0004931801494</v>
      </c>
    </row>
    <row r="13" ht="15.75" customHeight="1">
      <c r="B13" s="21" t="s">
        <v>28</v>
      </c>
      <c r="C13" s="22">
        <v>1495778.049011582</v>
      </c>
      <c r="D13" s="23">
        <f t="shared" si="1"/>
        <v>1.495778049</v>
      </c>
      <c r="E13" s="24">
        <f t="shared" si="2"/>
        <v>0.09909778801</v>
      </c>
      <c r="G13" s="43"/>
      <c r="H13" s="44"/>
      <c r="I13" s="44"/>
      <c r="J13" s="46"/>
      <c r="K13" s="2"/>
      <c r="L13" s="2"/>
      <c r="M13" s="2"/>
      <c r="N13" s="47"/>
    </row>
    <row r="14" ht="15.75" customHeight="1">
      <c r="B14" s="21" t="s">
        <v>34</v>
      </c>
      <c r="C14" s="22">
        <v>0.0</v>
      </c>
      <c r="D14" s="23">
        <f t="shared" si="1"/>
        <v>0</v>
      </c>
      <c r="E14" s="24">
        <f t="shared" si="2"/>
        <v>0</v>
      </c>
      <c r="G14" s="51" t="s">
        <v>35</v>
      </c>
      <c r="H14" s="25">
        <f>C20</f>
        <v>2192160.745</v>
      </c>
      <c r="I14" s="28">
        <f>H14/1000000</f>
        <v>2.192160745</v>
      </c>
      <c r="J14" s="31">
        <f>E20</f>
        <v>0.145234302</v>
      </c>
      <c r="K14" s="32" t="str">
        <f t="shared" ref="K14:L14" si="13">B21</f>
        <v>3.1. Pasture</v>
      </c>
      <c r="L14" s="32">
        <f t="shared" si="13"/>
        <v>2115748.131</v>
      </c>
      <c r="M14" s="38">
        <f t="shared" ref="M14:M17" si="15">L14/1000000</f>
        <v>2.115748131</v>
      </c>
      <c r="N14" s="34">
        <f t="shared" ref="N14:N17" si="16">M14/I$14</f>
        <v>0.9651427871</v>
      </c>
    </row>
    <row r="15" ht="15.75" customHeight="1">
      <c r="B15" s="21" t="s">
        <v>36</v>
      </c>
      <c r="C15" s="22">
        <v>5005375.479688185</v>
      </c>
      <c r="D15" s="23">
        <f t="shared" si="1"/>
        <v>5.00537548</v>
      </c>
      <c r="E15" s="24">
        <f t="shared" si="2"/>
        <v>0.3316144655</v>
      </c>
      <c r="G15" s="35"/>
      <c r="H15" s="35"/>
      <c r="I15" s="35"/>
      <c r="J15" s="35"/>
      <c r="K15" s="32" t="str">
        <f t="shared" ref="K15:L15" si="14">B22</f>
        <v>3.2. Agriculture</v>
      </c>
      <c r="L15" s="32">
        <f t="shared" si="14"/>
        <v>11156.48915</v>
      </c>
      <c r="M15" s="38">
        <f t="shared" si="15"/>
        <v>0.01115648915</v>
      </c>
      <c r="N15" s="34">
        <f t="shared" si="16"/>
        <v>0.005089266003</v>
      </c>
      <c r="O15" s="55"/>
    </row>
    <row r="16" ht="15.75" customHeight="1">
      <c r="B16" s="21" t="s">
        <v>37</v>
      </c>
      <c r="C16" s="22">
        <v>0.0</v>
      </c>
      <c r="D16" s="23">
        <f t="shared" si="1"/>
        <v>0</v>
      </c>
      <c r="E16" s="24">
        <f t="shared" si="2"/>
        <v>0</v>
      </c>
      <c r="G16" s="35"/>
      <c r="H16" s="35"/>
      <c r="I16" s="35"/>
      <c r="J16" s="35"/>
      <c r="K16" s="32" t="str">
        <f t="shared" ref="K16:L16" si="17">B23</f>
        <v>3.3. Forest Plantation</v>
      </c>
      <c r="L16" s="32">
        <f t="shared" si="17"/>
        <v>300.0823881</v>
      </c>
      <c r="M16" s="38">
        <f t="shared" si="15"/>
        <v>0.0003000823881</v>
      </c>
      <c r="N16" s="34">
        <f t="shared" si="16"/>
        <v>0.0001368888612</v>
      </c>
      <c r="O16" s="55"/>
    </row>
    <row r="17" ht="15.75" customHeight="1">
      <c r="B17" s="21" t="s">
        <v>38</v>
      </c>
      <c r="C17" s="22">
        <v>0.0</v>
      </c>
      <c r="D17" s="23">
        <f t="shared" si="1"/>
        <v>0</v>
      </c>
      <c r="E17" s="24">
        <f t="shared" si="2"/>
        <v>0</v>
      </c>
      <c r="G17" s="36"/>
      <c r="H17" s="36"/>
      <c r="I17" s="36"/>
      <c r="J17" s="36"/>
      <c r="K17" s="32" t="str">
        <f t="shared" ref="K17:L17" si="18">B24</f>
        <v>3.4. Mosaic of Uses</v>
      </c>
      <c r="L17" s="32">
        <f t="shared" si="18"/>
        <v>64956.04233</v>
      </c>
      <c r="M17" s="38">
        <f t="shared" si="15"/>
        <v>0.06495604233</v>
      </c>
      <c r="N17" s="34">
        <f t="shared" si="16"/>
        <v>0.02963105807</v>
      </c>
    </row>
    <row r="18" ht="15.75" customHeight="1">
      <c r="B18" s="21" t="s">
        <v>39</v>
      </c>
      <c r="C18" s="22">
        <v>3207.8219028502904</v>
      </c>
      <c r="D18" s="23">
        <f t="shared" si="1"/>
        <v>0.003207821903</v>
      </c>
      <c r="E18" s="24">
        <f t="shared" si="2"/>
        <v>0.0002125235459</v>
      </c>
      <c r="G18" s="57"/>
      <c r="H18" s="57"/>
      <c r="I18" s="57"/>
      <c r="J18" s="58"/>
      <c r="K18" s="59"/>
      <c r="L18" s="59"/>
      <c r="M18" s="59"/>
      <c r="N18" s="47"/>
      <c r="O18" s="55"/>
    </row>
    <row r="19" ht="15.75" customHeight="1">
      <c r="B19" s="21" t="s">
        <v>40</v>
      </c>
      <c r="C19" s="22"/>
      <c r="D19" s="23">
        <f t="shared" si="1"/>
        <v>0</v>
      </c>
      <c r="E19" s="24">
        <f t="shared" si="2"/>
        <v>0</v>
      </c>
      <c r="G19" s="25" t="s">
        <v>41</v>
      </c>
      <c r="H19" s="25">
        <f>C25</f>
        <v>8699.176637</v>
      </c>
      <c r="I19" s="28">
        <f>H19/1000000</f>
        <v>0.008699176637</v>
      </c>
      <c r="J19" s="31">
        <f>E25</f>
        <v>0.0005763349468</v>
      </c>
      <c r="K19" s="32" t="str">
        <f t="shared" ref="K19:L19" si="19">B27</f>
        <v>4.2. Urban Area</v>
      </c>
      <c r="L19" s="32">
        <f t="shared" si="19"/>
        <v>6421.841109</v>
      </c>
      <c r="M19" s="38">
        <f t="shared" ref="M19:M21" si="21">L19/1000000</f>
        <v>0.006421841109</v>
      </c>
      <c r="N19" s="34">
        <f t="shared" ref="N19:N21" si="22">M19/$I$19</f>
        <v>0.7382125202</v>
      </c>
      <c r="O19" s="55"/>
    </row>
    <row r="20" ht="15.75" customHeight="1">
      <c r="B20" s="13" t="s">
        <v>42</v>
      </c>
      <c r="C20" s="14">
        <v>2192160.745313403</v>
      </c>
      <c r="D20" s="15">
        <f t="shared" si="1"/>
        <v>2.192160745</v>
      </c>
      <c r="E20" s="16">
        <f t="shared" si="2"/>
        <v>0.145234302</v>
      </c>
      <c r="G20" s="35"/>
      <c r="H20" s="35"/>
      <c r="I20" s="35"/>
      <c r="J20" s="35"/>
      <c r="K20" s="32" t="str">
        <f t="shared" ref="K20:L20" si="20">B28</f>
        <v>4.3. Mining</v>
      </c>
      <c r="L20" s="32">
        <f t="shared" si="20"/>
        <v>1286.488644</v>
      </c>
      <c r="M20" s="38">
        <f t="shared" si="21"/>
        <v>0.001286488644</v>
      </c>
      <c r="N20" s="34">
        <f t="shared" si="22"/>
        <v>0.1478862538</v>
      </c>
      <c r="O20" s="55"/>
    </row>
    <row r="21" ht="15.75" customHeight="1">
      <c r="B21" s="21" t="s">
        <v>43</v>
      </c>
      <c r="C21" s="22">
        <v>2115748.1314389156</v>
      </c>
      <c r="D21" s="23">
        <f t="shared" si="1"/>
        <v>2.115748131</v>
      </c>
      <c r="E21" s="24">
        <f t="shared" si="2"/>
        <v>0.140171839</v>
      </c>
      <c r="G21" s="61"/>
      <c r="H21" s="61"/>
      <c r="I21" s="61"/>
      <c r="J21" s="61"/>
      <c r="K21" s="32" t="str">
        <f t="shared" ref="K21:L21" si="23">B31</f>
        <v>4.6. Other non Vegetated Areas</v>
      </c>
      <c r="L21" s="32">
        <f t="shared" si="23"/>
        <v>990.8468843</v>
      </c>
      <c r="M21" s="38">
        <f t="shared" si="21"/>
        <v>0.0009908468843</v>
      </c>
      <c r="N21" s="34">
        <f t="shared" si="22"/>
        <v>0.113901226</v>
      </c>
      <c r="O21" s="55"/>
    </row>
    <row r="22" ht="15.75" customHeight="1">
      <c r="B22" s="62" t="s">
        <v>44</v>
      </c>
      <c r="C22" s="22">
        <v>11156.489153241278</v>
      </c>
      <c r="D22" s="63">
        <f t="shared" si="1"/>
        <v>0.01115648915</v>
      </c>
      <c r="E22" s="64">
        <f t="shared" si="2"/>
        <v>0.0007391359953</v>
      </c>
      <c r="G22" s="59"/>
      <c r="H22" s="59"/>
      <c r="I22" s="59"/>
      <c r="J22" s="65"/>
      <c r="K22" s="21"/>
      <c r="L22" s="66"/>
      <c r="M22" s="55"/>
      <c r="N22" s="10"/>
    </row>
    <row r="23" ht="15.75" customHeight="1">
      <c r="B23" s="21" t="s">
        <v>45</v>
      </c>
      <c r="C23" s="22">
        <v>300.0823880737302</v>
      </c>
      <c r="D23" s="23">
        <f t="shared" si="1"/>
        <v>0.0003000823881</v>
      </c>
      <c r="E23" s="24">
        <f t="shared" si="2"/>
        <v>0.00001988095821</v>
      </c>
      <c r="G23" s="67" t="s">
        <v>46</v>
      </c>
      <c r="H23" s="68">
        <f>C32</f>
        <v>870599.6359</v>
      </c>
      <c r="I23" s="69">
        <f>H23/1000000</f>
        <v>0.8705996359</v>
      </c>
      <c r="J23" s="70">
        <f>E32</f>
        <v>0.05767867647</v>
      </c>
      <c r="K23" s="21"/>
      <c r="L23" s="66"/>
      <c r="M23" s="55"/>
      <c r="N23" s="10"/>
    </row>
    <row r="24" ht="15.75" customHeight="1">
      <c r="B24" s="21" t="s">
        <v>47</v>
      </c>
      <c r="C24" s="22">
        <v>64956.0423331725</v>
      </c>
      <c r="D24" s="23">
        <f t="shared" si="1"/>
        <v>0.06495604233</v>
      </c>
      <c r="E24" s="24">
        <f t="shared" si="2"/>
        <v>0.004303446034</v>
      </c>
      <c r="G24" s="57"/>
      <c r="H24" s="57"/>
      <c r="I24" s="57"/>
      <c r="J24" s="58"/>
      <c r="K24" s="2"/>
      <c r="L24" s="2"/>
      <c r="M24" s="2"/>
      <c r="N24" s="10"/>
      <c r="O24" s="55"/>
    </row>
    <row r="25" ht="15.75" customHeight="1">
      <c r="B25" s="13" t="s">
        <v>48</v>
      </c>
      <c r="C25" s="14">
        <v>8699.176637481532</v>
      </c>
      <c r="D25" s="15">
        <f t="shared" si="1"/>
        <v>0.008699176637</v>
      </c>
      <c r="E25" s="16">
        <f t="shared" si="2"/>
        <v>0.0005763349468</v>
      </c>
      <c r="G25" s="44"/>
      <c r="H25" s="44"/>
      <c r="I25" s="44"/>
      <c r="J25" s="46"/>
      <c r="K25" s="2"/>
      <c r="L25" s="2"/>
      <c r="M25" s="2"/>
      <c r="N25" s="10"/>
      <c r="O25" s="55"/>
    </row>
    <row r="26" ht="15.75" customHeight="1">
      <c r="B26" s="71" t="s">
        <v>49</v>
      </c>
      <c r="C26" s="22">
        <v>0.0</v>
      </c>
      <c r="D26" s="23">
        <f t="shared" si="1"/>
        <v>0</v>
      </c>
      <c r="E26" s="24">
        <f t="shared" si="2"/>
        <v>0</v>
      </c>
      <c r="G26" s="21"/>
      <c r="H26" s="66"/>
      <c r="I26" s="55"/>
      <c r="J26" s="72"/>
      <c r="K26" s="10"/>
      <c r="L26" s="55"/>
      <c r="O26" s="55"/>
    </row>
    <row r="27" ht="15.75" customHeight="1">
      <c r="B27" s="21" t="s">
        <v>50</v>
      </c>
      <c r="C27" s="22">
        <v>6421.841109393159</v>
      </c>
      <c r="D27" s="23">
        <f t="shared" si="1"/>
        <v>0.006421841109</v>
      </c>
      <c r="E27" s="24">
        <f t="shared" si="2"/>
        <v>0.0004254576736</v>
      </c>
      <c r="G27" s="72"/>
      <c r="H27" s="2"/>
      <c r="I27" s="2"/>
      <c r="J27" s="2"/>
      <c r="K27" s="10"/>
      <c r="O27" s="55"/>
    </row>
    <row r="28" ht="15.75" customHeight="1">
      <c r="B28" s="62" t="s">
        <v>51</v>
      </c>
      <c r="C28" s="22">
        <v>1286.4886437744121</v>
      </c>
      <c r="D28" s="63">
        <f t="shared" si="1"/>
        <v>0.001286488644</v>
      </c>
      <c r="E28" s="73">
        <f t="shared" si="2"/>
        <v>0.0000852320162</v>
      </c>
      <c r="G28" s="74"/>
      <c r="H28" s="2"/>
      <c r="I28" s="2"/>
      <c r="J28" s="2"/>
      <c r="K28" s="10"/>
      <c r="O28" s="55"/>
    </row>
    <row r="29" ht="15.75" customHeight="1">
      <c r="B29" s="21" t="s">
        <v>52</v>
      </c>
      <c r="C29" s="22">
        <v>0.0</v>
      </c>
      <c r="D29" s="23">
        <f t="shared" si="1"/>
        <v>0</v>
      </c>
      <c r="E29" s="24">
        <f t="shared" si="2"/>
        <v>0</v>
      </c>
      <c r="G29" s="5"/>
      <c r="K29" s="10"/>
    </row>
    <row r="30" ht="15.75" customHeight="1">
      <c r="B30" s="21" t="s">
        <v>53</v>
      </c>
      <c r="C30" s="22">
        <v>0.0</v>
      </c>
      <c r="D30" s="23">
        <f t="shared" si="1"/>
        <v>0</v>
      </c>
      <c r="E30" s="24">
        <f t="shared" si="2"/>
        <v>0</v>
      </c>
      <c r="G30" s="5"/>
      <c r="K30" s="10"/>
      <c r="O30" s="55"/>
    </row>
    <row r="31" ht="15.75" customHeight="1">
      <c r="B31" s="62" t="s">
        <v>54</v>
      </c>
      <c r="C31" s="22">
        <v>990.846884313961</v>
      </c>
      <c r="D31" s="63">
        <f t="shared" si="1"/>
        <v>0.0009908468843</v>
      </c>
      <c r="E31" s="64">
        <f t="shared" si="2"/>
        <v>0.00006564525704</v>
      </c>
      <c r="G31" s="5"/>
      <c r="K31" s="10"/>
      <c r="O31" s="55"/>
    </row>
    <row r="32" ht="15.75" customHeight="1">
      <c r="B32" s="13" t="s">
        <v>55</v>
      </c>
      <c r="C32" s="14">
        <v>870599.6358571721</v>
      </c>
      <c r="D32" s="15">
        <f t="shared" si="1"/>
        <v>0.8705996359</v>
      </c>
      <c r="E32" s="16">
        <f t="shared" si="2"/>
        <v>0.05767867647</v>
      </c>
      <c r="G32" s="5"/>
      <c r="K32" s="10"/>
    </row>
    <row r="33" ht="15.75" customHeight="1">
      <c r="B33" s="75" t="s">
        <v>56</v>
      </c>
      <c r="C33" s="75">
        <v>870545.294463825</v>
      </c>
      <c r="D33" s="63">
        <f t="shared" si="1"/>
        <v>0.8705452945</v>
      </c>
      <c r="E33" s="64">
        <f t="shared" si="2"/>
        <v>0.05767507626</v>
      </c>
      <c r="G33" s="5"/>
      <c r="K33" s="10"/>
    </row>
    <row r="34" ht="15.75" customHeight="1">
      <c r="B34" s="75" t="s">
        <v>57</v>
      </c>
      <c r="C34" s="75">
        <v>54.3413933471682</v>
      </c>
      <c r="D34" s="63">
        <f t="shared" si="1"/>
        <v>0.00005434139335</v>
      </c>
      <c r="E34" s="64">
        <f t="shared" si="2"/>
        <v>0.000003600207853</v>
      </c>
      <c r="G34" s="5"/>
      <c r="K34" s="10"/>
    </row>
    <row r="35" ht="15.75" customHeight="1">
      <c r="B35" s="13" t="s">
        <v>58</v>
      </c>
      <c r="C35" s="14">
        <v>334.23483043212894</v>
      </c>
      <c r="D35" s="15">
        <f t="shared" si="1"/>
        <v>0.0003342348304</v>
      </c>
      <c r="E35" s="16">
        <f t="shared" si="2"/>
        <v>0.00002214361442</v>
      </c>
      <c r="G35" s="5"/>
      <c r="K35" s="10"/>
    </row>
    <row r="36" ht="15.75" customHeight="1">
      <c r="B36" s="76" t="s">
        <v>59</v>
      </c>
      <c r="C36" s="77">
        <f>SUM(C5,C12,C20,C25,C32,C35)</f>
        <v>15093960.01</v>
      </c>
      <c r="D36" s="78">
        <f t="shared" si="1"/>
        <v>15.09396001</v>
      </c>
      <c r="E36" s="76"/>
      <c r="G36" s="5"/>
      <c r="K36" s="10"/>
    </row>
    <row r="37" ht="15.75" customHeight="1">
      <c r="G37" s="5"/>
      <c r="K37" s="10"/>
    </row>
    <row r="38" ht="15.75" customHeight="1">
      <c r="G38" s="5"/>
      <c r="K38" s="10"/>
    </row>
    <row r="39" ht="15.75" customHeight="1">
      <c r="G39" s="5"/>
      <c r="K39" s="10"/>
    </row>
    <row r="40" ht="15.75" customHeight="1">
      <c r="G40" s="5"/>
      <c r="K40" s="10"/>
    </row>
    <row r="41" ht="15.75" customHeight="1">
      <c r="G41" s="5"/>
      <c r="K41" s="10"/>
    </row>
    <row r="42" ht="15.75" customHeight="1">
      <c r="G42" s="5"/>
      <c r="K42" s="10"/>
    </row>
    <row r="43" ht="15.75" customHeight="1">
      <c r="G43" s="5"/>
      <c r="K43" s="10"/>
    </row>
    <row r="44" ht="15.75" customHeight="1">
      <c r="G44" s="5"/>
      <c r="K44" s="10"/>
    </row>
    <row r="45" ht="15.75" customHeight="1">
      <c r="G45" s="5"/>
      <c r="K45" s="10"/>
    </row>
    <row r="46" ht="15.75" customHeight="1">
      <c r="G46" s="5"/>
      <c r="N46" s="10"/>
    </row>
    <row r="47" ht="15.75" customHeight="1">
      <c r="J47" s="5"/>
      <c r="N47" s="10"/>
    </row>
    <row r="48" ht="15.75" customHeight="1">
      <c r="J48" s="5"/>
      <c r="N48" s="10"/>
    </row>
    <row r="49" ht="15.75" customHeight="1">
      <c r="J49" s="5"/>
      <c r="N49" s="10"/>
    </row>
    <row r="50" ht="15.75" customHeight="1">
      <c r="J50" s="5"/>
      <c r="N50" s="10"/>
    </row>
    <row r="51" ht="15.75" customHeight="1">
      <c r="J51" s="5"/>
      <c r="N51" s="10"/>
    </row>
    <row r="52" ht="15.75" customHeight="1">
      <c r="J52" s="5"/>
      <c r="N52" s="10"/>
    </row>
    <row r="53" ht="15.75" customHeight="1">
      <c r="J53" s="5"/>
      <c r="N53" s="10"/>
    </row>
    <row r="54" ht="15.75" customHeight="1">
      <c r="J54" s="5"/>
      <c r="N54" s="10"/>
    </row>
    <row r="55" ht="15.75" customHeight="1">
      <c r="J55" s="5"/>
      <c r="N55" s="10"/>
    </row>
    <row r="56" ht="15.75" customHeight="1">
      <c r="J56" s="5"/>
      <c r="N56" s="10"/>
    </row>
    <row r="57" ht="15.75" customHeight="1">
      <c r="J57" s="5"/>
      <c r="N57" s="10"/>
    </row>
    <row r="58" ht="15.75" customHeight="1">
      <c r="J58" s="5"/>
      <c r="N58" s="10"/>
    </row>
    <row r="59" ht="15.75" customHeight="1">
      <c r="J59" s="5"/>
      <c r="N59" s="10"/>
    </row>
    <row r="60" ht="15.75" customHeight="1">
      <c r="J60" s="5"/>
      <c r="N60" s="10"/>
    </row>
    <row r="61" ht="15.75" customHeight="1">
      <c r="J61" s="5"/>
      <c r="N61" s="10"/>
    </row>
    <row r="62" ht="15.75" customHeight="1">
      <c r="J62" s="5"/>
      <c r="N62" s="10"/>
    </row>
    <row r="63" ht="15.75" customHeight="1">
      <c r="J63" s="5"/>
      <c r="N63" s="10"/>
    </row>
    <row r="64" ht="15.75" customHeight="1">
      <c r="J64" s="5"/>
      <c r="N64" s="10"/>
    </row>
    <row r="65" ht="15.75" customHeight="1">
      <c r="J65" s="5"/>
      <c r="N65" s="10"/>
    </row>
    <row r="66" ht="15.75" customHeight="1">
      <c r="J66" s="5"/>
      <c r="N66" s="10"/>
    </row>
    <row r="67" ht="15.75" customHeight="1">
      <c r="J67" s="5"/>
      <c r="N67" s="10"/>
    </row>
    <row r="68" ht="15.75" customHeight="1">
      <c r="J68" s="5"/>
      <c r="N68" s="10"/>
    </row>
    <row r="69" ht="15.75" customHeight="1">
      <c r="J69" s="5"/>
      <c r="N69" s="10"/>
    </row>
    <row r="70" ht="15.75" customHeight="1">
      <c r="J70" s="5"/>
      <c r="N70" s="10"/>
    </row>
    <row r="71" ht="15.75" customHeight="1">
      <c r="J71" s="5"/>
      <c r="N71" s="10"/>
    </row>
    <row r="72" ht="15.75" customHeight="1">
      <c r="J72" s="5"/>
      <c r="N72" s="10"/>
    </row>
    <row r="73" ht="15.75" customHeight="1">
      <c r="J73" s="5"/>
      <c r="N73" s="10"/>
    </row>
    <row r="74" ht="15.75" customHeight="1">
      <c r="J74" s="5"/>
      <c r="N74" s="10"/>
    </row>
    <row r="75" ht="15.75" customHeight="1">
      <c r="J75" s="5"/>
      <c r="N75" s="10"/>
    </row>
    <row r="76" ht="15.75" customHeight="1">
      <c r="J76" s="5"/>
      <c r="N76" s="10"/>
    </row>
    <row r="77" ht="15.75" customHeight="1">
      <c r="J77" s="5"/>
      <c r="N77" s="10"/>
    </row>
    <row r="78" ht="15.75" customHeight="1">
      <c r="J78" s="5"/>
      <c r="N78" s="10"/>
    </row>
    <row r="79" ht="15.75" customHeight="1">
      <c r="J79" s="5"/>
      <c r="N79" s="10"/>
    </row>
    <row r="80" ht="15.75" customHeight="1">
      <c r="J80" s="5"/>
      <c r="N80" s="10"/>
    </row>
    <row r="81" ht="15.75" customHeight="1">
      <c r="J81" s="5"/>
      <c r="N81" s="10"/>
    </row>
    <row r="82" ht="15.75" customHeight="1">
      <c r="J82" s="5"/>
      <c r="N82" s="10"/>
    </row>
    <row r="83" ht="15.75" customHeight="1">
      <c r="J83" s="5"/>
      <c r="N83" s="10"/>
    </row>
    <row r="84" ht="15.75" customHeight="1">
      <c r="J84" s="5"/>
      <c r="N84" s="10"/>
    </row>
    <row r="85" ht="15.75" customHeight="1">
      <c r="J85" s="5"/>
      <c r="N85" s="10"/>
    </row>
    <row r="86" ht="15.75" customHeight="1">
      <c r="J86" s="5"/>
      <c r="N86" s="10"/>
    </row>
    <row r="87" ht="15.75" customHeight="1">
      <c r="J87" s="5"/>
      <c r="N87" s="10"/>
    </row>
    <row r="88" ht="15.75" customHeight="1">
      <c r="J88" s="5"/>
      <c r="N88" s="10"/>
    </row>
    <row r="89" ht="15.75" customHeight="1">
      <c r="J89" s="5"/>
      <c r="N89" s="10"/>
    </row>
    <row r="90" ht="15.75" customHeight="1">
      <c r="J90" s="5"/>
      <c r="N90" s="10"/>
    </row>
    <row r="91" ht="15.75" customHeight="1">
      <c r="J91" s="5"/>
      <c r="N91" s="10"/>
    </row>
    <row r="92" ht="15.75" customHeight="1">
      <c r="J92" s="5"/>
      <c r="N92" s="10"/>
    </row>
    <row r="93" ht="15.75" customHeight="1">
      <c r="J93" s="5"/>
      <c r="N93" s="10"/>
    </row>
    <row r="94" ht="15.75" customHeight="1">
      <c r="J94" s="5"/>
      <c r="N94" s="10"/>
    </row>
    <row r="95" ht="15.75" customHeight="1">
      <c r="J95" s="5"/>
      <c r="N95" s="10"/>
    </row>
    <row r="96" ht="15.75" customHeight="1">
      <c r="J96" s="5"/>
      <c r="N96" s="10"/>
    </row>
    <row r="97" ht="15.75" customHeight="1">
      <c r="J97" s="5"/>
      <c r="N97" s="10"/>
    </row>
    <row r="98" ht="15.75" customHeight="1">
      <c r="J98" s="5"/>
      <c r="N98" s="10"/>
    </row>
    <row r="99" ht="15.75" customHeight="1">
      <c r="J99" s="5"/>
      <c r="N99" s="10"/>
    </row>
    <row r="100" ht="15.75" customHeight="1">
      <c r="J100" s="5"/>
      <c r="N100" s="10"/>
    </row>
    <row r="101" ht="15.75" customHeight="1">
      <c r="J101" s="5"/>
      <c r="N101" s="10"/>
    </row>
    <row r="102" ht="15.75" customHeight="1">
      <c r="J102" s="5"/>
      <c r="N102" s="10"/>
    </row>
    <row r="103" ht="15.75" customHeight="1">
      <c r="J103" s="5"/>
      <c r="N103" s="10"/>
    </row>
    <row r="104" ht="15.75" customHeight="1">
      <c r="J104" s="5"/>
      <c r="N104" s="10"/>
    </row>
    <row r="105" ht="15.75" customHeight="1">
      <c r="J105" s="5"/>
      <c r="N105" s="10"/>
    </row>
    <row r="106" ht="15.75" customHeight="1">
      <c r="J106" s="5"/>
      <c r="N106" s="10"/>
    </row>
    <row r="107" ht="15.75" customHeight="1">
      <c r="J107" s="5"/>
      <c r="N107" s="10"/>
    </row>
    <row r="108" ht="15.75" customHeight="1">
      <c r="J108" s="5"/>
      <c r="N108" s="10"/>
    </row>
    <row r="109" ht="15.75" customHeight="1">
      <c r="J109" s="5"/>
      <c r="N109" s="10"/>
    </row>
    <row r="110" ht="15.75" customHeight="1">
      <c r="J110" s="5"/>
      <c r="N110" s="10"/>
    </row>
    <row r="111" ht="15.75" customHeight="1">
      <c r="J111" s="5"/>
      <c r="N111" s="10"/>
    </row>
    <row r="112" ht="15.75" customHeight="1">
      <c r="J112" s="5"/>
      <c r="N112" s="10"/>
    </row>
    <row r="113" ht="15.75" customHeight="1">
      <c r="J113" s="5"/>
      <c r="N113" s="10"/>
    </row>
    <row r="114" ht="15.75" customHeight="1">
      <c r="J114" s="5"/>
      <c r="N114" s="10"/>
    </row>
    <row r="115" ht="15.75" customHeight="1">
      <c r="J115" s="5"/>
      <c r="N115" s="10"/>
    </row>
    <row r="116" ht="15.75" customHeight="1">
      <c r="J116" s="5"/>
      <c r="N116" s="10"/>
    </row>
    <row r="117" ht="15.75" customHeight="1">
      <c r="J117" s="5"/>
      <c r="N117" s="10"/>
    </row>
    <row r="118" ht="15.75" customHeight="1">
      <c r="J118" s="5"/>
      <c r="N118" s="10"/>
    </row>
    <row r="119" ht="15.75" customHeight="1">
      <c r="J119" s="5"/>
      <c r="N119" s="10"/>
    </row>
    <row r="120" ht="15.75" customHeight="1">
      <c r="J120" s="5"/>
      <c r="N120" s="10"/>
    </row>
    <row r="121" ht="15.75" customHeight="1">
      <c r="J121" s="5"/>
      <c r="N121" s="10"/>
    </row>
    <row r="122" ht="15.75" customHeight="1">
      <c r="J122" s="5"/>
      <c r="N122" s="10"/>
    </row>
    <row r="123" ht="15.75" customHeight="1">
      <c r="J123" s="5"/>
      <c r="N123" s="10"/>
    </row>
    <row r="124" ht="15.75" customHeight="1">
      <c r="J124" s="5"/>
      <c r="N124" s="10"/>
    </row>
    <row r="125" ht="15.75" customHeight="1">
      <c r="J125" s="5"/>
      <c r="N125" s="10"/>
    </row>
    <row r="126" ht="15.75" customHeight="1">
      <c r="J126" s="5"/>
      <c r="N126" s="10"/>
    </row>
    <row r="127" ht="15.75" customHeight="1">
      <c r="J127" s="5"/>
      <c r="N127" s="10"/>
    </row>
    <row r="128" ht="15.75" customHeight="1">
      <c r="J128" s="5"/>
      <c r="N128" s="10"/>
    </row>
    <row r="129" ht="15.75" customHeight="1">
      <c r="J129" s="5"/>
      <c r="N129" s="10"/>
    </row>
    <row r="130" ht="15.75" customHeight="1">
      <c r="J130" s="5"/>
      <c r="N130" s="10"/>
    </row>
    <row r="131" ht="15.75" customHeight="1">
      <c r="J131" s="5"/>
      <c r="N131" s="10"/>
    </row>
    <row r="132" ht="15.75" customHeight="1">
      <c r="J132" s="5"/>
      <c r="N132" s="10"/>
    </row>
    <row r="133" ht="15.75" customHeight="1">
      <c r="J133" s="5"/>
      <c r="N133" s="10"/>
    </row>
    <row r="134" ht="15.75" customHeight="1">
      <c r="J134" s="5"/>
      <c r="N134" s="10"/>
    </row>
    <row r="135" ht="15.75" customHeight="1">
      <c r="J135" s="5"/>
      <c r="N135" s="10"/>
    </row>
    <row r="136" ht="15.75" customHeight="1">
      <c r="J136" s="5"/>
      <c r="N136" s="10"/>
    </row>
    <row r="137" ht="15.75" customHeight="1">
      <c r="J137" s="5"/>
      <c r="N137" s="10"/>
    </row>
    <row r="138" ht="15.75" customHeight="1">
      <c r="J138" s="5"/>
      <c r="N138" s="10"/>
    </row>
    <row r="139" ht="15.75" customHeight="1">
      <c r="J139" s="5"/>
      <c r="N139" s="10"/>
    </row>
    <row r="140" ht="15.75" customHeight="1">
      <c r="J140" s="5"/>
      <c r="N140" s="10"/>
    </row>
    <row r="141" ht="15.75" customHeight="1">
      <c r="J141" s="5"/>
      <c r="N141" s="10"/>
    </row>
    <row r="142" ht="15.75" customHeight="1">
      <c r="J142" s="5"/>
      <c r="N142" s="10"/>
    </row>
    <row r="143" ht="15.75" customHeight="1">
      <c r="J143" s="5"/>
      <c r="N143" s="10"/>
    </row>
    <row r="144" ht="15.75" customHeight="1">
      <c r="J144" s="5"/>
      <c r="N144" s="10"/>
    </row>
    <row r="145" ht="15.75" customHeight="1">
      <c r="J145" s="5"/>
      <c r="N145" s="10"/>
    </row>
    <row r="146" ht="15.75" customHeight="1">
      <c r="J146" s="5"/>
      <c r="N146" s="10"/>
    </row>
    <row r="147" ht="15.75" customHeight="1">
      <c r="J147" s="5"/>
      <c r="N147" s="10"/>
    </row>
    <row r="148" ht="15.75" customHeight="1">
      <c r="J148" s="5"/>
      <c r="N148" s="10"/>
    </row>
    <row r="149" ht="15.75" customHeight="1">
      <c r="J149" s="5"/>
      <c r="N149" s="10"/>
    </row>
    <row r="150" ht="15.75" customHeight="1">
      <c r="J150" s="5"/>
      <c r="N150" s="10"/>
    </row>
    <row r="151" ht="15.75" customHeight="1">
      <c r="J151" s="5"/>
      <c r="N151" s="10"/>
    </row>
    <row r="152" ht="15.75" customHeight="1">
      <c r="J152" s="5"/>
      <c r="N152" s="10"/>
    </row>
    <row r="153" ht="15.75" customHeight="1">
      <c r="J153" s="5"/>
      <c r="N153" s="10"/>
    </row>
    <row r="154" ht="15.75" customHeight="1">
      <c r="J154" s="5"/>
      <c r="N154" s="10"/>
    </row>
    <row r="155" ht="15.75" customHeight="1">
      <c r="J155" s="5"/>
      <c r="N155" s="10"/>
    </row>
    <row r="156" ht="15.75" customHeight="1">
      <c r="J156" s="5"/>
      <c r="N156" s="10"/>
    </row>
    <row r="157" ht="15.75" customHeight="1">
      <c r="J157" s="5"/>
      <c r="N157" s="10"/>
    </row>
    <row r="158" ht="15.75" customHeight="1">
      <c r="J158" s="5"/>
      <c r="N158" s="10"/>
    </row>
    <row r="159" ht="15.75" customHeight="1">
      <c r="J159" s="5"/>
      <c r="N159" s="10"/>
    </row>
    <row r="160" ht="15.75" customHeight="1">
      <c r="J160" s="5"/>
      <c r="N160" s="10"/>
    </row>
    <row r="161" ht="15.75" customHeight="1">
      <c r="J161" s="5"/>
      <c r="N161" s="10"/>
    </row>
    <row r="162" ht="15.75" customHeight="1">
      <c r="J162" s="5"/>
      <c r="N162" s="10"/>
    </row>
    <row r="163" ht="15.75" customHeight="1">
      <c r="J163" s="5"/>
      <c r="N163" s="10"/>
    </row>
    <row r="164" ht="15.75" customHeight="1">
      <c r="J164" s="5"/>
      <c r="N164" s="10"/>
    </row>
    <row r="165" ht="15.75" customHeight="1">
      <c r="J165" s="5"/>
      <c r="N165" s="10"/>
    </row>
    <row r="166" ht="15.75" customHeight="1">
      <c r="J166" s="5"/>
      <c r="N166" s="10"/>
    </row>
    <row r="167" ht="15.75" customHeight="1">
      <c r="J167" s="5"/>
      <c r="N167" s="10"/>
    </row>
    <row r="168" ht="15.75" customHeight="1">
      <c r="J168" s="5"/>
      <c r="N168" s="10"/>
    </row>
    <row r="169" ht="15.75" customHeight="1">
      <c r="J169" s="5"/>
      <c r="N169" s="10"/>
    </row>
    <row r="170" ht="15.75" customHeight="1">
      <c r="J170" s="5"/>
      <c r="N170" s="10"/>
    </row>
    <row r="171" ht="15.75" customHeight="1">
      <c r="J171" s="5"/>
      <c r="N171" s="10"/>
    </row>
    <row r="172" ht="15.75" customHeight="1">
      <c r="J172" s="5"/>
      <c r="N172" s="10"/>
    </row>
    <row r="173" ht="15.75" customHeight="1">
      <c r="J173" s="5"/>
      <c r="N173" s="10"/>
    </row>
    <row r="174" ht="15.75" customHeight="1">
      <c r="J174" s="5"/>
      <c r="N174" s="10"/>
    </row>
    <row r="175" ht="15.75" customHeight="1">
      <c r="J175" s="5"/>
      <c r="N175" s="10"/>
    </row>
    <row r="176" ht="15.75" customHeight="1">
      <c r="J176" s="5"/>
      <c r="N176" s="10"/>
    </row>
    <row r="177" ht="15.75" customHeight="1">
      <c r="J177" s="5"/>
      <c r="N177" s="10"/>
    </row>
    <row r="178" ht="15.75" customHeight="1">
      <c r="J178" s="5"/>
      <c r="N178" s="10"/>
    </row>
    <row r="179" ht="15.75" customHeight="1">
      <c r="J179" s="5"/>
      <c r="N179" s="10"/>
    </row>
    <row r="180" ht="15.75" customHeight="1">
      <c r="J180" s="5"/>
      <c r="N180" s="10"/>
    </row>
    <row r="181" ht="15.75" customHeight="1">
      <c r="J181" s="5"/>
      <c r="N181" s="10"/>
    </row>
    <row r="182" ht="15.75" customHeight="1">
      <c r="J182" s="5"/>
      <c r="N182" s="10"/>
    </row>
    <row r="183" ht="15.75" customHeight="1">
      <c r="J183" s="5"/>
      <c r="N183" s="10"/>
    </row>
    <row r="184" ht="15.75" customHeight="1">
      <c r="J184" s="5"/>
      <c r="N184" s="10"/>
    </row>
    <row r="185" ht="15.75" customHeight="1">
      <c r="J185" s="5"/>
      <c r="N185" s="10"/>
    </row>
    <row r="186" ht="15.75" customHeight="1">
      <c r="J186" s="5"/>
      <c r="N186" s="10"/>
    </row>
    <row r="187" ht="15.75" customHeight="1">
      <c r="J187" s="5"/>
      <c r="N187" s="10"/>
    </row>
    <row r="188" ht="15.75" customHeight="1">
      <c r="J188" s="5"/>
      <c r="N188" s="10"/>
    </row>
    <row r="189" ht="15.75" customHeight="1">
      <c r="J189" s="5"/>
      <c r="N189" s="10"/>
    </row>
    <row r="190" ht="15.75" customHeight="1">
      <c r="J190" s="5"/>
      <c r="N190" s="10"/>
    </row>
    <row r="191" ht="15.75" customHeight="1">
      <c r="J191" s="5"/>
      <c r="N191" s="10"/>
    </row>
    <row r="192" ht="15.75" customHeight="1">
      <c r="J192" s="5"/>
      <c r="N192" s="10"/>
    </row>
    <row r="193" ht="15.75" customHeight="1">
      <c r="J193" s="5"/>
      <c r="N193" s="10"/>
    </row>
    <row r="194" ht="15.75" customHeight="1">
      <c r="J194" s="5"/>
      <c r="N194" s="10"/>
    </row>
    <row r="195" ht="15.75" customHeight="1">
      <c r="J195" s="5"/>
      <c r="N195" s="10"/>
    </row>
    <row r="196" ht="15.75" customHeight="1">
      <c r="J196" s="5"/>
      <c r="N196" s="10"/>
    </row>
    <row r="197" ht="15.75" customHeight="1">
      <c r="J197" s="5"/>
      <c r="N197" s="10"/>
    </row>
    <row r="198" ht="15.75" customHeight="1">
      <c r="J198" s="5"/>
      <c r="N198" s="10"/>
    </row>
    <row r="199" ht="15.75" customHeight="1">
      <c r="J199" s="5"/>
      <c r="N199" s="10"/>
    </row>
    <row r="200" ht="15.75" customHeight="1">
      <c r="J200" s="5"/>
      <c r="N200" s="10"/>
    </row>
    <row r="201" ht="15.75" customHeight="1">
      <c r="J201" s="5"/>
      <c r="N201" s="10"/>
    </row>
    <row r="202" ht="15.75" customHeight="1">
      <c r="J202" s="5"/>
      <c r="N202" s="10"/>
    </row>
    <row r="203" ht="15.75" customHeight="1">
      <c r="J203" s="5"/>
      <c r="N203" s="10"/>
    </row>
    <row r="204" ht="15.75" customHeight="1">
      <c r="J204" s="5"/>
      <c r="N204" s="10"/>
    </row>
    <row r="205" ht="15.75" customHeight="1">
      <c r="J205" s="5"/>
      <c r="N205" s="10"/>
    </row>
    <row r="206" ht="15.75" customHeight="1">
      <c r="J206" s="5"/>
      <c r="N206" s="10"/>
    </row>
    <row r="207" ht="15.75" customHeight="1">
      <c r="J207" s="5"/>
      <c r="N207" s="10"/>
    </row>
    <row r="208" ht="15.75" customHeight="1">
      <c r="J208" s="5"/>
      <c r="N208" s="10"/>
    </row>
    <row r="209" ht="15.75" customHeight="1">
      <c r="J209" s="5"/>
      <c r="N209" s="10"/>
    </row>
    <row r="210" ht="15.75" customHeight="1">
      <c r="J210" s="5"/>
      <c r="N210" s="10"/>
    </row>
    <row r="211" ht="15.75" customHeight="1">
      <c r="J211" s="5"/>
      <c r="N211" s="10"/>
    </row>
    <row r="212" ht="15.75" customHeight="1">
      <c r="J212" s="5"/>
      <c r="N212" s="10"/>
    </row>
    <row r="213" ht="15.75" customHeight="1">
      <c r="J213" s="5"/>
      <c r="N213" s="10"/>
    </row>
    <row r="214" ht="15.75" customHeight="1">
      <c r="J214" s="5"/>
      <c r="N214" s="10"/>
    </row>
    <row r="215" ht="15.75" customHeight="1">
      <c r="J215" s="5"/>
      <c r="N215" s="10"/>
    </row>
    <row r="216" ht="15.75" customHeight="1">
      <c r="J216" s="5"/>
      <c r="N216" s="10"/>
    </row>
    <row r="217" ht="15.75" customHeight="1">
      <c r="J217" s="5"/>
      <c r="N217" s="10"/>
    </row>
    <row r="218" ht="15.75" customHeight="1">
      <c r="J218" s="5"/>
      <c r="N218" s="10"/>
    </row>
    <row r="219" ht="15.75" customHeight="1">
      <c r="J219" s="5"/>
      <c r="N219" s="10"/>
    </row>
    <row r="220" ht="15.75" customHeight="1">
      <c r="J220" s="5"/>
      <c r="N220" s="10"/>
    </row>
    <row r="221" ht="15.75" customHeight="1">
      <c r="J221" s="5"/>
      <c r="N221" s="10"/>
    </row>
    <row r="222" ht="15.75" customHeight="1">
      <c r="J222" s="5"/>
      <c r="N222" s="10"/>
    </row>
    <row r="223" ht="15.75" customHeight="1">
      <c r="J223" s="5"/>
      <c r="N223" s="10"/>
    </row>
    <row r="224" ht="15.75" customHeight="1">
      <c r="J224" s="5"/>
      <c r="N224" s="10"/>
    </row>
    <row r="225" ht="15.75" customHeight="1">
      <c r="J225" s="5"/>
      <c r="N225" s="10"/>
    </row>
    <row r="226" ht="15.75" customHeight="1">
      <c r="J226" s="5"/>
      <c r="N226" s="10"/>
    </row>
    <row r="227" ht="15.75" customHeight="1">
      <c r="J227" s="5"/>
      <c r="N227" s="10"/>
    </row>
    <row r="228" ht="15.75" customHeight="1">
      <c r="J228" s="5"/>
      <c r="N228" s="10"/>
    </row>
    <row r="229" ht="15.75" customHeight="1">
      <c r="J229" s="5"/>
      <c r="N229" s="10"/>
    </row>
    <row r="230" ht="15.75" customHeight="1">
      <c r="J230" s="5"/>
      <c r="N230" s="10"/>
    </row>
    <row r="231" ht="15.75" customHeight="1">
      <c r="J231" s="5"/>
      <c r="N231" s="10"/>
    </row>
    <row r="232" ht="15.75" customHeight="1">
      <c r="J232" s="5"/>
      <c r="N232" s="10"/>
    </row>
    <row r="233" ht="15.75" customHeight="1">
      <c r="J233" s="5"/>
      <c r="N233" s="10"/>
    </row>
    <row r="234" ht="15.75" customHeight="1">
      <c r="J234" s="5"/>
      <c r="N234" s="10"/>
    </row>
    <row r="235" ht="15.75" customHeight="1">
      <c r="J235" s="5"/>
      <c r="N235" s="10"/>
    </row>
    <row r="236" ht="15.75" customHeight="1">
      <c r="J236" s="5"/>
      <c r="N236" s="10"/>
    </row>
    <row r="237" ht="15.75" customHeight="1">
      <c r="J237" s="5"/>
      <c r="N237" s="10"/>
    </row>
    <row r="238" ht="15.75" customHeight="1">
      <c r="J238" s="5"/>
      <c r="N238" s="10"/>
    </row>
    <row r="239" ht="15.75" customHeight="1">
      <c r="J239" s="5"/>
      <c r="N239" s="10"/>
    </row>
    <row r="240" ht="15.75" customHeight="1">
      <c r="J240" s="5"/>
      <c r="N240" s="10"/>
    </row>
    <row r="241" ht="15.75" customHeight="1">
      <c r="J241" s="5"/>
      <c r="N241" s="10"/>
    </row>
    <row r="242" ht="15.75" customHeight="1">
      <c r="J242" s="5"/>
      <c r="N242" s="10"/>
    </row>
    <row r="243" ht="15.75" customHeight="1">
      <c r="J243" s="5"/>
      <c r="N243" s="10"/>
    </row>
    <row r="244" ht="15.75" customHeight="1">
      <c r="J244" s="5"/>
      <c r="N244" s="10"/>
    </row>
    <row r="245" ht="15.75" customHeight="1">
      <c r="J245" s="5"/>
      <c r="N245" s="10"/>
    </row>
    <row r="246" ht="15.75" customHeight="1">
      <c r="J246" s="5"/>
      <c r="N246" s="10"/>
    </row>
    <row r="247" ht="15.75" customHeight="1">
      <c r="J247" s="5"/>
      <c r="N247" s="10"/>
    </row>
    <row r="248" ht="15.75" customHeight="1">
      <c r="J248" s="5"/>
      <c r="N248" s="10"/>
    </row>
    <row r="249" ht="15.75" customHeight="1">
      <c r="J249" s="5"/>
      <c r="N249" s="10"/>
    </row>
    <row r="250" ht="15.75" customHeight="1">
      <c r="J250" s="5"/>
      <c r="N250" s="10"/>
    </row>
    <row r="251" ht="15.75" customHeight="1">
      <c r="J251" s="5"/>
      <c r="N251" s="10"/>
    </row>
    <row r="252" ht="15.75" customHeight="1">
      <c r="J252" s="5"/>
      <c r="N252" s="10"/>
    </row>
    <row r="253" ht="15.75" customHeight="1">
      <c r="J253" s="5"/>
      <c r="N253" s="10"/>
    </row>
    <row r="254" ht="15.75" customHeight="1">
      <c r="J254" s="5"/>
      <c r="N254" s="10"/>
    </row>
    <row r="255" ht="15.75" customHeight="1">
      <c r="J255" s="5"/>
      <c r="N255" s="10"/>
    </row>
    <row r="256" ht="15.75" customHeight="1">
      <c r="J256" s="5"/>
      <c r="N256" s="10"/>
    </row>
    <row r="257" ht="15.75" customHeight="1">
      <c r="J257" s="5"/>
      <c r="N257" s="10"/>
    </row>
    <row r="258" ht="15.75" customHeight="1">
      <c r="J258" s="5"/>
      <c r="N258" s="10"/>
    </row>
    <row r="259" ht="15.75" customHeight="1">
      <c r="J259" s="5"/>
      <c r="N259" s="10"/>
    </row>
    <row r="260" ht="15.75" customHeight="1">
      <c r="J260" s="5"/>
      <c r="N260" s="10"/>
    </row>
    <row r="261" ht="15.75" customHeight="1">
      <c r="J261" s="5"/>
      <c r="N261" s="10"/>
    </row>
    <row r="262" ht="15.75" customHeight="1">
      <c r="J262" s="5"/>
      <c r="N262" s="10"/>
    </row>
    <row r="263" ht="15.75" customHeight="1">
      <c r="J263" s="5"/>
      <c r="N263" s="10"/>
    </row>
    <row r="264" ht="15.75" customHeight="1">
      <c r="J264" s="5"/>
      <c r="N264" s="10"/>
    </row>
    <row r="265" ht="15.75" customHeight="1">
      <c r="J265" s="5"/>
      <c r="N265" s="10"/>
    </row>
    <row r="266" ht="15.75" customHeight="1">
      <c r="J266" s="5"/>
      <c r="N266" s="10"/>
    </row>
    <row r="267" ht="15.75" customHeight="1">
      <c r="J267" s="5"/>
      <c r="N267" s="10"/>
    </row>
    <row r="268" ht="15.75" customHeight="1">
      <c r="J268" s="5"/>
      <c r="N268" s="10"/>
    </row>
    <row r="269" ht="15.75" customHeight="1">
      <c r="J269" s="5"/>
      <c r="N269" s="10"/>
    </row>
    <row r="270" ht="15.75" customHeight="1">
      <c r="J270" s="5"/>
      <c r="N270" s="10"/>
    </row>
    <row r="271" ht="15.75" customHeight="1">
      <c r="J271" s="5"/>
      <c r="N271" s="10"/>
    </row>
    <row r="272" ht="15.75" customHeight="1">
      <c r="J272" s="5"/>
      <c r="N272" s="10"/>
    </row>
    <row r="273" ht="15.75" customHeight="1">
      <c r="J273" s="5"/>
      <c r="N273" s="10"/>
    </row>
    <row r="274" ht="15.75" customHeight="1">
      <c r="J274" s="5"/>
      <c r="N274" s="10"/>
    </row>
    <row r="275" ht="15.75" customHeight="1">
      <c r="J275" s="5"/>
      <c r="N275" s="10"/>
    </row>
    <row r="276" ht="15.75" customHeight="1">
      <c r="J276" s="5"/>
      <c r="N276" s="10"/>
    </row>
    <row r="277" ht="15.75" customHeight="1">
      <c r="J277" s="5"/>
      <c r="N277" s="10"/>
    </row>
    <row r="278" ht="15.75" customHeight="1">
      <c r="J278" s="5"/>
      <c r="N278" s="10"/>
    </row>
    <row r="279" ht="15.75" customHeight="1">
      <c r="J279" s="5"/>
      <c r="N279" s="10"/>
    </row>
    <row r="280" ht="15.75" customHeight="1">
      <c r="J280" s="5"/>
      <c r="N280" s="10"/>
    </row>
    <row r="281" ht="15.75" customHeight="1">
      <c r="J281" s="5"/>
      <c r="N281" s="10"/>
    </row>
    <row r="282" ht="15.75" customHeight="1">
      <c r="J282" s="5"/>
      <c r="N282" s="10"/>
    </row>
    <row r="283" ht="15.75" customHeight="1">
      <c r="J283" s="5"/>
      <c r="N283" s="10"/>
    </row>
    <row r="284" ht="15.75" customHeight="1">
      <c r="J284" s="5"/>
      <c r="N284" s="10"/>
    </row>
    <row r="285" ht="15.75" customHeight="1">
      <c r="J285" s="5"/>
      <c r="N285" s="10"/>
    </row>
    <row r="286" ht="15.75" customHeight="1">
      <c r="J286" s="5"/>
      <c r="N286" s="10"/>
    </row>
    <row r="287" ht="15.75" customHeight="1">
      <c r="J287" s="5"/>
      <c r="N287" s="10"/>
    </row>
    <row r="288" ht="15.75" customHeight="1">
      <c r="J288" s="5"/>
      <c r="N288" s="10"/>
    </row>
    <row r="289" ht="15.75" customHeight="1">
      <c r="J289" s="5"/>
      <c r="N289" s="10"/>
    </row>
    <row r="290" ht="15.75" customHeight="1">
      <c r="J290" s="5"/>
      <c r="N290" s="10"/>
    </row>
    <row r="291" ht="15.75" customHeight="1">
      <c r="J291" s="5"/>
      <c r="N291" s="10"/>
    </row>
    <row r="292" ht="15.75" customHeight="1">
      <c r="J292" s="5"/>
      <c r="N292" s="10"/>
    </row>
    <row r="293" ht="15.75" customHeight="1">
      <c r="J293" s="5"/>
      <c r="N293" s="10"/>
    </row>
    <row r="294" ht="15.75" customHeight="1">
      <c r="J294" s="5"/>
      <c r="N294" s="10"/>
    </row>
    <row r="295" ht="15.75" customHeight="1">
      <c r="J295" s="5"/>
      <c r="N295" s="10"/>
    </row>
    <row r="296" ht="15.75" customHeight="1">
      <c r="J296" s="5"/>
      <c r="N296" s="10"/>
    </row>
    <row r="297" ht="15.75" customHeight="1">
      <c r="J297" s="5"/>
      <c r="N297" s="10"/>
    </row>
    <row r="298" ht="15.75" customHeight="1">
      <c r="J298" s="5"/>
      <c r="N298" s="10"/>
    </row>
    <row r="299" ht="15.75" customHeight="1">
      <c r="J299" s="5"/>
      <c r="N299" s="10"/>
    </row>
    <row r="300" ht="15.75" customHeight="1">
      <c r="J300" s="5"/>
      <c r="N300" s="10"/>
    </row>
    <row r="301" ht="15.75" customHeight="1">
      <c r="J301" s="5"/>
      <c r="N301" s="10"/>
    </row>
    <row r="302" ht="15.75" customHeight="1">
      <c r="J302" s="5"/>
      <c r="N302" s="10"/>
    </row>
    <row r="303" ht="15.75" customHeight="1">
      <c r="J303" s="5"/>
      <c r="N303" s="10"/>
    </row>
    <row r="304" ht="15.75" customHeight="1">
      <c r="J304" s="5"/>
      <c r="N304" s="10"/>
    </row>
    <row r="305" ht="15.75" customHeight="1">
      <c r="J305" s="5"/>
      <c r="N305" s="10"/>
    </row>
    <row r="306" ht="15.75" customHeight="1">
      <c r="J306" s="5"/>
      <c r="N306" s="10"/>
    </row>
    <row r="307" ht="15.75" customHeight="1">
      <c r="J307" s="5"/>
      <c r="N307" s="10"/>
    </row>
    <row r="308" ht="15.75" customHeight="1">
      <c r="J308" s="5"/>
      <c r="N308" s="10"/>
    </row>
    <row r="309" ht="15.75" customHeight="1">
      <c r="J309" s="5"/>
      <c r="N309" s="10"/>
    </row>
    <row r="310" ht="15.75" customHeight="1">
      <c r="J310" s="5"/>
      <c r="N310" s="10"/>
    </row>
    <row r="311" ht="15.75" customHeight="1">
      <c r="J311" s="5"/>
      <c r="N311" s="10"/>
    </row>
    <row r="312" ht="15.75" customHeight="1">
      <c r="J312" s="5"/>
      <c r="N312" s="10"/>
    </row>
    <row r="313" ht="15.75" customHeight="1">
      <c r="J313" s="5"/>
      <c r="N313" s="10"/>
    </row>
    <row r="314" ht="15.75" customHeight="1">
      <c r="J314" s="5"/>
      <c r="N314" s="10"/>
    </row>
    <row r="315" ht="15.75" customHeight="1">
      <c r="J315" s="5"/>
      <c r="N315" s="10"/>
    </row>
    <row r="316" ht="15.75" customHeight="1">
      <c r="J316" s="5"/>
      <c r="N316" s="10"/>
    </row>
    <row r="317" ht="15.75" customHeight="1">
      <c r="J317" s="5"/>
      <c r="N317" s="10"/>
    </row>
    <row r="318" ht="15.75" customHeight="1">
      <c r="J318" s="5"/>
      <c r="N318" s="10"/>
    </row>
    <row r="319" ht="15.75" customHeight="1">
      <c r="J319" s="5"/>
      <c r="N319" s="10"/>
    </row>
    <row r="320" ht="15.75" customHeight="1">
      <c r="J320" s="5"/>
      <c r="N320" s="10"/>
    </row>
    <row r="321" ht="15.75" customHeight="1">
      <c r="J321" s="5"/>
      <c r="N321" s="10"/>
    </row>
    <row r="322" ht="15.75" customHeight="1">
      <c r="J322" s="5"/>
      <c r="N322" s="10"/>
    </row>
    <row r="323" ht="15.75" customHeight="1">
      <c r="J323" s="5"/>
      <c r="N323" s="10"/>
    </row>
    <row r="324" ht="15.75" customHeight="1">
      <c r="J324" s="5"/>
      <c r="N324" s="10"/>
    </row>
    <row r="325" ht="15.75" customHeight="1">
      <c r="J325" s="5"/>
      <c r="N325" s="10"/>
    </row>
    <row r="326" ht="15.75" customHeight="1">
      <c r="J326" s="5"/>
      <c r="N326" s="10"/>
    </row>
    <row r="327" ht="15.75" customHeight="1">
      <c r="J327" s="5"/>
      <c r="N327" s="10"/>
    </row>
    <row r="328" ht="15.75" customHeight="1">
      <c r="J328" s="5"/>
      <c r="N328" s="10"/>
    </row>
    <row r="329" ht="15.75" customHeight="1">
      <c r="J329" s="5"/>
      <c r="N329" s="10"/>
    </row>
    <row r="330" ht="15.75" customHeight="1">
      <c r="J330" s="5"/>
      <c r="N330" s="10"/>
    </row>
    <row r="331" ht="15.75" customHeight="1">
      <c r="J331" s="5"/>
      <c r="N331" s="10"/>
    </row>
    <row r="332" ht="15.75" customHeight="1">
      <c r="J332" s="5"/>
      <c r="N332" s="10"/>
    </row>
    <row r="333" ht="15.75" customHeight="1">
      <c r="J333" s="5"/>
      <c r="N333" s="10"/>
    </row>
    <row r="334" ht="15.75" customHeight="1">
      <c r="J334" s="5"/>
      <c r="N334" s="10"/>
    </row>
    <row r="335" ht="15.75" customHeight="1">
      <c r="J335" s="5"/>
      <c r="N335" s="10"/>
    </row>
    <row r="336" ht="15.75" customHeight="1">
      <c r="J336" s="5"/>
      <c r="N336" s="10"/>
    </row>
    <row r="337" ht="15.75" customHeight="1">
      <c r="J337" s="5"/>
      <c r="N337" s="10"/>
    </row>
    <row r="338" ht="15.75" customHeight="1">
      <c r="J338" s="5"/>
      <c r="N338" s="10"/>
    </row>
    <row r="339" ht="15.75" customHeight="1">
      <c r="J339" s="5"/>
      <c r="N339" s="10"/>
    </row>
    <row r="340" ht="15.75" customHeight="1">
      <c r="J340" s="5"/>
      <c r="N340" s="10"/>
    </row>
    <row r="341" ht="15.75" customHeight="1">
      <c r="J341" s="5"/>
      <c r="N341" s="10"/>
    </row>
    <row r="342" ht="15.75" customHeight="1">
      <c r="J342" s="5"/>
      <c r="N342" s="10"/>
    </row>
    <row r="343" ht="15.75" customHeight="1">
      <c r="J343" s="5"/>
      <c r="N343" s="10"/>
    </row>
    <row r="344" ht="15.75" customHeight="1">
      <c r="J344" s="5"/>
      <c r="N344" s="10"/>
    </row>
    <row r="345" ht="15.75" customHeight="1">
      <c r="J345" s="5"/>
      <c r="N345" s="10"/>
    </row>
    <row r="346" ht="15.75" customHeight="1">
      <c r="J346" s="5"/>
      <c r="N346" s="10"/>
    </row>
    <row r="347" ht="15.75" customHeight="1">
      <c r="J347" s="5"/>
      <c r="N347" s="10"/>
    </row>
    <row r="348" ht="15.75" customHeight="1">
      <c r="J348" s="5"/>
      <c r="N348" s="10"/>
    </row>
    <row r="349" ht="15.75" customHeight="1">
      <c r="J349" s="5"/>
      <c r="N349" s="10"/>
    </row>
    <row r="350" ht="15.75" customHeight="1">
      <c r="J350" s="5"/>
      <c r="N350" s="10"/>
    </row>
    <row r="351" ht="15.75" customHeight="1">
      <c r="J351" s="5"/>
      <c r="N351" s="10"/>
    </row>
    <row r="352" ht="15.75" customHeight="1">
      <c r="J352" s="5"/>
      <c r="N352" s="10"/>
    </row>
    <row r="353" ht="15.75" customHeight="1">
      <c r="J353" s="5"/>
      <c r="N353" s="10"/>
    </row>
    <row r="354" ht="15.75" customHeight="1">
      <c r="J354" s="5"/>
      <c r="N354" s="10"/>
    </row>
    <row r="355" ht="15.75" customHeight="1">
      <c r="J355" s="5"/>
      <c r="N355" s="10"/>
    </row>
    <row r="356" ht="15.75" customHeight="1">
      <c r="J356" s="5"/>
      <c r="N356" s="10"/>
    </row>
    <row r="357" ht="15.75" customHeight="1">
      <c r="J357" s="5"/>
      <c r="N357" s="10"/>
    </row>
    <row r="358" ht="15.75" customHeight="1">
      <c r="J358" s="5"/>
      <c r="N358" s="10"/>
    </row>
    <row r="359" ht="15.75" customHeight="1">
      <c r="J359" s="5"/>
      <c r="N359" s="10"/>
    </row>
    <row r="360" ht="15.75" customHeight="1">
      <c r="J360" s="5"/>
      <c r="N360" s="10"/>
    </row>
    <row r="361" ht="15.75" customHeight="1">
      <c r="J361" s="5"/>
      <c r="N361" s="10"/>
    </row>
    <row r="362" ht="15.75" customHeight="1">
      <c r="J362" s="5"/>
      <c r="N362" s="10"/>
    </row>
    <row r="363" ht="15.75" customHeight="1">
      <c r="J363" s="5"/>
      <c r="N363" s="10"/>
    </row>
    <row r="364" ht="15.75" customHeight="1">
      <c r="J364" s="5"/>
      <c r="N364" s="10"/>
    </row>
    <row r="365" ht="15.75" customHeight="1">
      <c r="J365" s="5"/>
      <c r="N365" s="10"/>
    </row>
    <row r="366" ht="15.75" customHeight="1">
      <c r="J366" s="5"/>
      <c r="N366" s="10"/>
    </row>
    <row r="367" ht="15.75" customHeight="1">
      <c r="J367" s="5"/>
      <c r="N367" s="10"/>
    </row>
    <row r="368" ht="15.75" customHeight="1">
      <c r="J368" s="5"/>
      <c r="N368" s="10"/>
    </row>
    <row r="369" ht="15.75" customHeight="1">
      <c r="J369" s="5"/>
      <c r="N369" s="10"/>
    </row>
    <row r="370" ht="15.75" customHeight="1">
      <c r="J370" s="5"/>
      <c r="N370" s="10"/>
    </row>
    <row r="371" ht="15.75" customHeight="1">
      <c r="J371" s="5"/>
      <c r="N371" s="10"/>
    </row>
    <row r="372" ht="15.75" customHeight="1">
      <c r="J372" s="5"/>
      <c r="N372" s="10"/>
    </row>
    <row r="373" ht="15.75" customHeight="1">
      <c r="J373" s="5"/>
      <c r="N373" s="10"/>
    </row>
    <row r="374" ht="15.75" customHeight="1">
      <c r="J374" s="5"/>
      <c r="N374" s="10"/>
    </row>
    <row r="375" ht="15.75" customHeight="1">
      <c r="J375" s="5"/>
      <c r="N375" s="10"/>
    </row>
    <row r="376" ht="15.75" customHeight="1">
      <c r="J376" s="5"/>
      <c r="N376" s="10"/>
    </row>
    <row r="377" ht="15.75" customHeight="1">
      <c r="J377" s="5"/>
      <c r="N377" s="10"/>
    </row>
    <row r="378" ht="15.75" customHeight="1">
      <c r="J378" s="5"/>
      <c r="N378" s="10"/>
    </row>
    <row r="379" ht="15.75" customHeight="1">
      <c r="J379" s="5"/>
      <c r="N379" s="10"/>
    </row>
    <row r="380" ht="15.75" customHeight="1">
      <c r="J380" s="5"/>
      <c r="N380" s="10"/>
    </row>
    <row r="381" ht="15.75" customHeight="1">
      <c r="J381" s="5"/>
      <c r="N381" s="10"/>
    </row>
    <row r="382" ht="15.75" customHeight="1">
      <c r="J382" s="5"/>
      <c r="N382" s="10"/>
    </row>
    <row r="383" ht="15.75" customHeight="1">
      <c r="J383" s="5"/>
      <c r="N383" s="10"/>
    </row>
    <row r="384" ht="15.75" customHeight="1">
      <c r="J384" s="5"/>
      <c r="N384" s="10"/>
    </row>
    <row r="385" ht="15.75" customHeight="1">
      <c r="J385" s="5"/>
      <c r="N385" s="10"/>
    </row>
    <row r="386" ht="15.75" customHeight="1">
      <c r="J386" s="5"/>
      <c r="N386" s="10"/>
    </row>
    <row r="387" ht="15.75" customHeight="1">
      <c r="J387" s="5"/>
      <c r="N387" s="10"/>
    </row>
    <row r="388" ht="15.75" customHeight="1">
      <c r="J388" s="5"/>
      <c r="N388" s="10"/>
    </row>
    <row r="389" ht="15.75" customHeight="1">
      <c r="J389" s="5"/>
      <c r="N389" s="10"/>
    </row>
    <row r="390" ht="15.75" customHeight="1">
      <c r="J390" s="5"/>
      <c r="N390" s="10"/>
    </row>
    <row r="391" ht="15.75" customHeight="1">
      <c r="J391" s="5"/>
      <c r="N391" s="10"/>
    </row>
    <row r="392" ht="15.75" customHeight="1">
      <c r="J392" s="5"/>
      <c r="N392" s="10"/>
    </row>
    <row r="393" ht="15.75" customHeight="1">
      <c r="J393" s="5"/>
      <c r="N393" s="10"/>
    </row>
    <row r="394" ht="15.75" customHeight="1">
      <c r="J394" s="5"/>
      <c r="N394" s="10"/>
    </row>
    <row r="395" ht="15.75" customHeight="1">
      <c r="J395" s="5"/>
      <c r="N395" s="10"/>
    </row>
    <row r="396" ht="15.75" customHeight="1">
      <c r="J396" s="5"/>
      <c r="N396" s="10"/>
    </row>
    <row r="397" ht="15.75" customHeight="1">
      <c r="J397" s="5"/>
      <c r="N397" s="10"/>
    </row>
    <row r="398" ht="15.75" customHeight="1">
      <c r="J398" s="5"/>
      <c r="N398" s="10"/>
    </row>
    <row r="399" ht="15.75" customHeight="1">
      <c r="J399" s="5"/>
      <c r="N399" s="10"/>
    </row>
    <row r="400" ht="15.75" customHeight="1">
      <c r="J400" s="5"/>
      <c r="N400" s="10"/>
    </row>
    <row r="401" ht="15.75" customHeight="1">
      <c r="J401" s="5"/>
      <c r="N401" s="10"/>
    </row>
    <row r="402" ht="15.75" customHeight="1">
      <c r="J402" s="5"/>
      <c r="N402" s="10"/>
    </row>
    <row r="403" ht="15.75" customHeight="1">
      <c r="J403" s="5"/>
      <c r="N403" s="10"/>
    </row>
    <row r="404" ht="15.75" customHeight="1">
      <c r="J404" s="5"/>
      <c r="N404" s="10"/>
    </row>
    <row r="405" ht="15.75" customHeight="1">
      <c r="J405" s="5"/>
      <c r="N405" s="10"/>
    </row>
    <row r="406" ht="15.75" customHeight="1">
      <c r="J406" s="5"/>
      <c r="N406" s="10"/>
    </row>
    <row r="407" ht="15.75" customHeight="1">
      <c r="J407" s="5"/>
      <c r="N407" s="10"/>
    </row>
    <row r="408" ht="15.75" customHeight="1">
      <c r="J408" s="5"/>
      <c r="N408" s="10"/>
    </row>
    <row r="409" ht="15.75" customHeight="1">
      <c r="J409" s="5"/>
      <c r="N409" s="10"/>
    </row>
    <row r="410" ht="15.75" customHeight="1">
      <c r="J410" s="5"/>
      <c r="N410" s="10"/>
    </row>
    <row r="411" ht="15.75" customHeight="1">
      <c r="J411" s="5"/>
      <c r="N411" s="10"/>
    </row>
    <row r="412" ht="15.75" customHeight="1">
      <c r="J412" s="5"/>
      <c r="N412" s="10"/>
    </row>
    <row r="413" ht="15.75" customHeight="1">
      <c r="J413" s="5"/>
      <c r="N413" s="10"/>
    </row>
    <row r="414" ht="15.75" customHeight="1">
      <c r="J414" s="5"/>
      <c r="N414" s="10"/>
    </row>
    <row r="415" ht="15.75" customHeight="1">
      <c r="J415" s="5"/>
      <c r="N415" s="10"/>
    </row>
    <row r="416" ht="15.75" customHeight="1">
      <c r="J416" s="5"/>
      <c r="N416" s="10"/>
    </row>
    <row r="417" ht="15.75" customHeight="1">
      <c r="J417" s="5"/>
      <c r="N417" s="10"/>
    </row>
    <row r="418" ht="15.75" customHeight="1">
      <c r="J418" s="5"/>
      <c r="N418" s="10"/>
    </row>
    <row r="419" ht="15.75" customHeight="1">
      <c r="J419" s="5"/>
      <c r="N419" s="10"/>
    </row>
    <row r="420" ht="15.75" customHeight="1">
      <c r="J420" s="5"/>
      <c r="N420" s="10"/>
    </row>
    <row r="421" ht="15.75" customHeight="1">
      <c r="J421" s="5"/>
      <c r="N421" s="10"/>
    </row>
    <row r="422" ht="15.75" customHeight="1">
      <c r="J422" s="5"/>
      <c r="N422" s="10"/>
    </row>
    <row r="423" ht="15.75" customHeight="1">
      <c r="J423" s="5"/>
      <c r="N423" s="10"/>
    </row>
    <row r="424" ht="15.75" customHeight="1">
      <c r="J424" s="5"/>
      <c r="N424" s="10"/>
    </row>
    <row r="425" ht="15.75" customHeight="1">
      <c r="J425" s="5"/>
      <c r="N425" s="10"/>
    </row>
    <row r="426" ht="15.75" customHeight="1">
      <c r="J426" s="5"/>
      <c r="N426" s="10"/>
    </row>
    <row r="427" ht="15.75" customHeight="1">
      <c r="J427" s="5"/>
      <c r="N427" s="10"/>
    </row>
    <row r="428" ht="15.75" customHeight="1">
      <c r="J428" s="5"/>
      <c r="N428" s="10"/>
    </row>
    <row r="429" ht="15.75" customHeight="1">
      <c r="J429" s="5"/>
      <c r="N429" s="10"/>
    </row>
    <row r="430" ht="15.75" customHeight="1">
      <c r="J430" s="5"/>
      <c r="N430" s="10"/>
    </row>
    <row r="431" ht="15.75" customHeight="1">
      <c r="J431" s="5"/>
      <c r="N431" s="10"/>
    </row>
    <row r="432" ht="15.75" customHeight="1">
      <c r="J432" s="5"/>
      <c r="N432" s="10"/>
    </row>
    <row r="433" ht="15.75" customHeight="1">
      <c r="J433" s="5"/>
      <c r="N433" s="10"/>
    </row>
    <row r="434" ht="15.75" customHeight="1">
      <c r="J434" s="5"/>
      <c r="N434" s="10"/>
    </row>
    <row r="435" ht="15.75" customHeight="1">
      <c r="J435" s="5"/>
      <c r="N435" s="10"/>
    </row>
    <row r="436" ht="15.75" customHeight="1">
      <c r="J436" s="5"/>
      <c r="N436" s="10"/>
    </row>
    <row r="437" ht="15.75" customHeight="1">
      <c r="J437" s="5"/>
      <c r="N437" s="10"/>
    </row>
    <row r="438" ht="15.75" customHeight="1">
      <c r="J438" s="5"/>
      <c r="N438" s="10"/>
    </row>
    <row r="439" ht="15.75" customHeight="1">
      <c r="J439" s="5"/>
      <c r="N439" s="10"/>
    </row>
    <row r="440" ht="15.75" customHeight="1">
      <c r="J440" s="5"/>
      <c r="N440" s="10"/>
    </row>
    <row r="441" ht="15.75" customHeight="1">
      <c r="J441" s="5"/>
      <c r="N441" s="10"/>
    </row>
    <row r="442" ht="15.75" customHeight="1">
      <c r="J442" s="5"/>
      <c r="N442" s="10"/>
    </row>
    <row r="443" ht="15.75" customHeight="1">
      <c r="J443" s="5"/>
      <c r="N443" s="10"/>
    </row>
    <row r="444" ht="15.75" customHeight="1">
      <c r="J444" s="5"/>
      <c r="N444" s="10"/>
    </row>
    <row r="445" ht="15.75" customHeight="1">
      <c r="J445" s="5"/>
      <c r="N445" s="10"/>
    </row>
    <row r="446" ht="15.75" customHeight="1">
      <c r="J446" s="5"/>
      <c r="N446" s="10"/>
    </row>
    <row r="447" ht="15.75" customHeight="1">
      <c r="J447" s="5"/>
      <c r="N447" s="10"/>
    </row>
    <row r="448" ht="15.75" customHeight="1">
      <c r="J448" s="5"/>
      <c r="N448" s="10"/>
    </row>
    <row r="449" ht="15.75" customHeight="1">
      <c r="J449" s="5"/>
      <c r="N449" s="10"/>
    </row>
    <row r="450" ht="15.75" customHeight="1">
      <c r="J450" s="5"/>
      <c r="N450" s="10"/>
    </row>
    <row r="451" ht="15.75" customHeight="1">
      <c r="J451" s="5"/>
      <c r="N451" s="10"/>
    </row>
    <row r="452" ht="15.75" customHeight="1">
      <c r="J452" s="5"/>
      <c r="N452" s="10"/>
    </row>
    <row r="453" ht="15.75" customHeight="1">
      <c r="J453" s="5"/>
      <c r="N453" s="10"/>
    </row>
    <row r="454" ht="15.75" customHeight="1">
      <c r="J454" s="5"/>
      <c r="N454" s="10"/>
    </row>
    <row r="455" ht="15.75" customHeight="1">
      <c r="J455" s="5"/>
      <c r="N455" s="10"/>
    </row>
    <row r="456" ht="15.75" customHeight="1">
      <c r="J456" s="5"/>
      <c r="N456" s="10"/>
    </row>
    <row r="457" ht="15.75" customHeight="1">
      <c r="J457" s="5"/>
      <c r="N457" s="10"/>
    </row>
    <row r="458" ht="15.75" customHeight="1">
      <c r="J458" s="5"/>
      <c r="N458" s="10"/>
    </row>
    <row r="459" ht="15.75" customHeight="1">
      <c r="J459" s="5"/>
      <c r="N459" s="10"/>
    </row>
    <row r="460" ht="15.75" customHeight="1">
      <c r="J460" s="5"/>
      <c r="N460" s="10"/>
    </row>
    <row r="461" ht="15.75" customHeight="1">
      <c r="J461" s="5"/>
      <c r="N461" s="10"/>
    </row>
    <row r="462" ht="15.75" customHeight="1">
      <c r="J462" s="5"/>
      <c r="N462" s="10"/>
    </row>
    <row r="463" ht="15.75" customHeight="1">
      <c r="J463" s="5"/>
      <c r="N463" s="10"/>
    </row>
    <row r="464" ht="15.75" customHeight="1">
      <c r="J464" s="5"/>
      <c r="N464" s="10"/>
    </row>
    <row r="465" ht="15.75" customHeight="1">
      <c r="J465" s="5"/>
      <c r="N465" s="10"/>
    </row>
    <row r="466" ht="15.75" customHeight="1">
      <c r="J466" s="5"/>
      <c r="N466" s="10"/>
    </row>
    <row r="467" ht="15.75" customHeight="1">
      <c r="J467" s="5"/>
      <c r="N467" s="10"/>
    </row>
    <row r="468" ht="15.75" customHeight="1">
      <c r="J468" s="5"/>
      <c r="N468" s="10"/>
    </row>
    <row r="469" ht="15.75" customHeight="1">
      <c r="J469" s="5"/>
      <c r="N469" s="10"/>
    </row>
    <row r="470" ht="15.75" customHeight="1">
      <c r="J470" s="5"/>
      <c r="N470" s="10"/>
    </row>
    <row r="471" ht="15.75" customHeight="1">
      <c r="J471" s="5"/>
      <c r="N471" s="10"/>
    </row>
    <row r="472" ht="15.75" customHeight="1">
      <c r="J472" s="5"/>
      <c r="N472" s="10"/>
    </row>
    <row r="473" ht="15.75" customHeight="1">
      <c r="J473" s="5"/>
      <c r="N473" s="10"/>
    </row>
    <row r="474" ht="15.75" customHeight="1">
      <c r="J474" s="5"/>
      <c r="N474" s="10"/>
    </row>
    <row r="475" ht="15.75" customHeight="1">
      <c r="J475" s="5"/>
      <c r="N475" s="10"/>
    </row>
    <row r="476" ht="15.75" customHeight="1">
      <c r="J476" s="5"/>
      <c r="N476" s="10"/>
    </row>
    <row r="477" ht="15.75" customHeight="1">
      <c r="J477" s="5"/>
      <c r="N477" s="10"/>
    </row>
    <row r="478" ht="15.75" customHeight="1">
      <c r="J478" s="5"/>
      <c r="N478" s="10"/>
    </row>
    <row r="479" ht="15.75" customHeight="1">
      <c r="J479" s="5"/>
      <c r="N479" s="10"/>
    </row>
    <row r="480" ht="15.75" customHeight="1">
      <c r="J480" s="5"/>
      <c r="N480" s="10"/>
    </row>
    <row r="481" ht="15.75" customHeight="1">
      <c r="J481" s="5"/>
      <c r="N481" s="10"/>
    </row>
    <row r="482" ht="15.75" customHeight="1">
      <c r="J482" s="5"/>
      <c r="N482" s="10"/>
    </row>
    <row r="483" ht="15.75" customHeight="1">
      <c r="J483" s="5"/>
      <c r="N483" s="10"/>
    </row>
    <row r="484" ht="15.75" customHeight="1">
      <c r="J484" s="5"/>
      <c r="N484" s="10"/>
    </row>
    <row r="485" ht="15.75" customHeight="1">
      <c r="J485" s="5"/>
      <c r="N485" s="10"/>
    </row>
    <row r="486" ht="15.75" customHeight="1">
      <c r="J486" s="5"/>
      <c r="N486" s="10"/>
    </row>
    <row r="487" ht="15.75" customHeight="1">
      <c r="J487" s="5"/>
      <c r="N487" s="10"/>
    </row>
    <row r="488" ht="15.75" customHeight="1">
      <c r="J488" s="5"/>
      <c r="N488" s="10"/>
    </row>
    <row r="489" ht="15.75" customHeight="1">
      <c r="J489" s="5"/>
      <c r="N489" s="10"/>
    </row>
    <row r="490" ht="15.75" customHeight="1">
      <c r="J490" s="5"/>
      <c r="N490" s="10"/>
    </row>
    <row r="491" ht="15.75" customHeight="1">
      <c r="J491" s="5"/>
      <c r="N491" s="10"/>
    </row>
    <row r="492" ht="15.75" customHeight="1">
      <c r="J492" s="5"/>
      <c r="N492" s="10"/>
    </row>
    <row r="493" ht="15.75" customHeight="1">
      <c r="J493" s="5"/>
      <c r="N493" s="10"/>
    </row>
    <row r="494" ht="15.75" customHeight="1">
      <c r="J494" s="5"/>
      <c r="N494" s="10"/>
    </row>
    <row r="495" ht="15.75" customHeight="1">
      <c r="J495" s="5"/>
      <c r="N495" s="10"/>
    </row>
    <row r="496" ht="15.75" customHeight="1">
      <c r="J496" s="5"/>
      <c r="N496" s="10"/>
    </row>
    <row r="497" ht="15.75" customHeight="1">
      <c r="J497" s="5"/>
      <c r="N497" s="10"/>
    </row>
    <row r="498" ht="15.75" customHeight="1">
      <c r="J498" s="5"/>
      <c r="N498" s="10"/>
    </row>
    <row r="499" ht="15.75" customHeight="1">
      <c r="J499" s="5"/>
      <c r="N499" s="10"/>
    </row>
    <row r="500" ht="15.75" customHeight="1">
      <c r="J500" s="5"/>
      <c r="N500" s="10"/>
    </row>
    <row r="501" ht="15.75" customHeight="1">
      <c r="J501" s="5"/>
      <c r="N501" s="10"/>
    </row>
    <row r="502" ht="15.75" customHeight="1">
      <c r="J502" s="5"/>
      <c r="N502" s="10"/>
    </row>
    <row r="503" ht="15.75" customHeight="1">
      <c r="J503" s="5"/>
      <c r="N503" s="10"/>
    </row>
    <row r="504" ht="15.75" customHeight="1">
      <c r="J504" s="5"/>
      <c r="N504" s="10"/>
    </row>
    <row r="505" ht="15.75" customHeight="1">
      <c r="J505" s="5"/>
      <c r="N505" s="10"/>
    </row>
    <row r="506" ht="15.75" customHeight="1">
      <c r="J506" s="5"/>
      <c r="N506" s="10"/>
    </row>
    <row r="507" ht="15.75" customHeight="1">
      <c r="J507" s="5"/>
      <c r="N507" s="10"/>
    </row>
    <row r="508" ht="15.75" customHeight="1">
      <c r="J508" s="5"/>
      <c r="N508" s="10"/>
    </row>
    <row r="509" ht="15.75" customHeight="1">
      <c r="J509" s="5"/>
      <c r="N509" s="10"/>
    </row>
    <row r="510" ht="15.75" customHeight="1">
      <c r="J510" s="5"/>
      <c r="N510" s="10"/>
    </row>
    <row r="511" ht="15.75" customHeight="1">
      <c r="J511" s="5"/>
      <c r="N511" s="10"/>
    </row>
    <row r="512" ht="15.75" customHeight="1">
      <c r="J512" s="5"/>
      <c r="N512" s="10"/>
    </row>
    <row r="513" ht="15.75" customHeight="1">
      <c r="J513" s="5"/>
      <c r="N513" s="10"/>
    </row>
    <row r="514" ht="15.75" customHeight="1">
      <c r="J514" s="5"/>
      <c r="N514" s="10"/>
    </row>
    <row r="515" ht="15.75" customHeight="1">
      <c r="J515" s="5"/>
      <c r="N515" s="10"/>
    </row>
    <row r="516" ht="15.75" customHeight="1">
      <c r="J516" s="5"/>
      <c r="N516" s="10"/>
    </row>
    <row r="517" ht="15.75" customHeight="1">
      <c r="J517" s="5"/>
      <c r="N517" s="10"/>
    </row>
    <row r="518" ht="15.75" customHeight="1">
      <c r="J518" s="5"/>
      <c r="N518" s="10"/>
    </row>
    <row r="519" ht="15.75" customHeight="1">
      <c r="J519" s="5"/>
      <c r="N519" s="10"/>
    </row>
    <row r="520" ht="15.75" customHeight="1">
      <c r="J520" s="5"/>
      <c r="N520" s="10"/>
    </row>
    <row r="521" ht="15.75" customHeight="1">
      <c r="J521" s="5"/>
      <c r="N521" s="10"/>
    </row>
    <row r="522" ht="15.75" customHeight="1">
      <c r="J522" s="5"/>
      <c r="N522" s="10"/>
    </row>
    <row r="523" ht="15.75" customHeight="1">
      <c r="J523" s="5"/>
      <c r="N523" s="10"/>
    </row>
    <row r="524" ht="15.75" customHeight="1">
      <c r="J524" s="5"/>
      <c r="N524" s="10"/>
    </row>
    <row r="525" ht="15.75" customHeight="1">
      <c r="J525" s="5"/>
      <c r="N525" s="10"/>
    </row>
    <row r="526" ht="15.75" customHeight="1">
      <c r="J526" s="5"/>
      <c r="N526" s="10"/>
    </row>
    <row r="527" ht="15.75" customHeight="1">
      <c r="J527" s="5"/>
      <c r="N527" s="10"/>
    </row>
    <row r="528" ht="15.75" customHeight="1">
      <c r="J528" s="5"/>
      <c r="N528" s="10"/>
    </row>
    <row r="529" ht="15.75" customHeight="1">
      <c r="J529" s="5"/>
      <c r="N529" s="10"/>
    </row>
    <row r="530" ht="15.75" customHeight="1">
      <c r="J530" s="5"/>
      <c r="N530" s="10"/>
    </row>
    <row r="531" ht="15.75" customHeight="1">
      <c r="J531" s="5"/>
      <c r="N531" s="10"/>
    </row>
    <row r="532" ht="15.75" customHeight="1">
      <c r="J532" s="5"/>
      <c r="N532" s="10"/>
    </row>
    <row r="533" ht="15.75" customHeight="1">
      <c r="J533" s="5"/>
      <c r="N533" s="10"/>
    </row>
    <row r="534" ht="15.75" customHeight="1">
      <c r="J534" s="5"/>
      <c r="N534" s="10"/>
    </row>
    <row r="535" ht="15.75" customHeight="1">
      <c r="J535" s="5"/>
      <c r="N535" s="10"/>
    </row>
    <row r="536" ht="15.75" customHeight="1">
      <c r="J536" s="5"/>
      <c r="N536" s="10"/>
    </row>
    <row r="537" ht="15.75" customHeight="1">
      <c r="J537" s="5"/>
      <c r="N537" s="10"/>
    </row>
    <row r="538" ht="15.75" customHeight="1">
      <c r="J538" s="5"/>
      <c r="N538" s="10"/>
    </row>
    <row r="539" ht="15.75" customHeight="1">
      <c r="J539" s="5"/>
      <c r="N539" s="10"/>
    </row>
    <row r="540" ht="15.75" customHeight="1">
      <c r="J540" s="5"/>
      <c r="N540" s="10"/>
    </row>
    <row r="541" ht="15.75" customHeight="1">
      <c r="J541" s="5"/>
      <c r="N541" s="10"/>
    </row>
    <row r="542" ht="15.75" customHeight="1">
      <c r="J542" s="5"/>
      <c r="N542" s="10"/>
    </row>
    <row r="543" ht="15.75" customHeight="1">
      <c r="J543" s="5"/>
      <c r="N543" s="10"/>
    </row>
    <row r="544" ht="15.75" customHeight="1">
      <c r="J544" s="5"/>
      <c r="N544" s="10"/>
    </row>
    <row r="545" ht="15.75" customHeight="1">
      <c r="J545" s="5"/>
      <c r="N545" s="10"/>
    </row>
    <row r="546" ht="15.75" customHeight="1">
      <c r="J546" s="5"/>
      <c r="N546" s="10"/>
    </row>
    <row r="547" ht="15.75" customHeight="1">
      <c r="J547" s="5"/>
      <c r="N547" s="10"/>
    </row>
    <row r="548" ht="15.75" customHeight="1">
      <c r="J548" s="5"/>
      <c r="N548" s="10"/>
    </row>
    <row r="549" ht="15.75" customHeight="1">
      <c r="J549" s="5"/>
      <c r="N549" s="10"/>
    </row>
    <row r="550" ht="15.75" customHeight="1">
      <c r="J550" s="5"/>
      <c r="N550" s="10"/>
    </row>
    <row r="551" ht="15.75" customHeight="1">
      <c r="J551" s="5"/>
      <c r="N551" s="10"/>
    </row>
    <row r="552" ht="15.75" customHeight="1">
      <c r="J552" s="5"/>
      <c r="N552" s="10"/>
    </row>
    <row r="553" ht="15.75" customHeight="1">
      <c r="J553" s="5"/>
      <c r="N553" s="10"/>
    </row>
    <row r="554" ht="15.75" customHeight="1">
      <c r="J554" s="5"/>
      <c r="N554" s="10"/>
    </row>
    <row r="555" ht="15.75" customHeight="1">
      <c r="J555" s="5"/>
      <c r="N555" s="10"/>
    </row>
    <row r="556" ht="15.75" customHeight="1">
      <c r="J556" s="5"/>
      <c r="N556" s="10"/>
    </row>
    <row r="557" ht="15.75" customHeight="1">
      <c r="J557" s="5"/>
      <c r="N557" s="10"/>
    </row>
    <row r="558" ht="15.75" customHeight="1">
      <c r="J558" s="5"/>
      <c r="N558" s="10"/>
    </row>
    <row r="559" ht="15.75" customHeight="1">
      <c r="J559" s="5"/>
      <c r="N559" s="10"/>
    </row>
    <row r="560" ht="15.75" customHeight="1">
      <c r="J560" s="5"/>
      <c r="N560" s="10"/>
    </row>
    <row r="561" ht="15.75" customHeight="1">
      <c r="J561" s="5"/>
      <c r="N561" s="10"/>
    </row>
    <row r="562" ht="15.75" customHeight="1">
      <c r="J562" s="5"/>
      <c r="N562" s="10"/>
    </row>
    <row r="563" ht="15.75" customHeight="1">
      <c r="J563" s="5"/>
      <c r="N563" s="10"/>
    </row>
    <row r="564" ht="15.75" customHeight="1">
      <c r="J564" s="5"/>
      <c r="N564" s="10"/>
    </row>
    <row r="565" ht="15.75" customHeight="1">
      <c r="J565" s="5"/>
      <c r="N565" s="10"/>
    </row>
    <row r="566" ht="15.75" customHeight="1">
      <c r="J566" s="5"/>
      <c r="N566" s="10"/>
    </row>
    <row r="567" ht="15.75" customHeight="1">
      <c r="J567" s="5"/>
      <c r="N567" s="10"/>
    </row>
    <row r="568" ht="15.75" customHeight="1">
      <c r="J568" s="5"/>
      <c r="N568" s="10"/>
    </row>
    <row r="569" ht="15.75" customHeight="1">
      <c r="J569" s="5"/>
      <c r="N569" s="10"/>
    </row>
    <row r="570" ht="15.75" customHeight="1">
      <c r="J570" s="5"/>
      <c r="N570" s="10"/>
    </row>
    <row r="571" ht="15.75" customHeight="1">
      <c r="J571" s="5"/>
      <c r="N571" s="10"/>
    </row>
    <row r="572" ht="15.75" customHeight="1">
      <c r="J572" s="5"/>
      <c r="N572" s="10"/>
    </row>
    <row r="573" ht="15.75" customHeight="1">
      <c r="J573" s="5"/>
      <c r="N573" s="10"/>
    </row>
    <row r="574" ht="15.75" customHeight="1">
      <c r="J574" s="5"/>
      <c r="N574" s="10"/>
    </row>
    <row r="575" ht="15.75" customHeight="1">
      <c r="J575" s="5"/>
      <c r="N575" s="10"/>
    </row>
    <row r="576" ht="15.75" customHeight="1">
      <c r="J576" s="5"/>
      <c r="N576" s="10"/>
    </row>
    <row r="577" ht="15.75" customHeight="1">
      <c r="J577" s="5"/>
      <c r="N577" s="10"/>
    </row>
    <row r="578" ht="15.75" customHeight="1">
      <c r="J578" s="5"/>
      <c r="N578" s="10"/>
    </row>
    <row r="579" ht="15.75" customHeight="1">
      <c r="J579" s="5"/>
      <c r="N579" s="10"/>
    </row>
    <row r="580" ht="15.75" customHeight="1">
      <c r="J580" s="5"/>
      <c r="N580" s="10"/>
    </row>
    <row r="581" ht="15.75" customHeight="1">
      <c r="J581" s="5"/>
      <c r="N581" s="10"/>
    </row>
    <row r="582" ht="15.75" customHeight="1">
      <c r="J582" s="5"/>
      <c r="N582" s="10"/>
    </row>
    <row r="583" ht="15.75" customHeight="1">
      <c r="J583" s="5"/>
      <c r="N583" s="10"/>
    </row>
    <row r="584" ht="15.75" customHeight="1">
      <c r="J584" s="5"/>
      <c r="N584" s="10"/>
    </row>
    <row r="585" ht="15.75" customHeight="1">
      <c r="J585" s="5"/>
      <c r="N585" s="10"/>
    </row>
    <row r="586" ht="15.75" customHeight="1">
      <c r="J586" s="5"/>
      <c r="N586" s="10"/>
    </row>
    <row r="587" ht="15.75" customHeight="1">
      <c r="J587" s="5"/>
      <c r="N587" s="10"/>
    </row>
    <row r="588" ht="15.75" customHeight="1">
      <c r="J588" s="5"/>
      <c r="N588" s="10"/>
    </row>
    <row r="589" ht="15.75" customHeight="1">
      <c r="J589" s="5"/>
      <c r="N589" s="10"/>
    </row>
    <row r="590" ht="15.75" customHeight="1">
      <c r="J590" s="5"/>
      <c r="N590" s="10"/>
    </row>
    <row r="591" ht="15.75" customHeight="1">
      <c r="J591" s="5"/>
      <c r="N591" s="10"/>
    </row>
    <row r="592" ht="15.75" customHeight="1">
      <c r="J592" s="5"/>
      <c r="N592" s="10"/>
    </row>
    <row r="593" ht="15.75" customHeight="1">
      <c r="J593" s="5"/>
      <c r="N593" s="10"/>
    </row>
    <row r="594" ht="15.75" customHeight="1">
      <c r="J594" s="5"/>
      <c r="N594" s="10"/>
    </row>
    <row r="595" ht="15.75" customHeight="1">
      <c r="J595" s="5"/>
      <c r="N595" s="10"/>
    </row>
    <row r="596" ht="15.75" customHeight="1">
      <c r="J596" s="5"/>
      <c r="N596" s="10"/>
    </row>
    <row r="597" ht="15.75" customHeight="1">
      <c r="J597" s="5"/>
      <c r="N597" s="10"/>
    </row>
    <row r="598" ht="15.75" customHeight="1">
      <c r="J598" s="5"/>
      <c r="N598" s="10"/>
    </row>
    <row r="599" ht="15.75" customHeight="1">
      <c r="J599" s="5"/>
      <c r="N599" s="10"/>
    </row>
    <row r="600" ht="15.75" customHeight="1">
      <c r="J600" s="5"/>
      <c r="N600" s="10"/>
    </row>
    <row r="601" ht="15.75" customHeight="1">
      <c r="J601" s="5"/>
      <c r="N601" s="10"/>
    </row>
    <row r="602" ht="15.75" customHeight="1">
      <c r="J602" s="5"/>
      <c r="N602" s="10"/>
    </row>
    <row r="603" ht="15.75" customHeight="1">
      <c r="J603" s="5"/>
      <c r="N603" s="10"/>
    </row>
    <row r="604" ht="15.75" customHeight="1">
      <c r="J604" s="5"/>
      <c r="N604" s="10"/>
    </row>
    <row r="605" ht="15.75" customHeight="1">
      <c r="J605" s="5"/>
      <c r="N605" s="10"/>
    </row>
    <row r="606" ht="15.75" customHeight="1">
      <c r="J606" s="5"/>
      <c r="N606" s="10"/>
    </row>
    <row r="607" ht="15.75" customHeight="1">
      <c r="J607" s="5"/>
      <c r="N607" s="10"/>
    </row>
    <row r="608" ht="15.75" customHeight="1">
      <c r="J608" s="5"/>
      <c r="N608" s="10"/>
    </row>
    <row r="609" ht="15.75" customHeight="1">
      <c r="J609" s="5"/>
      <c r="N609" s="10"/>
    </row>
    <row r="610" ht="15.75" customHeight="1">
      <c r="J610" s="5"/>
      <c r="N610" s="10"/>
    </row>
    <row r="611" ht="15.75" customHeight="1">
      <c r="J611" s="5"/>
      <c r="N611" s="10"/>
    </row>
    <row r="612" ht="15.75" customHeight="1">
      <c r="J612" s="5"/>
      <c r="N612" s="10"/>
    </row>
    <row r="613" ht="15.75" customHeight="1">
      <c r="J613" s="5"/>
      <c r="N613" s="10"/>
    </row>
    <row r="614" ht="15.75" customHeight="1">
      <c r="J614" s="5"/>
      <c r="N614" s="10"/>
    </row>
    <row r="615" ht="15.75" customHeight="1">
      <c r="J615" s="5"/>
      <c r="N615" s="10"/>
    </row>
    <row r="616" ht="15.75" customHeight="1">
      <c r="J616" s="5"/>
      <c r="N616" s="10"/>
    </row>
    <row r="617" ht="15.75" customHeight="1">
      <c r="J617" s="5"/>
      <c r="N617" s="10"/>
    </row>
    <row r="618" ht="15.75" customHeight="1">
      <c r="J618" s="5"/>
      <c r="N618" s="10"/>
    </row>
    <row r="619" ht="15.75" customHeight="1">
      <c r="J619" s="5"/>
      <c r="N619" s="10"/>
    </row>
    <row r="620" ht="15.75" customHeight="1">
      <c r="J620" s="5"/>
      <c r="N620" s="10"/>
    </row>
    <row r="621" ht="15.75" customHeight="1">
      <c r="J621" s="5"/>
      <c r="N621" s="10"/>
    </row>
    <row r="622" ht="15.75" customHeight="1">
      <c r="J622" s="5"/>
      <c r="N622" s="10"/>
    </row>
    <row r="623" ht="15.75" customHeight="1">
      <c r="J623" s="5"/>
      <c r="N623" s="10"/>
    </row>
    <row r="624" ht="15.75" customHeight="1">
      <c r="J624" s="5"/>
      <c r="N624" s="10"/>
    </row>
    <row r="625" ht="15.75" customHeight="1">
      <c r="J625" s="5"/>
      <c r="N625" s="10"/>
    </row>
    <row r="626" ht="15.75" customHeight="1">
      <c r="J626" s="5"/>
      <c r="N626" s="10"/>
    </row>
    <row r="627" ht="15.75" customHeight="1">
      <c r="J627" s="5"/>
      <c r="N627" s="10"/>
    </row>
    <row r="628" ht="15.75" customHeight="1">
      <c r="J628" s="5"/>
      <c r="N628" s="10"/>
    </row>
    <row r="629" ht="15.75" customHeight="1">
      <c r="J629" s="5"/>
      <c r="N629" s="10"/>
    </row>
    <row r="630" ht="15.75" customHeight="1">
      <c r="J630" s="5"/>
      <c r="N630" s="10"/>
    </row>
    <row r="631" ht="15.75" customHeight="1">
      <c r="J631" s="5"/>
      <c r="N631" s="10"/>
    </row>
    <row r="632" ht="15.75" customHeight="1">
      <c r="J632" s="5"/>
      <c r="N632" s="10"/>
    </row>
    <row r="633" ht="15.75" customHeight="1">
      <c r="J633" s="5"/>
      <c r="N633" s="10"/>
    </row>
    <row r="634" ht="15.75" customHeight="1">
      <c r="J634" s="5"/>
      <c r="N634" s="10"/>
    </row>
    <row r="635" ht="15.75" customHeight="1">
      <c r="J635" s="5"/>
      <c r="N635" s="10"/>
    </row>
    <row r="636" ht="15.75" customHeight="1">
      <c r="J636" s="5"/>
      <c r="N636" s="10"/>
    </row>
    <row r="637" ht="15.75" customHeight="1">
      <c r="J637" s="5"/>
      <c r="N637" s="10"/>
    </row>
    <row r="638" ht="15.75" customHeight="1">
      <c r="J638" s="5"/>
      <c r="N638" s="10"/>
    </row>
    <row r="639" ht="15.75" customHeight="1">
      <c r="J639" s="5"/>
      <c r="N639" s="10"/>
    </row>
    <row r="640" ht="15.75" customHeight="1">
      <c r="J640" s="5"/>
      <c r="N640" s="10"/>
    </row>
    <row r="641" ht="15.75" customHeight="1">
      <c r="J641" s="5"/>
      <c r="N641" s="10"/>
    </row>
    <row r="642" ht="15.75" customHeight="1">
      <c r="J642" s="5"/>
      <c r="N642" s="10"/>
    </row>
    <row r="643" ht="15.75" customHeight="1">
      <c r="J643" s="5"/>
      <c r="N643" s="10"/>
    </row>
    <row r="644" ht="15.75" customHeight="1">
      <c r="J644" s="5"/>
      <c r="N644" s="10"/>
    </row>
    <row r="645" ht="15.75" customHeight="1">
      <c r="J645" s="5"/>
      <c r="N645" s="10"/>
    </row>
    <row r="646" ht="15.75" customHeight="1">
      <c r="J646" s="5"/>
      <c r="N646" s="10"/>
    </row>
    <row r="647" ht="15.75" customHeight="1">
      <c r="J647" s="5"/>
      <c r="N647" s="10"/>
    </row>
    <row r="648" ht="15.75" customHeight="1">
      <c r="J648" s="5"/>
      <c r="N648" s="10"/>
    </row>
    <row r="649" ht="15.75" customHeight="1">
      <c r="J649" s="5"/>
      <c r="N649" s="10"/>
    </row>
    <row r="650" ht="15.75" customHeight="1">
      <c r="J650" s="5"/>
      <c r="N650" s="10"/>
    </row>
    <row r="651" ht="15.75" customHeight="1">
      <c r="J651" s="5"/>
      <c r="N651" s="10"/>
    </row>
    <row r="652" ht="15.75" customHeight="1">
      <c r="J652" s="5"/>
      <c r="N652" s="10"/>
    </row>
    <row r="653" ht="15.75" customHeight="1">
      <c r="J653" s="5"/>
      <c r="N653" s="10"/>
    </row>
    <row r="654" ht="15.75" customHeight="1">
      <c r="J654" s="5"/>
      <c r="N654" s="10"/>
    </row>
    <row r="655" ht="15.75" customHeight="1">
      <c r="J655" s="5"/>
      <c r="N655" s="10"/>
    </row>
    <row r="656" ht="15.75" customHeight="1">
      <c r="J656" s="5"/>
      <c r="N656" s="10"/>
    </row>
    <row r="657" ht="15.75" customHeight="1">
      <c r="J657" s="5"/>
      <c r="N657" s="10"/>
    </row>
    <row r="658" ht="15.75" customHeight="1">
      <c r="J658" s="5"/>
      <c r="N658" s="10"/>
    </row>
    <row r="659" ht="15.75" customHeight="1">
      <c r="J659" s="5"/>
      <c r="N659" s="10"/>
    </row>
    <row r="660" ht="15.75" customHeight="1">
      <c r="J660" s="5"/>
      <c r="N660" s="10"/>
    </row>
    <row r="661" ht="15.75" customHeight="1">
      <c r="J661" s="5"/>
      <c r="N661" s="10"/>
    </row>
    <row r="662" ht="15.75" customHeight="1">
      <c r="J662" s="5"/>
      <c r="N662" s="10"/>
    </row>
    <row r="663" ht="15.75" customHeight="1">
      <c r="J663" s="5"/>
      <c r="N663" s="10"/>
    </row>
    <row r="664" ht="15.75" customHeight="1">
      <c r="J664" s="5"/>
      <c r="N664" s="10"/>
    </row>
    <row r="665" ht="15.75" customHeight="1">
      <c r="J665" s="5"/>
      <c r="N665" s="10"/>
    </row>
    <row r="666" ht="15.75" customHeight="1">
      <c r="J666" s="5"/>
      <c r="N666" s="10"/>
    </row>
    <row r="667" ht="15.75" customHeight="1">
      <c r="J667" s="5"/>
      <c r="N667" s="10"/>
    </row>
    <row r="668" ht="15.75" customHeight="1">
      <c r="J668" s="5"/>
      <c r="N668" s="10"/>
    </row>
    <row r="669" ht="15.75" customHeight="1">
      <c r="J669" s="5"/>
      <c r="N669" s="10"/>
    </row>
    <row r="670" ht="15.75" customHeight="1">
      <c r="J670" s="5"/>
      <c r="N670" s="10"/>
    </row>
    <row r="671" ht="15.75" customHeight="1">
      <c r="J671" s="5"/>
      <c r="N671" s="10"/>
    </row>
    <row r="672" ht="15.75" customHeight="1">
      <c r="J672" s="5"/>
      <c r="N672" s="10"/>
    </row>
    <row r="673" ht="15.75" customHeight="1">
      <c r="J673" s="5"/>
      <c r="N673" s="10"/>
    </row>
    <row r="674" ht="15.75" customHeight="1">
      <c r="J674" s="5"/>
      <c r="N674" s="10"/>
    </row>
    <row r="675" ht="15.75" customHeight="1">
      <c r="J675" s="5"/>
      <c r="N675" s="10"/>
    </row>
    <row r="676" ht="15.75" customHeight="1">
      <c r="J676" s="5"/>
      <c r="N676" s="10"/>
    </row>
    <row r="677" ht="15.75" customHeight="1">
      <c r="J677" s="5"/>
      <c r="N677" s="10"/>
    </row>
    <row r="678" ht="15.75" customHeight="1">
      <c r="J678" s="5"/>
      <c r="N678" s="10"/>
    </row>
    <row r="679" ht="15.75" customHeight="1">
      <c r="J679" s="5"/>
      <c r="N679" s="10"/>
    </row>
    <row r="680" ht="15.75" customHeight="1">
      <c r="J680" s="5"/>
      <c r="N680" s="10"/>
    </row>
    <row r="681" ht="15.75" customHeight="1">
      <c r="J681" s="5"/>
      <c r="N681" s="10"/>
    </row>
    <row r="682" ht="15.75" customHeight="1">
      <c r="J682" s="5"/>
      <c r="N682" s="10"/>
    </row>
    <row r="683" ht="15.75" customHeight="1">
      <c r="J683" s="5"/>
      <c r="N683" s="10"/>
    </row>
    <row r="684" ht="15.75" customHeight="1">
      <c r="J684" s="5"/>
      <c r="N684" s="10"/>
    </row>
    <row r="685" ht="15.75" customHeight="1">
      <c r="J685" s="5"/>
      <c r="N685" s="10"/>
    </row>
    <row r="686" ht="15.75" customHeight="1">
      <c r="J686" s="5"/>
      <c r="N686" s="10"/>
    </row>
    <row r="687" ht="15.75" customHeight="1">
      <c r="J687" s="5"/>
      <c r="N687" s="10"/>
    </row>
    <row r="688" ht="15.75" customHeight="1">
      <c r="J688" s="5"/>
      <c r="N688" s="10"/>
    </row>
    <row r="689" ht="15.75" customHeight="1">
      <c r="J689" s="5"/>
      <c r="N689" s="10"/>
    </row>
    <row r="690" ht="15.75" customHeight="1">
      <c r="J690" s="5"/>
      <c r="N690" s="10"/>
    </row>
    <row r="691" ht="15.75" customHeight="1">
      <c r="J691" s="5"/>
      <c r="N691" s="10"/>
    </row>
    <row r="692" ht="15.75" customHeight="1">
      <c r="J692" s="5"/>
      <c r="N692" s="10"/>
    </row>
    <row r="693" ht="15.75" customHeight="1">
      <c r="J693" s="5"/>
      <c r="N693" s="10"/>
    </row>
    <row r="694" ht="15.75" customHeight="1">
      <c r="J694" s="5"/>
      <c r="N694" s="10"/>
    </row>
    <row r="695" ht="15.75" customHeight="1">
      <c r="J695" s="5"/>
      <c r="N695" s="10"/>
    </row>
    <row r="696" ht="15.75" customHeight="1">
      <c r="J696" s="5"/>
      <c r="N696" s="10"/>
    </row>
    <row r="697" ht="15.75" customHeight="1">
      <c r="J697" s="5"/>
      <c r="N697" s="10"/>
    </row>
    <row r="698" ht="15.75" customHeight="1">
      <c r="J698" s="5"/>
      <c r="N698" s="10"/>
    </row>
    <row r="699" ht="15.75" customHeight="1">
      <c r="J699" s="5"/>
      <c r="N699" s="10"/>
    </row>
    <row r="700" ht="15.75" customHeight="1">
      <c r="J700" s="5"/>
      <c r="N700" s="10"/>
    </row>
    <row r="701" ht="15.75" customHeight="1">
      <c r="J701" s="5"/>
      <c r="N701" s="10"/>
    </row>
    <row r="702" ht="15.75" customHeight="1">
      <c r="J702" s="5"/>
      <c r="N702" s="10"/>
    </row>
    <row r="703" ht="15.75" customHeight="1">
      <c r="J703" s="5"/>
      <c r="N703" s="10"/>
    </row>
    <row r="704" ht="15.75" customHeight="1">
      <c r="J704" s="5"/>
      <c r="N704" s="10"/>
    </row>
    <row r="705" ht="15.75" customHeight="1">
      <c r="J705" s="5"/>
      <c r="N705" s="10"/>
    </row>
    <row r="706" ht="15.75" customHeight="1">
      <c r="J706" s="5"/>
      <c r="N706" s="10"/>
    </row>
    <row r="707" ht="15.75" customHeight="1">
      <c r="J707" s="5"/>
      <c r="N707" s="10"/>
    </row>
    <row r="708" ht="15.75" customHeight="1">
      <c r="J708" s="5"/>
      <c r="N708" s="10"/>
    </row>
    <row r="709" ht="15.75" customHeight="1">
      <c r="J709" s="5"/>
      <c r="N709" s="10"/>
    </row>
    <row r="710" ht="15.75" customHeight="1">
      <c r="J710" s="5"/>
      <c r="N710" s="10"/>
    </row>
    <row r="711" ht="15.75" customHeight="1">
      <c r="J711" s="5"/>
      <c r="N711" s="10"/>
    </row>
    <row r="712" ht="15.75" customHeight="1">
      <c r="J712" s="5"/>
      <c r="N712" s="10"/>
    </row>
    <row r="713" ht="15.75" customHeight="1">
      <c r="J713" s="5"/>
      <c r="N713" s="10"/>
    </row>
    <row r="714" ht="15.75" customHeight="1">
      <c r="J714" s="5"/>
      <c r="N714" s="10"/>
    </row>
    <row r="715" ht="15.75" customHeight="1">
      <c r="J715" s="5"/>
      <c r="N715" s="10"/>
    </row>
    <row r="716" ht="15.75" customHeight="1">
      <c r="J716" s="5"/>
      <c r="N716" s="10"/>
    </row>
    <row r="717" ht="15.75" customHeight="1">
      <c r="J717" s="5"/>
      <c r="N717" s="10"/>
    </row>
    <row r="718" ht="15.75" customHeight="1">
      <c r="J718" s="5"/>
      <c r="N718" s="10"/>
    </row>
    <row r="719" ht="15.75" customHeight="1">
      <c r="J719" s="5"/>
      <c r="N719" s="10"/>
    </row>
    <row r="720" ht="15.75" customHeight="1">
      <c r="J720" s="5"/>
      <c r="N720" s="10"/>
    </row>
    <row r="721" ht="15.75" customHeight="1">
      <c r="J721" s="5"/>
      <c r="N721" s="10"/>
    </row>
    <row r="722" ht="15.75" customHeight="1">
      <c r="J722" s="5"/>
      <c r="N722" s="10"/>
    </row>
    <row r="723" ht="15.75" customHeight="1">
      <c r="J723" s="5"/>
      <c r="N723" s="10"/>
    </row>
    <row r="724" ht="15.75" customHeight="1">
      <c r="J724" s="5"/>
      <c r="N724" s="10"/>
    </row>
    <row r="725" ht="15.75" customHeight="1">
      <c r="J725" s="5"/>
      <c r="N725" s="10"/>
    </row>
    <row r="726" ht="15.75" customHeight="1">
      <c r="J726" s="5"/>
      <c r="N726" s="10"/>
    </row>
    <row r="727" ht="15.75" customHeight="1">
      <c r="J727" s="5"/>
      <c r="N727" s="10"/>
    </row>
    <row r="728" ht="15.75" customHeight="1">
      <c r="J728" s="5"/>
      <c r="N728" s="10"/>
    </row>
    <row r="729" ht="15.75" customHeight="1">
      <c r="J729" s="5"/>
      <c r="N729" s="10"/>
    </row>
    <row r="730" ht="15.75" customHeight="1">
      <c r="J730" s="5"/>
      <c r="N730" s="10"/>
    </row>
    <row r="731" ht="15.75" customHeight="1">
      <c r="J731" s="5"/>
      <c r="N731" s="10"/>
    </row>
    <row r="732" ht="15.75" customHeight="1">
      <c r="J732" s="5"/>
      <c r="N732" s="10"/>
    </row>
    <row r="733" ht="15.75" customHeight="1">
      <c r="J733" s="5"/>
      <c r="N733" s="10"/>
    </row>
    <row r="734" ht="15.75" customHeight="1">
      <c r="J734" s="5"/>
      <c r="N734" s="10"/>
    </row>
    <row r="735" ht="15.75" customHeight="1">
      <c r="J735" s="5"/>
      <c r="N735" s="10"/>
    </row>
    <row r="736" ht="15.75" customHeight="1">
      <c r="J736" s="5"/>
      <c r="N736" s="10"/>
    </row>
    <row r="737" ht="15.75" customHeight="1">
      <c r="J737" s="5"/>
      <c r="N737" s="10"/>
    </row>
    <row r="738" ht="15.75" customHeight="1">
      <c r="J738" s="5"/>
      <c r="N738" s="10"/>
    </row>
    <row r="739" ht="15.75" customHeight="1">
      <c r="J739" s="5"/>
      <c r="N739" s="10"/>
    </row>
    <row r="740" ht="15.75" customHeight="1">
      <c r="J740" s="5"/>
      <c r="N740" s="10"/>
    </row>
    <row r="741" ht="15.75" customHeight="1">
      <c r="J741" s="5"/>
      <c r="N741" s="10"/>
    </row>
    <row r="742" ht="15.75" customHeight="1">
      <c r="J742" s="5"/>
      <c r="N742" s="10"/>
    </row>
    <row r="743" ht="15.75" customHeight="1">
      <c r="J743" s="5"/>
      <c r="N743" s="10"/>
    </row>
    <row r="744" ht="15.75" customHeight="1">
      <c r="J744" s="5"/>
      <c r="N744" s="10"/>
    </row>
    <row r="745" ht="15.75" customHeight="1">
      <c r="J745" s="5"/>
      <c r="N745" s="10"/>
    </row>
    <row r="746" ht="15.75" customHeight="1">
      <c r="J746" s="5"/>
      <c r="N746" s="10"/>
    </row>
    <row r="747" ht="15.75" customHeight="1">
      <c r="J747" s="5"/>
      <c r="N747" s="10"/>
    </row>
    <row r="748" ht="15.75" customHeight="1">
      <c r="J748" s="5"/>
      <c r="N748" s="10"/>
    </row>
    <row r="749" ht="15.75" customHeight="1">
      <c r="J749" s="5"/>
      <c r="N749" s="10"/>
    </row>
    <row r="750" ht="15.75" customHeight="1">
      <c r="J750" s="5"/>
      <c r="N750" s="10"/>
    </row>
    <row r="751" ht="15.75" customHeight="1">
      <c r="J751" s="5"/>
      <c r="N751" s="10"/>
    </row>
    <row r="752" ht="15.75" customHeight="1">
      <c r="J752" s="5"/>
      <c r="N752" s="10"/>
    </row>
    <row r="753" ht="15.75" customHeight="1">
      <c r="J753" s="5"/>
      <c r="N753" s="10"/>
    </row>
    <row r="754" ht="15.75" customHeight="1">
      <c r="J754" s="5"/>
      <c r="N754" s="10"/>
    </row>
    <row r="755" ht="15.75" customHeight="1">
      <c r="J755" s="5"/>
      <c r="N755" s="10"/>
    </row>
    <row r="756" ht="15.75" customHeight="1">
      <c r="J756" s="5"/>
      <c r="N756" s="10"/>
    </row>
    <row r="757" ht="15.75" customHeight="1">
      <c r="J757" s="5"/>
      <c r="N757" s="10"/>
    </row>
    <row r="758" ht="15.75" customHeight="1">
      <c r="J758" s="5"/>
      <c r="N758" s="10"/>
    </row>
    <row r="759" ht="15.75" customHeight="1">
      <c r="J759" s="5"/>
      <c r="N759" s="10"/>
    </row>
    <row r="760" ht="15.75" customHeight="1">
      <c r="J760" s="5"/>
      <c r="N760" s="10"/>
    </row>
    <row r="761" ht="15.75" customHeight="1">
      <c r="J761" s="5"/>
      <c r="N761" s="10"/>
    </row>
    <row r="762" ht="15.75" customHeight="1">
      <c r="J762" s="5"/>
      <c r="N762" s="10"/>
    </row>
    <row r="763" ht="15.75" customHeight="1">
      <c r="J763" s="5"/>
      <c r="N763" s="10"/>
    </row>
    <row r="764" ht="15.75" customHeight="1">
      <c r="J764" s="5"/>
      <c r="N764" s="10"/>
    </row>
    <row r="765" ht="15.75" customHeight="1">
      <c r="J765" s="5"/>
      <c r="N765" s="10"/>
    </row>
    <row r="766" ht="15.75" customHeight="1">
      <c r="J766" s="5"/>
      <c r="N766" s="10"/>
    </row>
    <row r="767" ht="15.75" customHeight="1">
      <c r="J767" s="5"/>
      <c r="N767" s="10"/>
    </row>
    <row r="768" ht="15.75" customHeight="1">
      <c r="J768" s="5"/>
      <c r="N768" s="10"/>
    </row>
    <row r="769" ht="15.75" customHeight="1">
      <c r="J769" s="5"/>
      <c r="N769" s="10"/>
    </row>
    <row r="770" ht="15.75" customHeight="1">
      <c r="J770" s="5"/>
      <c r="N770" s="10"/>
    </row>
    <row r="771" ht="15.75" customHeight="1">
      <c r="J771" s="5"/>
      <c r="N771" s="10"/>
    </row>
    <row r="772" ht="15.75" customHeight="1">
      <c r="J772" s="5"/>
      <c r="N772" s="10"/>
    </row>
    <row r="773" ht="15.75" customHeight="1">
      <c r="J773" s="5"/>
      <c r="N773" s="10"/>
    </row>
    <row r="774" ht="15.75" customHeight="1">
      <c r="J774" s="5"/>
      <c r="N774" s="10"/>
    </row>
    <row r="775" ht="15.75" customHeight="1">
      <c r="J775" s="5"/>
      <c r="N775" s="10"/>
    </row>
    <row r="776" ht="15.75" customHeight="1">
      <c r="J776" s="5"/>
      <c r="N776" s="10"/>
    </row>
    <row r="777" ht="15.75" customHeight="1">
      <c r="J777" s="5"/>
      <c r="N777" s="10"/>
    </row>
    <row r="778" ht="15.75" customHeight="1">
      <c r="J778" s="5"/>
      <c r="N778" s="10"/>
    </row>
    <row r="779" ht="15.75" customHeight="1">
      <c r="J779" s="5"/>
      <c r="N779" s="10"/>
    </row>
    <row r="780" ht="15.75" customHeight="1">
      <c r="J780" s="5"/>
      <c r="N780" s="10"/>
    </row>
    <row r="781" ht="15.75" customHeight="1">
      <c r="J781" s="5"/>
      <c r="N781" s="10"/>
    </row>
    <row r="782" ht="15.75" customHeight="1">
      <c r="J782" s="5"/>
      <c r="N782" s="10"/>
    </row>
    <row r="783" ht="15.75" customHeight="1">
      <c r="J783" s="5"/>
      <c r="N783" s="10"/>
    </row>
    <row r="784" ht="15.75" customHeight="1">
      <c r="J784" s="5"/>
      <c r="N784" s="10"/>
    </row>
    <row r="785" ht="15.75" customHeight="1">
      <c r="J785" s="5"/>
      <c r="N785" s="10"/>
    </row>
    <row r="786" ht="15.75" customHeight="1">
      <c r="J786" s="5"/>
      <c r="N786" s="10"/>
    </row>
    <row r="787" ht="15.75" customHeight="1">
      <c r="J787" s="5"/>
      <c r="N787" s="10"/>
    </row>
    <row r="788" ht="15.75" customHeight="1">
      <c r="J788" s="5"/>
      <c r="N788" s="10"/>
    </row>
    <row r="789" ht="15.75" customHeight="1">
      <c r="J789" s="5"/>
      <c r="N789" s="10"/>
    </row>
    <row r="790" ht="15.75" customHeight="1">
      <c r="J790" s="5"/>
      <c r="N790" s="10"/>
    </row>
    <row r="791" ht="15.75" customHeight="1">
      <c r="J791" s="5"/>
      <c r="N791" s="10"/>
    </row>
    <row r="792" ht="15.75" customHeight="1">
      <c r="J792" s="5"/>
      <c r="N792" s="10"/>
    </row>
    <row r="793" ht="15.75" customHeight="1">
      <c r="J793" s="5"/>
      <c r="N793" s="10"/>
    </row>
    <row r="794" ht="15.75" customHeight="1">
      <c r="J794" s="5"/>
      <c r="N794" s="10"/>
    </row>
    <row r="795" ht="15.75" customHeight="1">
      <c r="J795" s="5"/>
      <c r="N795" s="10"/>
    </row>
    <row r="796" ht="15.75" customHeight="1">
      <c r="J796" s="5"/>
      <c r="N796" s="10"/>
    </row>
    <row r="797" ht="15.75" customHeight="1">
      <c r="J797" s="5"/>
      <c r="N797" s="10"/>
    </row>
    <row r="798" ht="15.75" customHeight="1">
      <c r="J798" s="5"/>
      <c r="N798" s="10"/>
    </row>
    <row r="799" ht="15.75" customHeight="1">
      <c r="J799" s="5"/>
      <c r="N799" s="10"/>
    </row>
    <row r="800" ht="15.75" customHeight="1">
      <c r="J800" s="5"/>
      <c r="N800" s="10"/>
    </row>
    <row r="801" ht="15.75" customHeight="1">
      <c r="J801" s="5"/>
      <c r="N801" s="10"/>
    </row>
    <row r="802" ht="15.75" customHeight="1">
      <c r="J802" s="5"/>
      <c r="N802" s="10"/>
    </row>
    <row r="803" ht="15.75" customHeight="1">
      <c r="J803" s="5"/>
      <c r="N803" s="10"/>
    </row>
    <row r="804" ht="15.75" customHeight="1">
      <c r="J804" s="5"/>
      <c r="N804" s="10"/>
    </row>
    <row r="805" ht="15.75" customHeight="1">
      <c r="J805" s="5"/>
      <c r="N805" s="10"/>
    </row>
    <row r="806" ht="15.75" customHeight="1">
      <c r="J806" s="5"/>
      <c r="N806" s="10"/>
    </row>
    <row r="807" ht="15.75" customHeight="1">
      <c r="J807" s="5"/>
      <c r="N807" s="10"/>
    </row>
    <row r="808" ht="15.75" customHeight="1">
      <c r="J808" s="5"/>
      <c r="N808" s="10"/>
    </row>
    <row r="809" ht="15.75" customHeight="1">
      <c r="J809" s="5"/>
      <c r="N809" s="10"/>
    </row>
    <row r="810" ht="15.75" customHeight="1">
      <c r="J810" s="5"/>
      <c r="N810" s="10"/>
    </row>
    <row r="811" ht="15.75" customHeight="1">
      <c r="J811" s="5"/>
      <c r="N811" s="10"/>
    </row>
    <row r="812" ht="15.75" customHeight="1">
      <c r="J812" s="5"/>
      <c r="N812" s="10"/>
    </row>
    <row r="813" ht="15.75" customHeight="1">
      <c r="J813" s="5"/>
      <c r="N813" s="10"/>
    </row>
    <row r="814" ht="15.75" customHeight="1">
      <c r="J814" s="5"/>
      <c r="N814" s="10"/>
    </row>
    <row r="815" ht="15.75" customHeight="1">
      <c r="J815" s="5"/>
      <c r="N815" s="10"/>
    </row>
    <row r="816" ht="15.75" customHeight="1">
      <c r="J816" s="5"/>
      <c r="N816" s="10"/>
    </row>
    <row r="817" ht="15.75" customHeight="1">
      <c r="J817" s="5"/>
      <c r="N817" s="10"/>
    </row>
    <row r="818" ht="15.75" customHeight="1">
      <c r="J818" s="5"/>
      <c r="N818" s="10"/>
    </row>
    <row r="819" ht="15.75" customHeight="1">
      <c r="J819" s="5"/>
      <c r="N819" s="10"/>
    </row>
    <row r="820" ht="15.75" customHeight="1">
      <c r="J820" s="5"/>
      <c r="N820" s="10"/>
    </row>
    <row r="821" ht="15.75" customHeight="1">
      <c r="J821" s="5"/>
      <c r="N821" s="10"/>
    </row>
    <row r="822" ht="15.75" customHeight="1">
      <c r="J822" s="5"/>
      <c r="N822" s="10"/>
    </row>
    <row r="823" ht="15.75" customHeight="1">
      <c r="J823" s="5"/>
      <c r="N823" s="10"/>
    </row>
    <row r="824" ht="15.75" customHeight="1">
      <c r="J824" s="5"/>
      <c r="N824" s="10"/>
    </row>
    <row r="825" ht="15.75" customHeight="1">
      <c r="J825" s="5"/>
      <c r="N825" s="10"/>
    </row>
    <row r="826" ht="15.75" customHeight="1">
      <c r="J826" s="5"/>
      <c r="N826" s="10"/>
    </row>
    <row r="827" ht="15.75" customHeight="1">
      <c r="J827" s="5"/>
      <c r="N827" s="10"/>
    </row>
    <row r="828" ht="15.75" customHeight="1">
      <c r="J828" s="5"/>
      <c r="N828" s="10"/>
    </row>
    <row r="829" ht="15.75" customHeight="1">
      <c r="J829" s="5"/>
      <c r="N829" s="10"/>
    </row>
    <row r="830" ht="15.75" customHeight="1">
      <c r="J830" s="5"/>
      <c r="N830" s="10"/>
    </row>
    <row r="831" ht="15.75" customHeight="1">
      <c r="J831" s="5"/>
      <c r="N831" s="10"/>
    </row>
    <row r="832" ht="15.75" customHeight="1">
      <c r="J832" s="5"/>
      <c r="N832" s="10"/>
    </row>
    <row r="833" ht="15.75" customHeight="1">
      <c r="J833" s="5"/>
      <c r="N833" s="10"/>
    </row>
    <row r="834" ht="15.75" customHeight="1">
      <c r="J834" s="5"/>
      <c r="N834" s="10"/>
    </row>
    <row r="835" ht="15.75" customHeight="1">
      <c r="J835" s="5"/>
      <c r="N835" s="10"/>
    </row>
    <row r="836" ht="15.75" customHeight="1">
      <c r="J836" s="5"/>
      <c r="N836" s="10"/>
    </row>
    <row r="837" ht="15.75" customHeight="1">
      <c r="J837" s="5"/>
      <c r="N837" s="10"/>
    </row>
    <row r="838" ht="15.75" customHeight="1">
      <c r="J838" s="5"/>
      <c r="N838" s="10"/>
    </row>
    <row r="839" ht="15.75" customHeight="1">
      <c r="J839" s="5"/>
      <c r="N839" s="10"/>
    </row>
    <row r="840" ht="15.75" customHeight="1">
      <c r="J840" s="5"/>
      <c r="N840" s="10"/>
    </row>
    <row r="841" ht="15.75" customHeight="1">
      <c r="J841" s="5"/>
      <c r="N841" s="10"/>
    </row>
    <row r="842" ht="15.75" customHeight="1">
      <c r="J842" s="5"/>
      <c r="N842" s="10"/>
    </row>
    <row r="843" ht="15.75" customHeight="1">
      <c r="J843" s="5"/>
      <c r="N843" s="10"/>
    </row>
    <row r="844" ht="15.75" customHeight="1">
      <c r="J844" s="5"/>
      <c r="N844" s="10"/>
    </row>
    <row r="845" ht="15.75" customHeight="1">
      <c r="J845" s="5"/>
      <c r="N845" s="10"/>
    </row>
    <row r="846" ht="15.75" customHeight="1">
      <c r="J846" s="5"/>
      <c r="N846" s="10"/>
    </row>
    <row r="847" ht="15.75" customHeight="1">
      <c r="J847" s="5"/>
      <c r="N847" s="10"/>
    </row>
    <row r="848" ht="15.75" customHeight="1">
      <c r="J848" s="5"/>
      <c r="N848" s="10"/>
    </row>
    <row r="849" ht="15.75" customHeight="1">
      <c r="J849" s="5"/>
      <c r="N849" s="10"/>
    </row>
    <row r="850" ht="15.75" customHeight="1">
      <c r="J850" s="5"/>
      <c r="N850" s="10"/>
    </row>
    <row r="851" ht="15.75" customHeight="1">
      <c r="J851" s="5"/>
      <c r="N851" s="10"/>
    </row>
    <row r="852" ht="15.75" customHeight="1">
      <c r="J852" s="5"/>
      <c r="N852" s="10"/>
    </row>
    <row r="853" ht="15.75" customHeight="1">
      <c r="J853" s="5"/>
      <c r="N853" s="10"/>
    </row>
    <row r="854" ht="15.75" customHeight="1">
      <c r="J854" s="5"/>
      <c r="N854" s="10"/>
    </row>
    <row r="855" ht="15.75" customHeight="1">
      <c r="J855" s="5"/>
      <c r="N855" s="10"/>
    </row>
    <row r="856" ht="15.75" customHeight="1">
      <c r="J856" s="5"/>
      <c r="N856" s="10"/>
    </row>
    <row r="857" ht="15.75" customHeight="1">
      <c r="J857" s="5"/>
      <c r="N857" s="10"/>
    </row>
    <row r="858" ht="15.75" customHeight="1">
      <c r="J858" s="5"/>
      <c r="N858" s="10"/>
    </row>
    <row r="859" ht="15.75" customHeight="1">
      <c r="J859" s="5"/>
      <c r="N859" s="10"/>
    </row>
    <row r="860" ht="15.75" customHeight="1">
      <c r="J860" s="5"/>
      <c r="N860" s="10"/>
    </row>
    <row r="861" ht="15.75" customHeight="1">
      <c r="J861" s="5"/>
      <c r="N861" s="10"/>
    </row>
    <row r="862" ht="15.75" customHeight="1">
      <c r="J862" s="5"/>
      <c r="N862" s="10"/>
    </row>
    <row r="863" ht="15.75" customHeight="1">
      <c r="J863" s="5"/>
      <c r="N863" s="10"/>
    </row>
    <row r="864" ht="15.75" customHeight="1">
      <c r="J864" s="5"/>
      <c r="N864" s="10"/>
    </row>
    <row r="865" ht="15.75" customHeight="1">
      <c r="J865" s="5"/>
      <c r="N865" s="10"/>
    </row>
    <row r="866" ht="15.75" customHeight="1">
      <c r="J866" s="5"/>
      <c r="N866" s="10"/>
    </row>
    <row r="867" ht="15.75" customHeight="1">
      <c r="J867" s="5"/>
      <c r="N867" s="10"/>
    </row>
    <row r="868" ht="15.75" customHeight="1">
      <c r="J868" s="5"/>
      <c r="N868" s="10"/>
    </row>
    <row r="869" ht="15.75" customHeight="1">
      <c r="J869" s="5"/>
      <c r="N869" s="10"/>
    </row>
    <row r="870" ht="15.75" customHeight="1">
      <c r="J870" s="5"/>
      <c r="N870" s="10"/>
    </row>
    <row r="871" ht="15.75" customHeight="1">
      <c r="J871" s="5"/>
      <c r="N871" s="10"/>
    </row>
    <row r="872" ht="15.75" customHeight="1">
      <c r="J872" s="5"/>
      <c r="N872" s="10"/>
    </row>
    <row r="873" ht="15.75" customHeight="1">
      <c r="J873" s="5"/>
      <c r="N873" s="10"/>
    </row>
    <row r="874" ht="15.75" customHeight="1">
      <c r="J874" s="5"/>
      <c r="N874" s="10"/>
    </row>
    <row r="875" ht="15.75" customHeight="1">
      <c r="J875" s="5"/>
      <c r="N875" s="10"/>
    </row>
    <row r="876" ht="15.75" customHeight="1">
      <c r="J876" s="5"/>
      <c r="N876" s="10"/>
    </row>
    <row r="877" ht="15.75" customHeight="1">
      <c r="J877" s="5"/>
      <c r="N877" s="10"/>
    </row>
    <row r="878" ht="15.75" customHeight="1">
      <c r="J878" s="5"/>
      <c r="N878" s="10"/>
    </row>
    <row r="879" ht="15.75" customHeight="1">
      <c r="J879" s="5"/>
      <c r="N879" s="10"/>
    </row>
    <row r="880" ht="15.75" customHeight="1">
      <c r="J880" s="5"/>
      <c r="N880" s="10"/>
    </row>
    <row r="881" ht="15.75" customHeight="1">
      <c r="J881" s="5"/>
      <c r="N881" s="10"/>
    </row>
    <row r="882" ht="15.75" customHeight="1">
      <c r="J882" s="5"/>
      <c r="N882" s="10"/>
    </row>
    <row r="883" ht="15.75" customHeight="1">
      <c r="J883" s="5"/>
      <c r="N883" s="10"/>
    </row>
    <row r="884" ht="15.75" customHeight="1">
      <c r="J884" s="5"/>
      <c r="N884" s="10"/>
    </row>
    <row r="885" ht="15.75" customHeight="1">
      <c r="J885" s="5"/>
      <c r="N885" s="10"/>
    </row>
    <row r="886" ht="15.75" customHeight="1">
      <c r="J886" s="5"/>
      <c r="N886" s="10"/>
    </row>
    <row r="887" ht="15.75" customHeight="1">
      <c r="J887" s="5"/>
      <c r="N887" s="10"/>
    </row>
    <row r="888" ht="15.75" customHeight="1">
      <c r="J888" s="5"/>
      <c r="N888" s="10"/>
    </row>
    <row r="889" ht="15.75" customHeight="1">
      <c r="J889" s="5"/>
      <c r="N889" s="10"/>
    </row>
    <row r="890" ht="15.75" customHeight="1">
      <c r="J890" s="5"/>
      <c r="N890" s="10"/>
    </row>
    <row r="891" ht="15.75" customHeight="1">
      <c r="J891" s="5"/>
      <c r="N891" s="10"/>
    </row>
    <row r="892" ht="15.75" customHeight="1">
      <c r="J892" s="5"/>
      <c r="N892" s="10"/>
    </row>
    <row r="893" ht="15.75" customHeight="1">
      <c r="J893" s="5"/>
      <c r="N893" s="10"/>
    </row>
    <row r="894" ht="15.75" customHeight="1">
      <c r="J894" s="5"/>
      <c r="N894" s="10"/>
    </row>
    <row r="895" ht="15.75" customHeight="1">
      <c r="J895" s="5"/>
      <c r="N895" s="10"/>
    </row>
    <row r="896" ht="15.75" customHeight="1">
      <c r="J896" s="5"/>
      <c r="N896" s="10"/>
    </row>
    <row r="897" ht="15.75" customHeight="1">
      <c r="J897" s="5"/>
      <c r="N897" s="10"/>
    </row>
    <row r="898" ht="15.75" customHeight="1">
      <c r="J898" s="5"/>
      <c r="N898" s="10"/>
    </row>
    <row r="899" ht="15.75" customHeight="1">
      <c r="J899" s="5"/>
      <c r="N899" s="10"/>
    </row>
    <row r="900" ht="15.75" customHeight="1">
      <c r="J900" s="5"/>
      <c r="N900" s="10"/>
    </row>
    <row r="901" ht="15.75" customHeight="1">
      <c r="J901" s="5"/>
      <c r="N901" s="10"/>
    </row>
    <row r="902" ht="15.75" customHeight="1">
      <c r="J902" s="5"/>
      <c r="N902" s="10"/>
    </row>
    <row r="903" ht="15.75" customHeight="1">
      <c r="J903" s="5"/>
      <c r="N903" s="10"/>
    </row>
    <row r="904" ht="15.75" customHeight="1">
      <c r="J904" s="5"/>
      <c r="N904" s="10"/>
    </row>
    <row r="905" ht="15.75" customHeight="1">
      <c r="J905" s="5"/>
      <c r="N905" s="10"/>
    </row>
    <row r="906" ht="15.75" customHeight="1">
      <c r="J906" s="5"/>
      <c r="N906" s="10"/>
    </row>
    <row r="907" ht="15.75" customHeight="1">
      <c r="J907" s="5"/>
      <c r="N907" s="10"/>
    </row>
    <row r="908" ht="15.75" customHeight="1">
      <c r="J908" s="5"/>
      <c r="N908" s="10"/>
    </row>
    <row r="909" ht="15.75" customHeight="1">
      <c r="J909" s="5"/>
      <c r="N909" s="10"/>
    </row>
    <row r="910" ht="15.75" customHeight="1">
      <c r="J910" s="5"/>
      <c r="N910" s="10"/>
    </row>
    <row r="911" ht="15.75" customHeight="1">
      <c r="J911" s="5"/>
      <c r="N911" s="10"/>
    </row>
    <row r="912" ht="15.75" customHeight="1">
      <c r="J912" s="5"/>
      <c r="N912" s="10"/>
    </row>
    <row r="913" ht="15.75" customHeight="1">
      <c r="J913" s="5"/>
      <c r="N913" s="10"/>
    </row>
    <row r="914" ht="15.75" customHeight="1">
      <c r="J914" s="5"/>
      <c r="N914" s="10"/>
    </row>
    <row r="915" ht="15.75" customHeight="1">
      <c r="J915" s="5"/>
      <c r="N915" s="10"/>
    </row>
    <row r="916" ht="15.75" customHeight="1">
      <c r="J916" s="5"/>
      <c r="N916" s="10"/>
    </row>
    <row r="917" ht="15.75" customHeight="1">
      <c r="J917" s="5"/>
      <c r="N917" s="10"/>
    </row>
    <row r="918" ht="15.75" customHeight="1">
      <c r="J918" s="5"/>
      <c r="N918" s="10"/>
    </row>
    <row r="919" ht="15.75" customHeight="1">
      <c r="J919" s="5"/>
      <c r="N919" s="10"/>
    </row>
    <row r="920" ht="15.75" customHeight="1">
      <c r="J920" s="5"/>
      <c r="N920" s="10"/>
    </row>
    <row r="921" ht="15.75" customHeight="1">
      <c r="J921" s="5"/>
      <c r="N921" s="10"/>
    </row>
    <row r="922" ht="15.75" customHeight="1">
      <c r="J922" s="5"/>
      <c r="N922" s="10"/>
    </row>
    <row r="923" ht="15.75" customHeight="1">
      <c r="J923" s="5"/>
      <c r="N923" s="10"/>
    </row>
    <row r="924" ht="15.75" customHeight="1">
      <c r="J924" s="5"/>
      <c r="N924" s="10"/>
    </row>
    <row r="925" ht="15.75" customHeight="1">
      <c r="J925" s="5"/>
      <c r="N925" s="10"/>
    </row>
    <row r="926" ht="15.75" customHeight="1">
      <c r="J926" s="5"/>
      <c r="N926" s="10"/>
    </row>
    <row r="927" ht="15.75" customHeight="1">
      <c r="J927" s="5"/>
      <c r="N927" s="10"/>
    </row>
    <row r="928" ht="15.75" customHeight="1">
      <c r="J928" s="5"/>
      <c r="N928" s="10"/>
    </row>
    <row r="929" ht="15.75" customHeight="1">
      <c r="J929" s="5"/>
      <c r="N929" s="10"/>
    </row>
    <row r="930" ht="15.75" customHeight="1">
      <c r="J930" s="5"/>
      <c r="N930" s="10"/>
    </row>
    <row r="931" ht="15.75" customHeight="1">
      <c r="J931" s="5"/>
      <c r="N931" s="10"/>
    </row>
    <row r="932" ht="15.75" customHeight="1">
      <c r="J932" s="5"/>
      <c r="N932" s="10"/>
    </row>
    <row r="933" ht="15.75" customHeight="1">
      <c r="J933" s="5"/>
      <c r="N933" s="10"/>
    </row>
    <row r="934" ht="15.75" customHeight="1">
      <c r="J934" s="5"/>
      <c r="N934" s="10"/>
    </row>
    <row r="935" ht="15.75" customHeight="1">
      <c r="J935" s="5"/>
      <c r="N935" s="10"/>
    </row>
    <row r="936" ht="15.75" customHeight="1">
      <c r="J936" s="5"/>
      <c r="N936" s="10"/>
    </row>
    <row r="937" ht="15.75" customHeight="1">
      <c r="J937" s="5"/>
      <c r="N937" s="10"/>
    </row>
    <row r="938" ht="15.75" customHeight="1">
      <c r="J938" s="5"/>
      <c r="N938" s="10"/>
    </row>
    <row r="939" ht="15.75" customHeight="1">
      <c r="J939" s="5"/>
      <c r="N939" s="10"/>
    </row>
    <row r="940" ht="15.75" customHeight="1">
      <c r="J940" s="5"/>
      <c r="N940" s="10"/>
    </row>
    <row r="941" ht="15.75" customHeight="1">
      <c r="J941" s="5"/>
      <c r="N941" s="10"/>
    </row>
    <row r="942" ht="15.75" customHeight="1">
      <c r="J942" s="5"/>
      <c r="N942" s="10"/>
    </row>
    <row r="943" ht="15.75" customHeight="1">
      <c r="J943" s="5"/>
      <c r="N943" s="10"/>
    </row>
    <row r="944" ht="15.75" customHeight="1">
      <c r="J944" s="5"/>
      <c r="N944" s="10"/>
    </row>
    <row r="945" ht="15.75" customHeight="1">
      <c r="J945" s="5"/>
      <c r="N945" s="10"/>
    </row>
    <row r="946" ht="15.75" customHeight="1">
      <c r="J946" s="5"/>
      <c r="N946" s="10"/>
    </row>
    <row r="947" ht="15.75" customHeight="1">
      <c r="J947" s="5"/>
      <c r="N947" s="10"/>
    </row>
    <row r="948" ht="15.75" customHeight="1">
      <c r="J948" s="5"/>
      <c r="N948" s="10"/>
    </row>
    <row r="949" ht="15.75" customHeight="1">
      <c r="J949" s="5"/>
      <c r="N949" s="10"/>
    </row>
    <row r="950" ht="15.75" customHeight="1">
      <c r="J950" s="5"/>
      <c r="N950" s="10"/>
    </row>
    <row r="951" ht="15.75" customHeight="1">
      <c r="J951" s="5"/>
      <c r="N951" s="10"/>
    </row>
    <row r="952" ht="15.75" customHeight="1">
      <c r="J952" s="5"/>
      <c r="N952" s="10"/>
    </row>
    <row r="953" ht="15.75" customHeight="1">
      <c r="J953" s="5"/>
      <c r="N953" s="10"/>
    </row>
    <row r="954" ht="15.75" customHeight="1">
      <c r="J954" s="5"/>
      <c r="N954" s="10"/>
    </row>
    <row r="955" ht="15.75" customHeight="1">
      <c r="J955" s="5"/>
      <c r="N955" s="10"/>
    </row>
    <row r="956" ht="15.75" customHeight="1">
      <c r="J956" s="5"/>
      <c r="N956" s="10"/>
    </row>
    <row r="957" ht="15.75" customHeight="1">
      <c r="J957" s="5"/>
      <c r="N957" s="10"/>
    </row>
    <row r="958" ht="15.75" customHeight="1">
      <c r="J958" s="5"/>
      <c r="N958" s="10"/>
    </row>
    <row r="959" ht="15.75" customHeight="1">
      <c r="J959" s="5"/>
      <c r="N959" s="10"/>
    </row>
    <row r="960" ht="15.75" customHeight="1">
      <c r="J960" s="5"/>
      <c r="N960" s="10"/>
    </row>
    <row r="961" ht="15.75" customHeight="1">
      <c r="J961" s="5"/>
      <c r="N961" s="10"/>
    </row>
    <row r="962" ht="15.75" customHeight="1">
      <c r="J962" s="5"/>
      <c r="N962" s="10"/>
    </row>
    <row r="963" ht="15.75" customHeight="1">
      <c r="J963" s="5"/>
      <c r="N963" s="10"/>
    </row>
    <row r="964" ht="15.75" customHeight="1">
      <c r="J964" s="5"/>
      <c r="N964" s="10"/>
    </row>
    <row r="965" ht="15.75" customHeight="1">
      <c r="J965" s="5"/>
      <c r="N965" s="10"/>
    </row>
    <row r="966" ht="15.75" customHeight="1">
      <c r="J966" s="5"/>
      <c r="N966" s="10"/>
    </row>
    <row r="967" ht="15.75" customHeight="1">
      <c r="J967" s="5"/>
      <c r="N967" s="10"/>
    </row>
    <row r="968" ht="15.75" customHeight="1">
      <c r="J968" s="5"/>
      <c r="N968" s="10"/>
    </row>
    <row r="969" ht="15.75" customHeight="1">
      <c r="J969" s="5"/>
      <c r="N969" s="10"/>
    </row>
    <row r="970" ht="15.75" customHeight="1">
      <c r="J970" s="5"/>
      <c r="N970" s="10"/>
    </row>
    <row r="971" ht="15.75" customHeight="1">
      <c r="J971" s="5"/>
      <c r="N971" s="10"/>
    </row>
    <row r="972" ht="15.75" customHeight="1">
      <c r="J972" s="5"/>
      <c r="N972" s="10"/>
    </row>
    <row r="973" ht="15.75" customHeight="1">
      <c r="J973" s="5"/>
      <c r="N973" s="10"/>
    </row>
    <row r="974" ht="15.75" customHeight="1">
      <c r="J974" s="5"/>
      <c r="N974" s="10"/>
    </row>
    <row r="975" ht="15.75" customHeight="1">
      <c r="J975" s="5"/>
      <c r="N975" s="10"/>
    </row>
    <row r="976" ht="15.75" customHeight="1">
      <c r="J976" s="5"/>
      <c r="N976" s="10"/>
    </row>
    <row r="977" ht="15.75" customHeight="1">
      <c r="J977" s="5"/>
      <c r="N977" s="10"/>
    </row>
    <row r="978" ht="15.75" customHeight="1">
      <c r="J978" s="5"/>
      <c r="N978" s="10"/>
    </row>
    <row r="979" ht="15.75" customHeight="1">
      <c r="J979" s="5"/>
      <c r="N979" s="10"/>
    </row>
    <row r="980" ht="15.75" customHeight="1">
      <c r="J980" s="5"/>
      <c r="N980" s="10"/>
    </row>
    <row r="981" ht="15.75" customHeight="1">
      <c r="J981" s="5"/>
      <c r="N981" s="10"/>
    </row>
    <row r="982" ht="15.75" customHeight="1">
      <c r="J982" s="5"/>
      <c r="N982" s="10"/>
    </row>
    <row r="983" ht="15.75" customHeight="1">
      <c r="J983" s="5"/>
      <c r="N983" s="10"/>
    </row>
    <row r="984" ht="15.75" customHeight="1">
      <c r="J984" s="5"/>
      <c r="N984" s="10"/>
    </row>
    <row r="985" ht="15.75" customHeight="1">
      <c r="J985" s="5"/>
      <c r="N985" s="10"/>
    </row>
    <row r="986" ht="15.75" customHeight="1">
      <c r="J986" s="5"/>
      <c r="N986" s="10"/>
    </row>
    <row r="987" ht="15.75" customHeight="1">
      <c r="J987" s="5"/>
      <c r="N987" s="10"/>
    </row>
    <row r="988" ht="15.75" customHeight="1">
      <c r="J988" s="5"/>
      <c r="N988" s="10"/>
    </row>
    <row r="989" ht="15.75" customHeight="1">
      <c r="J989" s="5"/>
      <c r="N989" s="10"/>
    </row>
    <row r="990" ht="15.75" customHeight="1">
      <c r="J990" s="5"/>
      <c r="N990" s="10"/>
    </row>
    <row r="991" ht="15.75" customHeight="1">
      <c r="J991" s="5"/>
      <c r="N991" s="10"/>
    </row>
    <row r="992" ht="15.75" customHeight="1">
      <c r="J992" s="5"/>
    </row>
    <row r="993" ht="15.75" customHeight="1"/>
    <row r="994" ht="15.75" customHeight="1"/>
    <row r="995" ht="15.75" customHeight="1"/>
    <row r="996" ht="15.75" customHeight="1"/>
    <row r="997" ht="15.75" customHeight="1"/>
  </sheetData>
  <mergeCells count="16">
    <mergeCell ref="G6:G8"/>
    <mergeCell ref="H6:H8"/>
    <mergeCell ref="I6:I8"/>
    <mergeCell ref="J6:J8"/>
    <mergeCell ref="H10:H12"/>
    <mergeCell ref="I10:I12"/>
    <mergeCell ref="J10:J12"/>
    <mergeCell ref="I19:I21"/>
    <mergeCell ref="J19:J21"/>
    <mergeCell ref="G10:G12"/>
    <mergeCell ref="G14:G17"/>
    <mergeCell ref="H14:H17"/>
    <mergeCell ref="I14:I17"/>
    <mergeCell ref="J14:J17"/>
    <mergeCell ref="G19:G21"/>
    <mergeCell ref="H19:H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0.44"/>
    <col customWidth="1" min="3" max="3" width="12.78"/>
    <col customWidth="1" min="4" max="4" width="18.56"/>
    <col customWidth="1" min="5" max="5" width="17.44"/>
    <col customWidth="1" min="6" max="6" width="16.22"/>
    <col customWidth="1" min="7" max="7" width="12.78"/>
    <col customWidth="1" min="8" max="8" width="20.44"/>
    <col customWidth="1" min="9" max="10" width="20.56"/>
    <col customWidth="1" min="11" max="26" width="10.44"/>
  </cols>
  <sheetData>
    <row r="1" ht="15.75" customHeight="1">
      <c r="A1" s="26"/>
    </row>
    <row r="2">
      <c r="A2" s="26"/>
      <c r="B2" s="27" t="s">
        <v>17</v>
      </c>
      <c r="C2" s="29"/>
      <c r="E2" s="30"/>
    </row>
    <row r="3" ht="15.75" customHeight="1">
      <c r="A3" s="26"/>
      <c r="B3" s="27"/>
      <c r="E3" s="30"/>
    </row>
    <row r="4" ht="15.75" customHeight="1">
      <c r="A4" s="26"/>
    </row>
    <row r="5" ht="15.75" customHeight="1">
      <c r="A5" s="39"/>
      <c r="B5" s="40"/>
      <c r="C5" s="41" t="s">
        <v>10</v>
      </c>
      <c r="D5" s="41" t="s">
        <v>25</v>
      </c>
      <c r="E5" s="41" t="s">
        <v>26</v>
      </c>
      <c r="F5" s="41" t="s">
        <v>27</v>
      </c>
      <c r="G5" s="41" t="s">
        <v>29</v>
      </c>
      <c r="H5" s="42" t="s">
        <v>30</v>
      </c>
      <c r="I5" s="45" t="s">
        <v>31</v>
      </c>
      <c r="J5" s="42" t="s">
        <v>32</v>
      </c>
      <c r="K5" s="48" t="s">
        <v>33</v>
      </c>
    </row>
    <row r="6" ht="15.75" customHeight="1">
      <c r="A6" s="49"/>
      <c r="B6" s="50" t="s">
        <v>10</v>
      </c>
      <c r="C6" s="52">
        <f t="shared" ref="C6:E6" si="1">C26</f>
        <v>2021135.406</v>
      </c>
      <c r="D6" s="52">
        <f t="shared" si="1"/>
        <v>22814.53183</v>
      </c>
      <c r="E6" s="52">
        <f t="shared" si="1"/>
        <v>3.618354565</v>
      </c>
      <c r="F6" s="52">
        <f t="shared" ref="F6:F8" si="4">H26</f>
        <v>137356.3578</v>
      </c>
      <c r="G6" s="52">
        <f t="shared" ref="G6:G8" si="5">G26</f>
        <v>55.54277491</v>
      </c>
      <c r="H6" s="52">
        <f t="shared" ref="H6:J6" si="2">K26</f>
        <v>436268.1841</v>
      </c>
      <c r="I6" s="52">
        <f t="shared" si="2"/>
        <v>903.0496997</v>
      </c>
      <c r="J6" s="52">
        <f t="shared" si="2"/>
        <v>25.67553774</v>
      </c>
      <c r="K6" s="53">
        <f t="shared" ref="K6:K14" si="7">SUM(C6:J6)</f>
        <v>2618562.366</v>
      </c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</row>
    <row r="7" ht="15.75" customHeight="1">
      <c r="A7" s="56"/>
      <c r="B7" s="50" t="s">
        <v>25</v>
      </c>
      <c r="C7" s="52">
        <f t="shared" ref="C7:E7" si="3">C27</f>
        <v>789.708658</v>
      </c>
      <c r="D7" s="52">
        <f t="shared" si="3"/>
        <v>1674177.537</v>
      </c>
      <c r="E7" s="52">
        <f t="shared" si="3"/>
        <v>34522.04714</v>
      </c>
      <c r="F7" s="52">
        <f t="shared" si="4"/>
        <v>609458.609</v>
      </c>
      <c r="G7" s="52">
        <f t="shared" si="5"/>
        <v>80765.57022</v>
      </c>
      <c r="H7" s="52">
        <f t="shared" ref="H7:J7" si="6">K27</f>
        <v>908102.4299</v>
      </c>
      <c r="I7" s="52">
        <f t="shared" si="6"/>
        <v>1717.365935</v>
      </c>
      <c r="J7" s="52">
        <f t="shared" si="6"/>
        <v>21230.60938</v>
      </c>
      <c r="K7" s="53">
        <f t="shared" si="7"/>
        <v>3330763.878</v>
      </c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</row>
    <row r="8" ht="15.75" customHeight="1">
      <c r="A8" s="56"/>
      <c r="B8" s="50" t="s">
        <v>26</v>
      </c>
      <c r="C8" s="52">
        <f t="shared" ref="C8:E8" si="8">C28</f>
        <v>48.8229104</v>
      </c>
      <c r="D8" s="52">
        <f t="shared" si="8"/>
        <v>570929.9017</v>
      </c>
      <c r="E8" s="52">
        <f t="shared" si="8"/>
        <v>40866.10874</v>
      </c>
      <c r="F8" s="52">
        <f t="shared" si="4"/>
        <v>262696.2598</v>
      </c>
      <c r="G8" s="52">
        <f t="shared" si="5"/>
        <v>78352.11876</v>
      </c>
      <c r="H8" s="52">
        <f t="shared" ref="H8:J8" si="9">K28</f>
        <v>114729.5756</v>
      </c>
      <c r="I8" s="52">
        <f t="shared" si="9"/>
        <v>23.59023121</v>
      </c>
      <c r="J8" s="52">
        <f t="shared" si="9"/>
        <v>29587.95771</v>
      </c>
      <c r="K8" s="53">
        <f t="shared" si="7"/>
        <v>1097234.335</v>
      </c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</row>
    <row r="9" ht="15.75" customHeight="1">
      <c r="A9" s="60"/>
      <c r="B9" s="50" t="s">
        <v>27</v>
      </c>
      <c r="C9" s="52">
        <f t="shared" ref="C9:E9" si="10">C31</f>
        <v>12616.70437</v>
      </c>
      <c r="D9" s="52">
        <f t="shared" si="10"/>
        <v>145567.4627</v>
      </c>
      <c r="E9" s="52">
        <f t="shared" si="10"/>
        <v>4245.032765</v>
      </c>
      <c r="F9" s="52">
        <f>H31</f>
        <v>870506.771</v>
      </c>
      <c r="G9" s="52">
        <f>G31</f>
        <v>113914.6521</v>
      </c>
      <c r="H9" s="52">
        <f t="shared" ref="H9:J9" si="11">K31</f>
        <v>208354.191</v>
      </c>
      <c r="I9" s="52">
        <f t="shared" si="11"/>
        <v>776.1255855</v>
      </c>
      <c r="J9" s="52">
        <f t="shared" si="11"/>
        <v>29468.78297</v>
      </c>
      <c r="K9" s="53">
        <f t="shared" si="7"/>
        <v>1385449.722</v>
      </c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</row>
    <row r="10" ht="15.75" customHeight="1">
      <c r="A10" s="60"/>
      <c r="B10" s="50" t="s">
        <v>29</v>
      </c>
      <c r="C10" s="52">
        <f t="shared" ref="C10:E10" si="12">C30</f>
        <v>56.32445732</v>
      </c>
      <c r="D10" s="52">
        <f t="shared" si="12"/>
        <v>474151.3096</v>
      </c>
      <c r="E10" s="52">
        <f t="shared" si="12"/>
        <v>35173.47494</v>
      </c>
      <c r="F10" s="52">
        <f>H30</f>
        <v>1362778.378</v>
      </c>
      <c r="G10" s="52">
        <f>G30</f>
        <v>417319.4366</v>
      </c>
      <c r="H10" s="52">
        <f t="shared" ref="H10:J10" si="13">K30</f>
        <v>201623.9478</v>
      </c>
      <c r="I10" s="52">
        <f t="shared" si="13"/>
        <v>32.39173309</v>
      </c>
      <c r="J10" s="52">
        <f t="shared" si="13"/>
        <v>101239.4926</v>
      </c>
      <c r="K10" s="53">
        <f t="shared" si="7"/>
        <v>2592374.755</v>
      </c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</row>
    <row r="11" ht="15.75" customHeight="1">
      <c r="A11" s="60"/>
      <c r="B11" s="45" t="s">
        <v>30</v>
      </c>
      <c r="C11" s="52">
        <f t="shared" ref="C11:E11" si="14">C33</f>
        <v>1569.009539</v>
      </c>
      <c r="D11" s="52">
        <f t="shared" si="14"/>
        <v>11277.41825</v>
      </c>
      <c r="E11" s="52">
        <f t="shared" si="14"/>
        <v>38.67222374</v>
      </c>
      <c r="F11" s="52">
        <f t="shared" ref="F11:F13" si="17">H33</f>
        <v>8905.578353</v>
      </c>
      <c r="G11" s="52">
        <f t="shared" ref="G11:G13" si="18">G33</f>
        <v>359.0203133</v>
      </c>
      <c r="H11" s="52">
        <f t="shared" ref="H11:J11" si="15">K33</f>
        <v>246497.253</v>
      </c>
      <c r="I11" s="52">
        <f t="shared" si="15"/>
        <v>1104.352598</v>
      </c>
      <c r="J11" s="52">
        <f t="shared" si="15"/>
        <v>165.7823212</v>
      </c>
      <c r="K11" s="53">
        <f t="shared" si="7"/>
        <v>269917.0866</v>
      </c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</row>
    <row r="12" ht="15.75" customHeight="1">
      <c r="A12" s="60"/>
      <c r="B12" s="45" t="s">
        <v>31</v>
      </c>
      <c r="C12" s="52">
        <f t="shared" ref="C12:E12" si="16">C34</f>
        <v>0.7616645935</v>
      </c>
      <c r="D12" s="52">
        <f t="shared" si="16"/>
        <v>2.621941986</v>
      </c>
      <c r="E12" s="52">
        <f t="shared" si="16"/>
        <v>0</v>
      </c>
      <c r="F12" s="52">
        <f t="shared" si="17"/>
        <v>23.6874157</v>
      </c>
      <c r="G12" s="52">
        <f t="shared" si="18"/>
        <v>0</v>
      </c>
      <c r="H12" s="52">
        <f t="shared" ref="H12:J12" si="19">K34</f>
        <v>3.051132941</v>
      </c>
      <c r="I12" s="52">
        <f t="shared" si="19"/>
        <v>4094.735106</v>
      </c>
      <c r="J12" s="52">
        <f t="shared" si="19"/>
        <v>7.476853442</v>
      </c>
      <c r="K12" s="53">
        <f t="shared" si="7"/>
        <v>4132.334114</v>
      </c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</row>
    <row r="13" ht="15.75" customHeight="1">
      <c r="A13" s="60"/>
      <c r="B13" s="45" t="s">
        <v>32</v>
      </c>
      <c r="C13" s="52">
        <f t="shared" ref="C13:E13" si="20">C35</f>
        <v>25.7426426</v>
      </c>
      <c r="D13" s="52">
        <f t="shared" si="20"/>
        <v>408335.5998</v>
      </c>
      <c r="E13" s="52">
        <f t="shared" si="20"/>
        <v>59416.40705</v>
      </c>
      <c r="F13" s="52">
        <f t="shared" si="17"/>
        <v>1753617.449</v>
      </c>
      <c r="G13" s="52">
        <f t="shared" si="18"/>
        <v>805006.0332</v>
      </c>
      <c r="H13" s="52">
        <f t="shared" ref="H13:J13" si="21">K35</f>
        <v>76052.55746</v>
      </c>
      <c r="I13" s="52">
        <f t="shared" si="21"/>
        <v>47.22366776</v>
      </c>
      <c r="J13" s="52">
        <f t="shared" si="21"/>
        <v>688868.437</v>
      </c>
      <c r="K13" s="53">
        <f t="shared" si="7"/>
        <v>3791369.45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</row>
    <row r="14" ht="15.75" customHeight="1">
      <c r="A14" s="60"/>
      <c r="B14" s="79" t="s">
        <v>60</v>
      </c>
      <c r="C14" s="80">
        <f t="shared" ref="C14:J14" si="22">SUM(C6:C13)</f>
        <v>2036242.48</v>
      </c>
      <c r="D14" s="80">
        <f t="shared" si="22"/>
        <v>3307256.383</v>
      </c>
      <c r="E14" s="80">
        <f t="shared" si="22"/>
        <v>174265.3612</v>
      </c>
      <c r="F14" s="80">
        <f t="shared" si="22"/>
        <v>5005343.09</v>
      </c>
      <c r="G14" s="80">
        <f t="shared" si="22"/>
        <v>1495772.374</v>
      </c>
      <c r="H14" s="80">
        <f t="shared" si="22"/>
        <v>2191631.19</v>
      </c>
      <c r="I14" s="80">
        <f t="shared" si="22"/>
        <v>8698.834555</v>
      </c>
      <c r="J14" s="80">
        <f t="shared" si="22"/>
        <v>870594.2144</v>
      </c>
      <c r="K14" s="80">
        <f t="shared" si="7"/>
        <v>15089803.93</v>
      </c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</row>
    <row r="15">
      <c r="A15" s="60"/>
      <c r="B15" s="81"/>
      <c r="C15" s="82"/>
      <c r="D15" s="82"/>
      <c r="E15" s="82"/>
      <c r="F15" s="82"/>
      <c r="G15" s="82"/>
      <c r="H15" s="82"/>
      <c r="I15" s="82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</row>
    <row r="16" ht="19.5" customHeight="1">
      <c r="A16" s="60"/>
      <c r="F16" s="2" t="s">
        <v>61</v>
      </c>
      <c r="G16" s="83">
        <f>H14-K11</f>
        <v>1921714.103</v>
      </c>
      <c r="I16" s="84"/>
      <c r="K16" s="85"/>
      <c r="L16" s="86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</row>
    <row r="17">
      <c r="A17" s="26"/>
      <c r="F17" s="2" t="s">
        <v>62</v>
      </c>
      <c r="G17" s="87">
        <f>(H14-K11)/K11</f>
        <v>7.119645991</v>
      </c>
      <c r="I17" s="88" t="s">
        <v>63</v>
      </c>
      <c r="J17" s="83">
        <f>SUM(H6:H10)</f>
        <v>1869078.328</v>
      </c>
      <c r="K17" s="89">
        <f t="shared" ref="K17:K18" si="23">J17/J19</f>
        <v>0.1695403706</v>
      </c>
    </row>
    <row r="18">
      <c r="A18" s="26"/>
      <c r="I18" s="88" t="s">
        <v>64</v>
      </c>
      <c r="J18" s="83">
        <f>SUM(H6,H7,H8,H9,H10,H13)</f>
        <v>1945130.886</v>
      </c>
      <c r="K18" s="89">
        <f t="shared" si="23"/>
        <v>0.1312880073</v>
      </c>
      <c r="N18" s="90"/>
      <c r="O18" s="83"/>
      <c r="P18" s="2"/>
    </row>
    <row r="19">
      <c r="A19" s="26"/>
      <c r="I19" s="88" t="s">
        <v>65</v>
      </c>
      <c r="J19" s="83">
        <f>SUM(K6:K10)</f>
        <v>11024385.06</v>
      </c>
      <c r="K19" s="89"/>
      <c r="N19" s="90"/>
      <c r="O19" s="83"/>
      <c r="P19" s="2"/>
    </row>
    <row r="20">
      <c r="A20" s="26"/>
      <c r="I20" s="88" t="s">
        <v>106</v>
      </c>
      <c r="J20" s="83">
        <f>SUM(K6:K10,K13)</f>
        <v>14815754.51</v>
      </c>
    </row>
    <row r="21" ht="15.75" customHeight="1">
      <c r="A21" s="26"/>
    </row>
    <row r="22" ht="15.75" customHeight="1">
      <c r="A22" s="26"/>
      <c r="B22" s="2"/>
    </row>
    <row r="23" ht="15.75" customHeight="1">
      <c r="A23" s="26"/>
      <c r="B23" s="124"/>
      <c r="C23" s="124" t="s">
        <v>14</v>
      </c>
      <c r="D23" s="124"/>
      <c r="E23" s="124"/>
      <c r="F23" s="125" t="s">
        <v>107</v>
      </c>
      <c r="G23" s="124" t="s">
        <v>24</v>
      </c>
      <c r="H23" s="124"/>
      <c r="I23" s="124"/>
      <c r="J23" s="125" t="s">
        <v>108</v>
      </c>
      <c r="K23" s="124" t="s">
        <v>42</v>
      </c>
      <c r="L23" s="124" t="s">
        <v>48</v>
      </c>
      <c r="M23" s="124" t="s">
        <v>55</v>
      </c>
      <c r="N23" s="124" t="s">
        <v>109</v>
      </c>
      <c r="O23" s="124" t="s">
        <v>59</v>
      </c>
    </row>
    <row r="24" ht="15.75" customHeight="1">
      <c r="A24" s="26"/>
      <c r="B24" s="124" t="s">
        <v>110</v>
      </c>
      <c r="C24" s="124" t="s">
        <v>15</v>
      </c>
      <c r="D24" s="124" t="s">
        <v>18</v>
      </c>
      <c r="E24" s="124" t="s">
        <v>19</v>
      </c>
      <c r="F24" s="125"/>
      <c r="G24" s="124" t="s">
        <v>28</v>
      </c>
      <c r="H24" s="124" t="s">
        <v>36</v>
      </c>
      <c r="I24" s="124" t="s">
        <v>39</v>
      </c>
      <c r="J24" s="125"/>
      <c r="K24" s="124"/>
      <c r="L24" s="124"/>
      <c r="M24" s="124"/>
      <c r="N24" s="124"/>
      <c r="O24" s="124"/>
    </row>
    <row r="25" ht="15.75" customHeight="1">
      <c r="A25" s="26"/>
      <c r="B25" s="126" t="s">
        <v>14</v>
      </c>
      <c r="C25" s="127">
        <v>2021973.9376035277</v>
      </c>
      <c r="D25" s="127">
        <v>2267921.970920127</v>
      </c>
      <c r="E25" s="127">
        <v>75391.77423362463</v>
      </c>
      <c r="F25" s="127">
        <v>4365287.682757279</v>
      </c>
      <c r="G25" s="128">
        <v>159173.23176016824</v>
      </c>
      <c r="H25" s="127">
        <v>1009511.2265971731</v>
      </c>
      <c r="I25" s="127"/>
      <c r="J25" s="127">
        <v>1168684.4583573414</v>
      </c>
      <c r="K25" s="96">
        <v>1459100.1895150933</v>
      </c>
      <c r="L25" s="96">
        <v>2644.005865478508</v>
      </c>
      <c r="M25" s="96">
        <v>50844.24262668443</v>
      </c>
      <c r="N25" s="96">
        <v>12.295823992919921</v>
      </c>
      <c r="O25" s="130">
        <v>7046572.874945871</v>
      </c>
    </row>
    <row r="26" ht="15.75" customHeight="1">
      <c r="A26" s="26"/>
      <c r="B26" s="131" t="s">
        <v>15</v>
      </c>
      <c r="C26" s="132">
        <v>2021135.40603515</v>
      </c>
      <c r="D26" s="132">
        <v>22814.53183105469</v>
      </c>
      <c r="E26" s="132">
        <v>3.6183545654296885</v>
      </c>
      <c r="F26" s="128">
        <v>2043953.55622077</v>
      </c>
      <c r="G26" s="132">
        <v>55.54277490844726</v>
      </c>
      <c r="H26" s="132">
        <v>137356.35780095204</v>
      </c>
      <c r="I26" s="132"/>
      <c r="J26" s="128">
        <v>137411.9005758605</v>
      </c>
      <c r="K26" s="2">
        <v>436268.18406479544</v>
      </c>
      <c r="L26" s="2">
        <v>903.049699670404</v>
      </c>
      <c r="M26" s="2">
        <v>25.67553774414063</v>
      </c>
      <c r="N26" s="2">
        <v>10.06372758178711</v>
      </c>
      <c r="O26" s="133">
        <v>2618572.4298264226</v>
      </c>
    </row>
    <row r="27" ht="15.75" customHeight="1">
      <c r="A27" s="26"/>
      <c r="B27" s="131" t="s">
        <v>18</v>
      </c>
      <c r="C27" s="132">
        <v>789.7086579772949</v>
      </c>
      <c r="D27" s="132">
        <v>1674177.537405158</v>
      </c>
      <c r="E27" s="132">
        <v>34522.047141962044</v>
      </c>
      <c r="F27" s="128">
        <v>1709489.2932050973</v>
      </c>
      <c r="G27" s="132">
        <v>80765.57022329705</v>
      </c>
      <c r="H27" s="132">
        <v>609458.608977135</v>
      </c>
      <c r="I27" s="132"/>
      <c r="J27" s="128">
        <v>690224.179200432</v>
      </c>
      <c r="K27" s="2">
        <v>908102.4298860827</v>
      </c>
      <c r="L27" s="2">
        <v>1717.3659346008287</v>
      </c>
      <c r="M27" s="2">
        <v>21230.60938309934</v>
      </c>
      <c r="N27" s="2">
        <v>2.2320964111328125</v>
      </c>
      <c r="O27" s="133">
        <v>3330766.109705724</v>
      </c>
    </row>
    <row r="28" ht="15.75" customHeight="1">
      <c r="A28" s="26"/>
      <c r="B28" s="71" t="s">
        <v>19</v>
      </c>
      <c r="C28" s="135">
        <v>48.82291040039062</v>
      </c>
      <c r="D28" s="135">
        <v>570929.9016839145</v>
      </c>
      <c r="E28" s="135">
        <v>40866.10873709716</v>
      </c>
      <c r="F28" s="127">
        <v>611844.8333314119</v>
      </c>
      <c r="G28" s="132">
        <v>78352.11876196275</v>
      </c>
      <c r="H28" s="135">
        <v>262696.259819086</v>
      </c>
      <c r="I28" s="135"/>
      <c r="J28" s="127">
        <v>341048.37858104875</v>
      </c>
      <c r="K28" s="2">
        <v>114729.57556421528</v>
      </c>
      <c r="L28" s="2">
        <v>23.590231207275387</v>
      </c>
      <c r="M28" s="2">
        <v>29587.95770584094</v>
      </c>
      <c r="N28" s="2"/>
      <c r="O28" s="133">
        <v>1097234.335413724</v>
      </c>
    </row>
    <row r="29" ht="15.75" customHeight="1">
      <c r="A29" s="26"/>
      <c r="B29" s="137" t="s">
        <v>24</v>
      </c>
      <c r="C29" s="138">
        <v>12673.028831500196</v>
      </c>
      <c r="D29" s="138">
        <v>619718.772325163</v>
      </c>
      <c r="E29" s="138">
        <v>39418.50770113525</v>
      </c>
      <c r="F29" s="138">
        <v>671810.3088577983</v>
      </c>
      <c r="G29" s="128">
        <v>531234.0887268797</v>
      </c>
      <c r="H29" s="138">
        <v>2233285.1486725193</v>
      </c>
      <c r="I29" s="138">
        <v>3207.8219028502904</v>
      </c>
      <c r="J29" s="138">
        <v>2767727.059302249</v>
      </c>
      <c r="K29" s="96">
        <v>409978.1387357663</v>
      </c>
      <c r="L29" s="96">
        <v>808.6875428894035</v>
      </c>
      <c r="M29" s="96">
        <v>130708.27559226731</v>
      </c>
      <c r="N29" s="96">
        <v>2.4047315734863277</v>
      </c>
      <c r="O29" s="130">
        <v>3981034.8747625444</v>
      </c>
    </row>
    <row r="30" ht="15.75" customHeight="1">
      <c r="A30" s="26"/>
      <c r="B30" s="123" t="s">
        <v>28</v>
      </c>
      <c r="C30" s="139">
        <v>56.324457318115236</v>
      </c>
      <c r="D30" s="139">
        <v>474151.3096487217</v>
      </c>
      <c r="E30" s="139">
        <v>35173.47493617553</v>
      </c>
      <c r="F30" s="138">
        <v>509381.10904221534</v>
      </c>
      <c r="G30" s="132">
        <v>417319.43663027347</v>
      </c>
      <c r="H30" s="139">
        <v>1362778.3776474453</v>
      </c>
      <c r="I30" s="139"/>
      <c r="J30" s="138">
        <v>1780097.8142777188</v>
      </c>
      <c r="K30" s="2">
        <v>201623.94776324442</v>
      </c>
      <c r="L30" s="2">
        <v>32.39173308715821</v>
      </c>
      <c r="M30" s="2">
        <v>101239.49262418257</v>
      </c>
      <c r="N30" s="2">
        <v>1.1185703430175777</v>
      </c>
      <c r="O30" s="133">
        <v>2592375.8740107915</v>
      </c>
    </row>
    <row r="31" ht="15.75" customHeight="1">
      <c r="A31" s="26"/>
      <c r="B31" s="71" t="s">
        <v>36</v>
      </c>
      <c r="C31" s="135">
        <v>12616.704374182082</v>
      </c>
      <c r="D31" s="135">
        <v>145567.46267644127</v>
      </c>
      <c r="E31" s="135">
        <v>4245.032764959715</v>
      </c>
      <c r="F31" s="127">
        <v>162429.19981558304</v>
      </c>
      <c r="G31" s="132">
        <v>113914.65209660621</v>
      </c>
      <c r="H31" s="135">
        <v>870506.7710250737</v>
      </c>
      <c r="I31" s="135">
        <v>0.0</v>
      </c>
      <c r="J31" s="127">
        <v>984421.4231216799</v>
      </c>
      <c r="K31" s="2">
        <v>208354.19097252184</v>
      </c>
      <c r="L31" s="2">
        <v>776.1255854675286</v>
      </c>
      <c r="M31" s="2">
        <v>29468.782968084735</v>
      </c>
      <c r="N31" s="2">
        <v>1.2861612304687502</v>
      </c>
      <c r="O31" s="133">
        <v>1385451.0086245677</v>
      </c>
    </row>
    <row r="32" ht="15.75" customHeight="1">
      <c r="A32" s="26"/>
      <c r="B32" s="71" t="s">
        <v>39</v>
      </c>
      <c r="C32" s="135"/>
      <c r="D32" s="135"/>
      <c r="E32" s="135"/>
      <c r="F32" s="127"/>
      <c r="G32" s="132"/>
      <c r="H32" s="135"/>
      <c r="I32" s="135">
        <v>3207.8219028502904</v>
      </c>
      <c r="J32" s="127">
        <v>3207.8219028502904</v>
      </c>
      <c r="K32" s="2">
        <v>0.0</v>
      </c>
      <c r="L32" s="2">
        <v>0.1702243347167969</v>
      </c>
      <c r="M32" s="2">
        <v>0.0</v>
      </c>
      <c r="N32" s="2"/>
      <c r="O32" s="133">
        <v>3207.992127185007</v>
      </c>
    </row>
    <row r="33" ht="15.75" customHeight="1">
      <c r="A33" s="26"/>
      <c r="B33" s="71" t="s">
        <v>42</v>
      </c>
      <c r="C33" s="2">
        <v>1569.0095387390143</v>
      </c>
      <c r="D33" s="2">
        <v>11277.41824755244</v>
      </c>
      <c r="E33" s="2">
        <v>38.67222373657225</v>
      </c>
      <c r="F33" s="96">
        <v>12885.100010028025</v>
      </c>
      <c r="G33" s="132">
        <v>359.0203132873533</v>
      </c>
      <c r="H33" s="2">
        <v>8905.578352691642</v>
      </c>
      <c r="I33" s="2">
        <v>0.0</v>
      </c>
      <c r="J33" s="96">
        <v>9264.598665978996</v>
      </c>
      <c r="K33" s="2">
        <v>246497.2529583744</v>
      </c>
      <c r="L33" s="2">
        <v>1104.3525977478007</v>
      </c>
      <c r="M33" s="2">
        <v>165.78232118530264</v>
      </c>
      <c r="N33" s="2">
        <v>7.313326135253907</v>
      </c>
      <c r="O33" s="133">
        <v>269924.39987945</v>
      </c>
    </row>
    <row r="34" ht="15.75" customHeight="1">
      <c r="A34" s="26"/>
      <c r="B34" s="71" t="s">
        <v>48</v>
      </c>
      <c r="C34" s="2">
        <v>0.7616645935058592</v>
      </c>
      <c r="D34" s="2">
        <v>2.621941986083984</v>
      </c>
      <c r="E34" s="2">
        <v>0.0</v>
      </c>
      <c r="F34" s="96">
        <v>3.383606579589843</v>
      </c>
      <c r="G34" s="132">
        <v>0.0</v>
      </c>
      <c r="H34" s="2">
        <v>23.687415704345696</v>
      </c>
      <c r="I34" s="2"/>
      <c r="J34" s="96">
        <v>23.687415704345696</v>
      </c>
      <c r="K34" s="2">
        <v>3.0511329406738295</v>
      </c>
      <c r="L34" s="2">
        <v>4094.735105651913</v>
      </c>
      <c r="M34" s="2">
        <v>7.476853442382816</v>
      </c>
      <c r="N34" s="2">
        <v>0.0</v>
      </c>
      <c r="O34" s="133">
        <v>4132.334114318905</v>
      </c>
    </row>
    <row r="35" ht="15.75" customHeight="1">
      <c r="A35" s="26"/>
      <c r="B35" s="71" t="s">
        <v>55</v>
      </c>
      <c r="C35" s="2">
        <v>25.74264259643554</v>
      </c>
      <c r="D35" s="2">
        <v>408335.5997643563</v>
      </c>
      <c r="E35" s="2">
        <v>59416.40704729005</v>
      </c>
      <c r="F35" s="96">
        <v>467777.74945424276</v>
      </c>
      <c r="G35" s="132">
        <v>805006.0332004197</v>
      </c>
      <c r="H35" s="2">
        <v>1753617.4489967388</v>
      </c>
      <c r="I35" s="2">
        <v>0.0</v>
      </c>
      <c r="J35" s="96">
        <v>2558623.4821971585</v>
      </c>
      <c r="K35" s="2">
        <v>76052.55745615216</v>
      </c>
      <c r="L35" s="2">
        <v>47.22366776123046</v>
      </c>
      <c r="M35" s="2">
        <v>688868.4370191947</v>
      </c>
      <c r="N35" s="2">
        <v>11.509031396484374</v>
      </c>
      <c r="O35" s="133">
        <v>3791380.958825906</v>
      </c>
    </row>
    <row r="36" ht="15.75" customHeight="1">
      <c r="A36" s="26"/>
      <c r="B36" s="71" t="s">
        <v>109</v>
      </c>
      <c r="C36" s="2">
        <v>13.93595748291016</v>
      </c>
      <c r="D36" s="2">
        <v>26.70278093261719</v>
      </c>
      <c r="E36" s="2">
        <v>0.0</v>
      </c>
      <c r="F36" s="96">
        <v>40.63873841552735</v>
      </c>
      <c r="G36" s="132">
        <v>5.6750112182617185</v>
      </c>
      <c r="H36" s="2">
        <v>32.389653594970696</v>
      </c>
      <c r="I36" s="2"/>
      <c r="J36" s="96">
        <v>38.06466481323241</v>
      </c>
      <c r="K36" s="2">
        <v>529.5555150085451</v>
      </c>
      <c r="L36" s="2">
        <v>0.1718579528808594</v>
      </c>
      <c r="M36" s="2">
        <v>5.421444464111329</v>
      </c>
      <c r="N36" s="2">
        <v>300.7119173339844</v>
      </c>
      <c r="O36" s="133">
        <v>914.5641379882813</v>
      </c>
    </row>
    <row r="37" ht="15.75" customHeight="1">
      <c r="A37" s="26"/>
      <c r="B37" s="124" t="s">
        <v>59</v>
      </c>
      <c r="C37" s="133">
        <v>2036256.4162384397</v>
      </c>
      <c r="D37" s="133">
        <v>3307283.0859801173</v>
      </c>
      <c r="E37" s="133">
        <v>174265.36120578652</v>
      </c>
      <c r="F37" s="133">
        <v>5517804.863424343</v>
      </c>
      <c r="G37" s="133">
        <v>1495778.0490119734</v>
      </c>
      <c r="H37" s="133">
        <v>5005375.479688422</v>
      </c>
      <c r="I37" s="133">
        <v>3207.8219028502904</v>
      </c>
      <c r="J37" s="133">
        <v>6504361.350603246</v>
      </c>
      <c r="K37" s="133">
        <v>2192160.745313335</v>
      </c>
      <c r="L37" s="133">
        <v>8699.176637481736</v>
      </c>
      <c r="M37" s="133">
        <v>870599.6358572383</v>
      </c>
      <c r="N37" s="133">
        <v>334.2348304321289</v>
      </c>
      <c r="O37" s="133">
        <v>1.509396000666608E7</v>
      </c>
    </row>
    <row r="38" ht="15.75" customHeight="1">
      <c r="A38" s="26"/>
    </row>
    <row r="39" ht="15.75" customHeight="1">
      <c r="A39" s="26"/>
    </row>
    <row r="40" ht="15.75" customHeight="1">
      <c r="A40" s="26"/>
    </row>
    <row r="41" ht="15.75" customHeight="1">
      <c r="A41" s="26"/>
    </row>
    <row r="42" ht="15.75" customHeight="1">
      <c r="A42" s="26"/>
    </row>
    <row r="43" ht="15.75" customHeight="1">
      <c r="A43" s="26"/>
    </row>
    <row r="44" ht="15.75" customHeight="1">
      <c r="A44" s="26"/>
    </row>
    <row r="45" ht="15.75" customHeight="1">
      <c r="A45" s="26"/>
    </row>
    <row r="46" ht="15.75" customHeight="1">
      <c r="A46" s="26"/>
    </row>
    <row r="47" ht="15.75" customHeight="1">
      <c r="A47" s="26"/>
    </row>
    <row r="48" ht="15.75" customHeight="1">
      <c r="A48" s="26"/>
    </row>
    <row r="49" ht="15.75" customHeight="1">
      <c r="A49" s="26"/>
    </row>
    <row r="50" ht="15.75" customHeight="1">
      <c r="A50" s="26"/>
    </row>
    <row r="51" ht="15.75" customHeight="1">
      <c r="A51" s="26"/>
    </row>
    <row r="52" ht="15.75" customHeight="1">
      <c r="A52" s="26"/>
    </row>
    <row r="53" ht="15.75" customHeight="1">
      <c r="A53" s="26"/>
    </row>
    <row r="54" ht="15.75" customHeight="1">
      <c r="A54" s="26"/>
    </row>
    <row r="55" ht="15.75" customHeight="1">
      <c r="A55" s="26"/>
    </row>
    <row r="56" ht="15.75" customHeight="1">
      <c r="A56" s="26"/>
    </row>
    <row r="57" ht="15.75" customHeight="1">
      <c r="A57" s="26"/>
    </row>
    <row r="58" ht="15.75" customHeight="1">
      <c r="A58" s="26"/>
    </row>
    <row r="59" ht="15.75" customHeight="1">
      <c r="A59" s="26"/>
    </row>
    <row r="60" ht="15.75" customHeight="1">
      <c r="A60" s="26"/>
    </row>
    <row r="61" ht="15.75" customHeight="1">
      <c r="A61" s="26"/>
    </row>
    <row r="62" ht="15.75" customHeight="1">
      <c r="A62" s="26"/>
    </row>
    <row r="63" ht="15.75" customHeight="1">
      <c r="A63" s="26"/>
    </row>
    <row r="64" ht="15.75" customHeight="1">
      <c r="A64" s="26"/>
    </row>
    <row r="65" ht="15.75" customHeight="1">
      <c r="A65" s="26"/>
    </row>
    <row r="66" ht="15.75" customHeight="1">
      <c r="A66" s="26"/>
    </row>
    <row r="67" ht="15.75" customHeight="1">
      <c r="A67" s="26"/>
    </row>
    <row r="68" ht="15.75" customHeight="1">
      <c r="A68" s="26"/>
    </row>
    <row r="69" ht="15.75" customHeight="1">
      <c r="A69" s="26"/>
    </row>
    <row r="70" ht="15.75" customHeight="1">
      <c r="A70" s="26"/>
    </row>
    <row r="71" ht="15.75" customHeight="1">
      <c r="A71" s="26"/>
    </row>
    <row r="72" ht="15.75" customHeight="1">
      <c r="A72" s="26"/>
    </row>
    <row r="73" ht="15.75" customHeight="1">
      <c r="A73" s="26"/>
    </row>
    <row r="74" ht="15.75" customHeight="1">
      <c r="A74" s="26"/>
    </row>
    <row r="75" ht="15.75" customHeight="1">
      <c r="A75" s="26"/>
    </row>
    <row r="76" ht="15.75" customHeight="1">
      <c r="A76" s="26"/>
    </row>
    <row r="77" ht="15.75" customHeight="1">
      <c r="A77" s="26"/>
    </row>
    <row r="78" ht="15.75" customHeight="1">
      <c r="A78" s="26"/>
    </row>
    <row r="79" ht="15.75" customHeight="1">
      <c r="A79" s="26"/>
    </row>
    <row r="80" ht="15.75" customHeight="1">
      <c r="A80" s="26"/>
    </row>
    <row r="81" ht="15.75" customHeight="1">
      <c r="A81" s="26"/>
    </row>
    <row r="82" ht="15.75" customHeight="1">
      <c r="A82" s="26"/>
    </row>
    <row r="83" ht="15.75" customHeight="1">
      <c r="A83" s="26"/>
    </row>
    <row r="84" ht="15.75" customHeight="1">
      <c r="A84" s="26"/>
    </row>
    <row r="85" ht="15.75" customHeight="1">
      <c r="A85" s="26"/>
    </row>
    <row r="86" ht="15.75" customHeight="1">
      <c r="A86" s="26"/>
    </row>
    <row r="87" ht="15.75" customHeight="1">
      <c r="A87" s="26"/>
    </row>
    <row r="88" ht="15.75" customHeight="1">
      <c r="A88" s="26"/>
    </row>
    <row r="89" ht="15.75" customHeight="1">
      <c r="A89" s="26"/>
    </row>
    <row r="90" ht="15.75" customHeight="1">
      <c r="A90" s="26"/>
    </row>
    <row r="91" ht="15.75" customHeight="1">
      <c r="A91" s="26"/>
    </row>
    <row r="92" ht="15.75" customHeight="1">
      <c r="A92" s="26"/>
    </row>
    <row r="93" ht="15.75" customHeight="1">
      <c r="A93" s="26"/>
    </row>
    <row r="94" ht="15.75" customHeight="1">
      <c r="A94" s="26"/>
    </row>
    <row r="95" ht="15.75" customHeight="1">
      <c r="A95" s="26"/>
    </row>
    <row r="96" ht="15.75" customHeight="1">
      <c r="A96" s="26"/>
    </row>
    <row r="97" ht="15.75" customHeight="1">
      <c r="A97" s="26"/>
    </row>
    <row r="98" ht="15.75" customHeight="1">
      <c r="A98" s="26"/>
    </row>
    <row r="99" ht="15.75" customHeight="1">
      <c r="A99" s="26"/>
    </row>
    <row r="100" ht="15.75" customHeight="1">
      <c r="A100" s="26"/>
    </row>
    <row r="101" ht="15.75" customHeight="1">
      <c r="A101" s="26"/>
    </row>
    <row r="102" ht="15.75" customHeight="1">
      <c r="A102" s="26"/>
    </row>
    <row r="103" ht="15.75" customHeight="1">
      <c r="A103" s="26"/>
    </row>
    <row r="104" ht="15.75" customHeight="1">
      <c r="A104" s="26"/>
    </row>
    <row r="105" ht="15.75" customHeight="1">
      <c r="A105" s="26"/>
    </row>
    <row r="106" ht="15.75" customHeight="1">
      <c r="A106" s="26"/>
    </row>
    <row r="107" ht="15.75" customHeight="1">
      <c r="A107" s="26"/>
    </row>
    <row r="108" ht="15.75" customHeight="1">
      <c r="A108" s="26"/>
    </row>
    <row r="109" ht="15.75" customHeight="1">
      <c r="A109" s="26"/>
    </row>
    <row r="110" ht="15.75" customHeight="1">
      <c r="A110" s="26"/>
    </row>
    <row r="111" ht="15.75" customHeight="1">
      <c r="A111" s="26"/>
    </row>
    <row r="112" ht="15.75" customHeight="1">
      <c r="A112" s="26"/>
    </row>
    <row r="113" ht="15.75" customHeight="1">
      <c r="A113" s="26"/>
    </row>
    <row r="114" ht="15.75" customHeight="1">
      <c r="A114" s="26"/>
    </row>
    <row r="115" ht="15.75" customHeight="1">
      <c r="A115" s="26"/>
    </row>
    <row r="116" ht="15.75" customHeight="1">
      <c r="A116" s="26"/>
    </row>
    <row r="117" ht="15.75" customHeight="1">
      <c r="A117" s="26"/>
    </row>
    <row r="118" ht="15.75" customHeight="1">
      <c r="A118" s="26"/>
    </row>
    <row r="119" ht="15.75" customHeight="1">
      <c r="A119" s="26"/>
    </row>
    <row r="120" ht="15.75" customHeight="1">
      <c r="A120" s="26"/>
    </row>
    <row r="121" ht="15.75" customHeight="1">
      <c r="A121" s="26"/>
    </row>
    <row r="122" ht="15.75" customHeight="1">
      <c r="A122" s="26"/>
    </row>
    <row r="123" ht="15.75" customHeight="1">
      <c r="A123" s="26"/>
    </row>
    <row r="124" ht="15.75" customHeight="1">
      <c r="A124" s="26"/>
    </row>
    <row r="125" ht="15.75" customHeight="1">
      <c r="A125" s="26"/>
    </row>
    <row r="126" ht="15.75" customHeight="1">
      <c r="A126" s="26"/>
    </row>
    <row r="127" ht="15.75" customHeight="1">
      <c r="A127" s="26"/>
    </row>
    <row r="128" ht="15.75" customHeight="1">
      <c r="A128" s="26"/>
    </row>
    <row r="129" ht="15.75" customHeight="1">
      <c r="A129" s="26"/>
    </row>
    <row r="130" ht="15.75" customHeight="1">
      <c r="A130" s="26"/>
    </row>
    <row r="131" ht="15.75" customHeight="1">
      <c r="A131" s="26"/>
    </row>
    <row r="132" ht="15.75" customHeight="1">
      <c r="A132" s="26"/>
    </row>
    <row r="133" ht="15.75" customHeight="1">
      <c r="A133" s="26"/>
    </row>
    <row r="134" ht="15.75" customHeight="1">
      <c r="A134" s="26"/>
    </row>
    <row r="135" ht="15.75" customHeight="1">
      <c r="A135" s="26"/>
    </row>
    <row r="136" ht="15.75" customHeight="1">
      <c r="A136" s="26"/>
    </row>
    <row r="137" ht="15.75" customHeight="1">
      <c r="A137" s="26"/>
    </row>
    <row r="138" ht="15.75" customHeight="1">
      <c r="A138" s="26"/>
    </row>
    <row r="139" ht="15.75" customHeight="1">
      <c r="A139" s="26"/>
    </row>
    <row r="140" ht="15.75" customHeight="1">
      <c r="A140" s="26"/>
    </row>
    <row r="141" ht="15.75" customHeight="1">
      <c r="A141" s="26"/>
    </row>
    <row r="142" ht="15.75" customHeight="1">
      <c r="A142" s="26"/>
    </row>
    <row r="143" ht="15.75" customHeight="1">
      <c r="A143" s="26"/>
    </row>
    <row r="144" ht="15.75" customHeight="1">
      <c r="A144" s="26"/>
    </row>
    <row r="145" ht="15.75" customHeight="1">
      <c r="A145" s="26"/>
    </row>
    <row r="146" ht="15.75" customHeight="1">
      <c r="A146" s="26"/>
    </row>
    <row r="147" ht="15.75" customHeight="1">
      <c r="A147" s="26"/>
    </row>
    <row r="148" ht="15.75" customHeight="1">
      <c r="A148" s="26"/>
    </row>
    <row r="149" ht="15.75" customHeight="1">
      <c r="A149" s="26"/>
    </row>
    <row r="150" ht="15.75" customHeight="1">
      <c r="A150" s="26"/>
    </row>
    <row r="151" ht="15.75" customHeight="1">
      <c r="A151" s="26"/>
    </row>
    <row r="152" ht="15.75" customHeight="1">
      <c r="A152" s="26"/>
    </row>
    <row r="153" ht="15.75" customHeight="1">
      <c r="A153" s="26"/>
    </row>
    <row r="154" ht="15.75" customHeight="1">
      <c r="A154" s="26"/>
    </row>
    <row r="155" ht="15.75" customHeight="1">
      <c r="A155" s="26"/>
    </row>
    <row r="156" ht="15.75" customHeight="1">
      <c r="A156" s="26"/>
    </row>
    <row r="157" ht="15.75" customHeight="1">
      <c r="A157" s="26"/>
    </row>
    <row r="158" ht="15.75" customHeight="1">
      <c r="A158" s="26"/>
    </row>
    <row r="159" ht="15.75" customHeight="1">
      <c r="A159" s="26"/>
    </row>
    <row r="160" ht="15.75" customHeight="1">
      <c r="A160" s="26"/>
    </row>
    <row r="161" ht="15.75" customHeight="1">
      <c r="A161" s="26"/>
    </row>
    <row r="162" ht="15.75" customHeight="1">
      <c r="A162" s="26"/>
    </row>
    <row r="163" ht="15.75" customHeight="1">
      <c r="A163" s="26"/>
    </row>
    <row r="164" ht="15.75" customHeight="1">
      <c r="A164" s="26"/>
    </row>
    <row r="165" ht="15.75" customHeight="1">
      <c r="A165" s="26"/>
    </row>
    <row r="166" ht="15.75" customHeight="1">
      <c r="A166" s="26"/>
    </row>
    <row r="167" ht="15.75" customHeight="1">
      <c r="A167" s="26"/>
    </row>
    <row r="168" ht="15.75" customHeight="1">
      <c r="A168" s="26"/>
    </row>
    <row r="169" ht="15.75" customHeight="1">
      <c r="A169" s="26"/>
    </row>
    <row r="170" ht="15.75" customHeight="1">
      <c r="A170" s="26"/>
    </row>
    <row r="171" ht="15.75" customHeight="1">
      <c r="A171" s="26"/>
    </row>
    <row r="172" ht="15.75" customHeight="1">
      <c r="A172" s="26"/>
    </row>
    <row r="173" ht="15.75" customHeight="1">
      <c r="A173" s="26"/>
    </row>
    <row r="174" ht="15.75" customHeight="1">
      <c r="A174" s="26"/>
    </row>
    <row r="175" ht="15.75" customHeight="1">
      <c r="A175" s="26"/>
    </row>
    <row r="176" ht="15.75" customHeight="1">
      <c r="A176" s="26"/>
    </row>
    <row r="177" ht="15.75" customHeight="1">
      <c r="A177" s="26"/>
    </row>
    <row r="178" ht="15.75" customHeight="1">
      <c r="A178" s="26"/>
    </row>
    <row r="179" ht="15.75" customHeight="1">
      <c r="A179" s="26"/>
    </row>
    <row r="180" ht="15.75" customHeight="1">
      <c r="A180" s="26"/>
    </row>
    <row r="181" ht="15.75" customHeight="1">
      <c r="A181" s="26"/>
    </row>
    <row r="182" ht="15.75" customHeight="1">
      <c r="A182" s="26"/>
    </row>
    <row r="183" ht="15.75" customHeight="1">
      <c r="A183" s="26"/>
    </row>
    <row r="184" ht="15.75" customHeight="1">
      <c r="A184" s="26"/>
    </row>
    <row r="185" ht="15.75" customHeight="1">
      <c r="A185" s="26"/>
    </row>
    <row r="186" ht="15.75" customHeight="1">
      <c r="A186" s="26"/>
    </row>
    <row r="187" ht="15.75" customHeight="1">
      <c r="A187" s="26"/>
    </row>
    <row r="188" ht="15.75" customHeight="1">
      <c r="A188" s="26"/>
    </row>
    <row r="189" ht="15.75" customHeight="1">
      <c r="A189" s="26"/>
    </row>
    <row r="190" ht="15.75" customHeight="1">
      <c r="A190" s="26"/>
    </row>
    <row r="191" ht="15.75" customHeight="1">
      <c r="A191" s="26"/>
    </row>
    <row r="192" ht="15.75" customHeight="1">
      <c r="A192" s="26"/>
    </row>
    <row r="193" ht="15.75" customHeight="1">
      <c r="A193" s="26"/>
    </row>
    <row r="194" ht="15.75" customHeight="1">
      <c r="A194" s="26"/>
    </row>
    <row r="195" ht="15.75" customHeight="1">
      <c r="A195" s="26"/>
    </row>
    <row r="196" ht="15.75" customHeight="1">
      <c r="A196" s="26"/>
    </row>
    <row r="197" ht="15.75" customHeight="1">
      <c r="A197" s="26"/>
    </row>
    <row r="198" ht="15.75" customHeight="1">
      <c r="A198" s="26"/>
    </row>
    <row r="199" ht="15.75" customHeight="1">
      <c r="A199" s="26"/>
    </row>
    <row r="200" ht="15.75" customHeight="1">
      <c r="A200" s="26"/>
    </row>
    <row r="201" ht="15.75" customHeight="1">
      <c r="A201" s="26"/>
    </row>
    <row r="202" ht="15.75" customHeight="1">
      <c r="A202" s="26"/>
    </row>
    <row r="203" ht="15.75" customHeight="1">
      <c r="A203" s="26"/>
    </row>
    <row r="204" ht="15.75" customHeight="1">
      <c r="A204" s="26"/>
    </row>
    <row r="205" ht="15.75" customHeight="1">
      <c r="A205" s="26"/>
    </row>
    <row r="206" ht="15.75" customHeight="1">
      <c r="A206" s="26"/>
    </row>
    <row r="207" ht="15.75" customHeight="1">
      <c r="A207" s="26"/>
    </row>
    <row r="208" ht="15.75" customHeight="1">
      <c r="A208" s="26"/>
    </row>
    <row r="209" ht="15.75" customHeight="1">
      <c r="A209" s="26"/>
    </row>
    <row r="210" ht="15.75" customHeight="1">
      <c r="A210" s="26"/>
    </row>
    <row r="211" ht="15.75" customHeight="1">
      <c r="A211" s="26"/>
    </row>
    <row r="212" ht="15.75" customHeight="1">
      <c r="A212" s="26"/>
    </row>
    <row r="213" ht="15.75" customHeight="1">
      <c r="A213" s="26"/>
    </row>
    <row r="214" ht="15.75" customHeight="1">
      <c r="A214" s="26"/>
    </row>
    <row r="215" ht="15.75" customHeight="1">
      <c r="A215" s="26"/>
    </row>
    <row r="216" ht="15.75" customHeight="1">
      <c r="A216" s="26"/>
    </row>
    <row r="217" ht="15.75" customHeight="1">
      <c r="A217" s="26"/>
    </row>
    <row r="218" ht="15.75" customHeight="1">
      <c r="A218" s="26"/>
    </row>
    <row r="219" ht="15.75" customHeight="1">
      <c r="A219" s="26"/>
    </row>
    <row r="220" ht="15.75" customHeight="1">
      <c r="A220" s="26"/>
    </row>
    <row r="221" ht="15.75" customHeight="1">
      <c r="A221" s="26"/>
    </row>
    <row r="222" ht="15.75" customHeight="1">
      <c r="A222" s="26"/>
    </row>
    <row r="223" ht="15.75" customHeight="1">
      <c r="A223" s="26"/>
    </row>
    <row r="224" ht="15.75" customHeight="1">
      <c r="A224" s="26"/>
    </row>
    <row r="225" ht="15.75" customHeight="1">
      <c r="A225" s="26"/>
    </row>
    <row r="226" ht="15.75" customHeight="1">
      <c r="A226" s="26"/>
    </row>
    <row r="227" ht="15.75" customHeight="1">
      <c r="A227" s="26"/>
    </row>
    <row r="228" ht="15.75" customHeight="1">
      <c r="A228" s="26"/>
    </row>
    <row r="229" ht="15.75" customHeight="1">
      <c r="A229" s="26"/>
    </row>
    <row r="230" ht="15.75" customHeight="1">
      <c r="A230" s="26"/>
    </row>
    <row r="231" ht="15.75" customHeight="1">
      <c r="A231" s="26"/>
    </row>
    <row r="232" ht="15.75" customHeight="1">
      <c r="A232" s="26"/>
    </row>
    <row r="233" ht="15.75" customHeight="1">
      <c r="A233" s="26"/>
    </row>
    <row r="234" ht="15.75" customHeight="1">
      <c r="A234" s="26"/>
    </row>
    <row r="235" ht="15.75" customHeight="1">
      <c r="A235" s="26"/>
    </row>
    <row r="236" ht="15.75" customHeight="1">
      <c r="A236" s="26"/>
    </row>
    <row r="237" ht="15.75" customHeight="1">
      <c r="A237" s="26"/>
    </row>
    <row r="238" ht="15.75" customHeight="1">
      <c r="A238" s="26"/>
    </row>
    <row r="239" ht="15.75" customHeight="1">
      <c r="A239" s="26"/>
    </row>
    <row r="240" ht="15.75" customHeight="1">
      <c r="A240" s="26"/>
    </row>
    <row r="241" ht="15.75" customHeight="1">
      <c r="A241" s="26"/>
    </row>
    <row r="242" ht="15.75" customHeight="1">
      <c r="A242" s="26"/>
    </row>
    <row r="243" ht="15.75" customHeight="1">
      <c r="A243" s="26"/>
    </row>
    <row r="244" ht="15.75" customHeight="1">
      <c r="A244" s="26"/>
    </row>
    <row r="245" ht="15.75" customHeight="1">
      <c r="A245" s="26"/>
    </row>
    <row r="246" ht="15.75" customHeight="1">
      <c r="A246" s="26"/>
    </row>
    <row r="247" ht="15.75" customHeight="1">
      <c r="A247" s="26"/>
    </row>
    <row r="248" ht="15.75" customHeight="1">
      <c r="A248" s="26"/>
    </row>
    <row r="249" ht="15.75" customHeight="1">
      <c r="A249" s="26"/>
    </row>
    <row r="250" ht="15.75" customHeight="1">
      <c r="A250" s="26"/>
    </row>
    <row r="251" ht="15.75" customHeight="1">
      <c r="A251" s="26"/>
    </row>
    <row r="252" ht="15.75" customHeight="1">
      <c r="A252" s="26"/>
    </row>
    <row r="253" ht="15.75" customHeight="1">
      <c r="A253" s="26"/>
    </row>
    <row r="254" ht="15.75" customHeight="1">
      <c r="A254" s="26"/>
    </row>
    <row r="255" ht="15.75" customHeight="1">
      <c r="A255" s="26"/>
    </row>
    <row r="256" ht="15.75" customHeight="1">
      <c r="A256" s="26"/>
    </row>
    <row r="257" ht="15.75" customHeight="1">
      <c r="A257" s="26"/>
    </row>
    <row r="258" ht="15.75" customHeight="1">
      <c r="A258" s="26"/>
    </row>
    <row r="259" ht="15.75" customHeight="1">
      <c r="A259" s="26"/>
    </row>
    <row r="260" ht="15.75" customHeight="1">
      <c r="A260" s="26"/>
    </row>
    <row r="261" ht="15.75" customHeight="1">
      <c r="A261" s="26"/>
    </row>
    <row r="262" ht="15.75" customHeight="1">
      <c r="A262" s="26"/>
    </row>
    <row r="263" ht="15.75" customHeight="1">
      <c r="A263" s="26"/>
    </row>
    <row r="264" ht="15.75" customHeight="1">
      <c r="A264" s="26"/>
    </row>
    <row r="265" ht="15.75" customHeight="1">
      <c r="A265" s="26"/>
    </row>
    <row r="266" ht="15.75" customHeight="1">
      <c r="A266" s="26"/>
    </row>
    <row r="267" ht="15.75" customHeight="1">
      <c r="A267" s="26"/>
    </row>
    <row r="268" ht="15.75" customHeight="1">
      <c r="A268" s="26"/>
    </row>
    <row r="269" ht="15.75" customHeight="1">
      <c r="A269" s="26"/>
    </row>
    <row r="270" ht="15.75" customHeight="1">
      <c r="A270" s="26"/>
    </row>
    <row r="271" ht="15.75" customHeight="1">
      <c r="A271" s="26"/>
    </row>
    <row r="272" ht="15.75" customHeight="1">
      <c r="A272" s="26"/>
    </row>
    <row r="273" ht="15.75" customHeight="1">
      <c r="A273" s="26"/>
    </row>
    <row r="274" ht="15.75" customHeight="1">
      <c r="A274" s="26"/>
    </row>
    <row r="275" ht="15.75" customHeight="1">
      <c r="A275" s="26"/>
    </row>
    <row r="276" ht="15.75" customHeight="1">
      <c r="A276" s="26"/>
    </row>
    <row r="277" ht="15.75" customHeight="1">
      <c r="A277" s="26"/>
    </row>
    <row r="278" ht="15.75" customHeight="1">
      <c r="A278" s="26"/>
    </row>
    <row r="279" ht="15.75" customHeight="1">
      <c r="A279" s="26"/>
    </row>
    <row r="280" ht="15.75" customHeight="1">
      <c r="A280" s="26"/>
    </row>
    <row r="281" ht="15.75" customHeight="1">
      <c r="A281" s="26"/>
    </row>
    <row r="282" ht="15.75" customHeight="1">
      <c r="A282" s="26"/>
    </row>
    <row r="283" ht="15.75" customHeight="1">
      <c r="A283" s="26"/>
    </row>
    <row r="284" ht="15.75" customHeight="1">
      <c r="A284" s="26"/>
    </row>
    <row r="285" ht="15.75" customHeight="1">
      <c r="A285" s="26"/>
    </row>
    <row r="286" ht="15.75" customHeight="1">
      <c r="A286" s="26"/>
    </row>
    <row r="287" ht="15.75" customHeight="1">
      <c r="A287" s="26"/>
    </row>
    <row r="288" ht="15.75" customHeight="1">
      <c r="A288" s="26"/>
    </row>
    <row r="289" ht="15.75" customHeight="1">
      <c r="A289" s="26"/>
    </row>
    <row r="290" ht="15.75" customHeight="1">
      <c r="A290" s="26"/>
    </row>
    <row r="291" ht="15.75" customHeight="1">
      <c r="A291" s="26"/>
    </row>
    <row r="292" ht="15.75" customHeight="1">
      <c r="A292" s="26"/>
    </row>
    <row r="293" ht="15.75" customHeight="1">
      <c r="A293" s="26"/>
    </row>
    <row r="294" ht="15.75" customHeight="1">
      <c r="A294" s="26"/>
    </row>
    <row r="295" ht="15.75" customHeight="1">
      <c r="A295" s="26"/>
    </row>
    <row r="296" ht="15.75" customHeight="1">
      <c r="A296" s="26"/>
    </row>
    <row r="297" ht="15.75" customHeight="1">
      <c r="A297" s="26"/>
    </row>
    <row r="298" ht="15.75" customHeight="1">
      <c r="A298" s="26"/>
    </row>
    <row r="299" ht="15.75" customHeight="1">
      <c r="A299" s="26"/>
    </row>
    <row r="300" ht="15.75" customHeight="1">
      <c r="A300" s="26"/>
    </row>
    <row r="301" ht="15.75" customHeight="1">
      <c r="A301" s="26"/>
    </row>
    <row r="302" ht="15.75" customHeight="1">
      <c r="A302" s="26"/>
    </row>
    <row r="303" ht="15.75" customHeight="1">
      <c r="A303" s="26"/>
    </row>
    <row r="304" ht="15.75" customHeight="1">
      <c r="A304" s="26"/>
    </row>
    <row r="305" ht="15.75" customHeight="1">
      <c r="A305" s="26"/>
    </row>
    <row r="306" ht="15.75" customHeight="1">
      <c r="A306" s="26"/>
    </row>
    <row r="307" ht="15.75" customHeight="1">
      <c r="A307" s="26"/>
    </row>
    <row r="308" ht="15.75" customHeight="1">
      <c r="A308" s="26"/>
    </row>
    <row r="309" ht="15.75" customHeight="1">
      <c r="A309" s="26"/>
    </row>
    <row r="310" ht="15.75" customHeight="1">
      <c r="A310" s="26"/>
    </row>
    <row r="311" ht="15.75" customHeight="1">
      <c r="A311" s="26"/>
    </row>
    <row r="312" ht="15.75" customHeight="1">
      <c r="A312" s="26"/>
    </row>
    <row r="313" ht="15.75" customHeight="1">
      <c r="A313" s="26"/>
    </row>
    <row r="314" ht="15.75" customHeight="1">
      <c r="A314" s="26"/>
    </row>
    <row r="315" ht="15.75" customHeight="1">
      <c r="A315" s="26"/>
    </row>
    <row r="316" ht="15.75" customHeight="1">
      <c r="A316" s="26"/>
    </row>
    <row r="317" ht="15.75" customHeight="1">
      <c r="A317" s="26"/>
    </row>
    <row r="318" ht="15.75" customHeight="1">
      <c r="A318" s="26"/>
    </row>
    <row r="319" ht="15.75" customHeight="1">
      <c r="A319" s="26"/>
    </row>
    <row r="320" ht="15.75" customHeight="1">
      <c r="A320" s="26"/>
    </row>
    <row r="321" ht="15.75" customHeight="1">
      <c r="A321" s="26"/>
    </row>
    <row r="322" ht="15.75" customHeight="1">
      <c r="A322" s="26"/>
    </row>
    <row r="323" ht="15.75" customHeight="1">
      <c r="A323" s="26"/>
    </row>
    <row r="324" ht="15.75" customHeight="1">
      <c r="A324" s="26"/>
    </row>
    <row r="325" ht="15.75" customHeight="1">
      <c r="A325" s="26"/>
    </row>
    <row r="326" ht="15.75" customHeight="1">
      <c r="A326" s="26"/>
    </row>
    <row r="327" ht="15.75" customHeight="1">
      <c r="A327" s="26"/>
    </row>
    <row r="328" ht="15.75" customHeight="1">
      <c r="A328" s="26"/>
    </row>
    <row r="329" ht="15.75" customHeight="1">
      <c r="A329" s="26"/>
    </row>
    <row r="330" ht="15.75" customHeight="1">
      <c r="A330" s="26"/>
    </row>
    <row r="331" ht="15.75" customHeight="1">
      <c r="A331" s="26"/>
    </row>
    <row r="332" ht="15.75" customHeight="1">
      <c r="A332" s="26"/>
    </row>
    <row r="333" ht="15.75" customHeight="1">
      <c r="A333" s="26"/>
    </row>
    <row r="334" ht="15.75" customHeight="1">
      <c r="A334" s="26"/>
    </row>
    <row r="335" ht="15.75" customHeight="1">
      <c r="A335" s="26"/>
    </row>
    <row r="336" ht="15.75" customHeight="1">
      <c r="A336" s="26"/>
    </row>
    <row r="337" ht="15.75" customHeight="1">
      <c r="A337" s="26"/>
    </row>
    <row r="338" ht="15.75" customHeight="1">
      <c r="A338" s="26"/>
    </row>
    <row r="339" ht="15.75" customHeight="1">
      <c r="A339" s="26"/>
    </row>
    <row r="340" ht="15.75" customHeight="1">
      <c r="A340" s="26"/>
    </row>
    <row r="341" ht="15.75" customHeight="1">
      <c r="A341" s="26"/>
    </row>
    <row r="342" ht="15.75" customHeight="1">
      <c r="A342" s="26"/>
    </row>
    <row r="343" ht="15.75" customHeight="1">
      <c r="A343" s="26"/>
    </row>
    <row r="344" ht="15.75" customHeight="1">
      <c r="A344" s="26"/>
    </row>
    <row r="345" ht="15.75" customHeight="1">
      <c r="A345" s="26"/>
    </row>
    <row r="346" ht="15.75" customHeight="1">
      <c r="A346" s="26"/>
    </row>
    <row r="347" ht="15.75" customHeight="1">
      <c r="A347" s="26"/>
    </row>
    <row r="348" ht="15.75" customHeight="1">
      <c r="A348" s="26"/>
    </row>
    <row r="349" ht="15.75" customHeight="1">
      <c r="A349" s="26"/>
    </row>
    <row r="350" ht="15.75" customHeight="1">
      <c r="A350" s="26"/>
    </row>
    <row r="351" ht="15.75" customHeight="1">
      <c r="A351" s="26"/>
    </row>
    <row r="352" ht="15.75" customHeight="1">
      <c r="A352" s="26"/>
    </row>
    <row r="353" ht="15.75" customHeight="1">
      <c r="A353" s="26"/>
    </row>
    <row r="354" ht="15.75" customHeight="1">
      <c r="A354" s="26"/>
    </row>
    <row r="355" ht="15.75" customHeight="1">
      <c r="A355" s="26"/>
    </row>
    <row r="356" ht="15.75" customHeight="1">
      <c r="A356" s="26"/>
    </row>
    <row r="357" ht="15.75" customHeight="1">
      <c r="A357" s="26"/>
    </row>
    <row r="358" ht="15.75" customHeight="1">
      <c r="A358" s="26"/>
    </row>
    <row r="359" ht="15.75" customHeight="1">
      <c r="A359" s="26"/>
    </row>
    <row r="360" ht="15.75" customHeight="1">
      <c r="A360" s="26"/>
    </row>
    <row r="361" ht="15.75" customHeight="1">
      <c r="A361" s="26"/>
    </row>
    <row r="362" ht="15.75" customHeight="1">
      <c r="A362" s="26"/>
    </row>
    <row r="363" ht="15.75" customHeight="1">
      <c r="A363" s="26"/>
    </row>
    <row r="364" ht="15.75" customHeight="1">
      <c r="A364" s="26"/>
    </row>
    <row r="365" ht="15.75" customHeight="1">
      <c r="A365" s="26"/>
    </row>
    <row r="366" ht="15.75" customHeight="1">
      <c r="A366" s="26"/>
    </row>
    <row r="367" ht="15.75" customHeight="1">
      <c r="A367" s="26"/>
    </row>
    <row r="368" ht="15.75" customHeight="1">
      <c r="A368" s="26"/>
    </row>
    <row r="369" ht="15.75" customHeight="1">
      <c r="A369" s="26"/>
    </row>
    <row r="370" ht="15.75" customHeight="1">
      <c r="A370" s="26"/>
    </row>
    <row r="371" ht="15.75" customHeight="1">
      <c r="A371" s="26"/>
    </row>
    <row r="372" ht="15.75" customHeight="1">
      <c r="A372" s="26"/>
    </row>
    <row r="373" ht="15.75" customHeight="1">
      <c r="A373" s="26"/>
    </row>
    <row r="374" ht="15.75" customHeight="1">
      <c r="A374" s="26"/>
    </row>
    <row r="375" ht="15.75" customHeight="1">
      <c r="A375" s="26"/>
    </row>
    <row r="376" ht="15.75" customHeight="1">
      <c r="A376" s="26"/>
    </row>
    <row r="377" ht="15.75" customHeight="1">
      <c r="A377" s="26"/>
    </row>
    <row r="378" ht="15.75" customHeight="1">
      <c r="A378" s="26"/>
    </row>
    <row r="379" ht="15.75" customHeight="1">
      <c r="A379" s="26"/>
    </row>
    <row r="380" ht="15.75" customHeight="1">
      <c r="A380" s="26"/>
    </row>
    <row r="381" ht="15.75" customHeight="1">
      <c r="A381" s="26"/>
    </row>
    <row r="382" ht="15.75" customHeight="1">
      <c r="A382" s="26"/>
    </row>
    <row r="383" ht="15.75" customHeight="1">
      <c r="A383" s="26"/>
    </row>
    <row r="384" ht="15.75" customHeight="1">
      <c r="A384" s="26"/>
    </row>
    <row r="385" ht="15.75" customHeight="1">
      <c r="A385" s="26"/>
    </row>
    <row r="386" ht="15.75" customHeight="1">
      <c r="A386" s="26"/>
    </row>
    <row r="387" ht="15.75" customHeight="1">
      <c r="A387" s="26"/>
    </row>
    <row r="388" ht="15.75" customHeight="1">
      <c r="A388" s="26"/>
    </row>
    <row r="389" ht="15.75" customHeight="1">
      <c r="A389" s="26"/>
    </row>
    <row r="390" ht="15.75" customHeight="1">
      <c r="A390" s="26"/>
    </row>
    <row r="391" ht="15.75" customHeight="1">
      <c r="A391" s="26"/>
    </row>
    <row r="392" ht="15.75" customHeight="1">
      <c r="A392" s="26"/>
    </row>
    <row r="393" ht="15.75" customHeight="1">
      <c r="A393" s="26"/>
    </row>
    <row r="394" ht="15.75" customHeight="1">
      <c r="A394" s="26"/>
    </row>
    <row r="395" ht="15.75" customHeight="1">
      <c r="A395" s="26"/>
    </row>
    <row r="396" ht="15.75" customHeight="1">
      <c r="A396" s="26"/>
    </row>
    <row r="397" ht="15.75" customHeight="1">
      <c r="A397" s="26"/>
    </row>
    <row r="398" ht="15.75" customHeight="1">
      <c r="A398" s="26"/>
    </row>
    <row r="399" ht="15.75" customHeight="1">
      <c r="A399" s="26"/>
    </row>
    <row r="400" ht="15.75" customHeight="1">
      <c r="A400" s="26"/>
    </row>
    <row r="401" ht="15.75" customHeight="1">
      <c r="A401" s="26"/>
    </row>
    <row r="402" ht="15.75" customHeight="1">
      <c r="A402" s="26"/>
    </row>
    <row r="403" ht="15.75" customHeight="1">
      <c r="A403" s="26"/>
    </row>
    <row r="404" ht="15.75" customHeight="1">
      <c r="A404" s="26"/>
    </row>
    <row r="405" ht="15.75" customHeight="1">
      <c r="A405" s="26"/>
    </row>
    <row r="406" ht="15.75" customHeight="1">
      <c r="A406" s="26"/>
    </row>
    <row r="407" ht="15.75" customHeight="1">
      <c r="A407" s="26"/>
    </row>
    <row r="408" ht="15.75" customHeight="1">
      <c r="A408" s="26"/>
    </row>
    <row r="409" ht="15.75" customHeight="1">
      <c r="A409" s="26"/>
    </row>
    <row r="410" ht="15.75" customHeight="1">
      <c r="A410" s="26"/>
    </row>
    <row r="411" ht="15.75" customHeight="1">
      <c r="A411" s="26"/>
    </row>
    <row r="412" ht="15.75" customHeight="1">
      <c r="A412" s="26"/>
    </row>
    <row r="413" ht="15.75" customHeight="1">
      <c r="A413" s="26"/>
    </row>
    <row r="414" ht="15.75" customHeight="1">
      <c r="A414" s="26"/>
    </row>
    <row r="415" ht="15.75" customHeight="1">
      <c r="A415" s="26"/>
    </row>
    <row r="416" ht="15.75" customHeight="1">
      <c r="A416" s="26"/>
    </row>
    <row r="417" ht="15.75" customHeight="1">
      <c r="A417" s="26"/>
    </row>
    <row r="418" ht="15.75" customHeight="1">
      <c r="A418" s="26"/>
    </row>
    <row r="419" ht="15.75" customHeight="1">
      <c r="A419" s="26"/>
    </row>
    <row r="420" ht="15.75" customHeight="1">
      <c r="A420" s="26"/>
    </row>
    <row r="421" ht="15.75" customHeight="1">
      <c r="A421" s="26"/>
    </row>
    <row r="422" ht="15.75" customHeight="1">
      <c r="A422" s="26"/>
    </row>
    <row r="423" ht="15.75" customHeight="1">
      <c r="A423" s="26"/>
    </row>
    <row r="424" ht="15.75" customHeight="1">
      <c r="A424" s="26"/>
    </row>
    <row r="425" ht="15.75" customHeight="1">
      <c r="A425" s="26"/>
    </row>
    <row r="426" ht="15.75" customHeight="1">
      <c r="A426" s="26"/>
    </row>
    <row r="427" ht="15.75" customHeight="1">
      <c r="A427" s="26"/>
    </row>
    <row r="428" ht="15.75" customHeight="1">
      <c r="A428" s="26"/>
    </row>
    <row r="429" ht="15.75" customHeight="1">
      <c r="A429" s="26"/>
    </row>
    <row r="430" ht="15.75" customHeight="1">
      <c r="A430" s="26"/>
    </row>
    <row r="431" ht="15.75" customHeight="1">
      <c r="A431" s="26"/>
    </row>
    <row r="432" ht="15.75" customHeight="1">
      <c r="A432" s="26"/>
    </row>
    <row r="433" ht="15.75" customHeight="1">
      <c r="A433" s="26"/>
    </row>
    <row r="434" ht="15.75" customHeight="1">
      <c r="A434" s="26"/>
    </row>
    <row r="435" ht="15.75" customHeight="1">
      <c r="A435" s="26"/>
    </row>
    <row r="436" ht="15.75" customHeight="1">
      <c r="A436" s="26"/>
    </row>
    <row r="437" ht="15.75" customHeight="1">
      <c r="A437" s="26"/>
    </row>
    <row r="438" ht="15.75" customHeight="1">
      <c r="A438" s="26"/>
    </row>
    <row r="439" ht="15.75" customHeight="1">
      <c r="A439" s="26"/>
    </row>
    <row r="440" ht="15.75" customHeight="1">
      <c r="A440" s="26"/>
    </row>
    <row r="441" ht="15.75" customHeight="1">
      <c r="A441" s="26"/>
    </row>
    <row r="442" ht="15.75" customHeight="1">
      <c r="A442" s="26"/>
    </row>
    <row r="443" ht="15.75" customHeight="1">
      <c r="A443" s="26"/>
    </row>
    <row r="444" ht="15.75" customHeight="1">
      <c r="A444" s="26"/>
    </row>
    <row r="445" ht="15.75" customHeight="1">
      <c r="A445" s="26"/>
    </row>
    <row r="446" ht="15.75" customHeight="1">
      <c r="A446" s="26"/>
    </row>
    <row r="447" ht="15.75" customHeight="1">
      <c r="A447" s="26"/>
    </row>
    <row r="448" ht="15.75" customHeight="1">
      <c r="A448" s="26"/>
    </row>
    <row r="449" ht="15.75" customHeight="1">
      <c r="A449" s="26"/>
    </row>
    <row r="450" ht="15.75" customHeight="1">
      <c r="A450" s="26"/>
    </row>
    <row r="451" ht="15.75" customHeight="1">
      <c r="A451" s="26"/>
    </row>
    <row r="452" ht="15.75" customHeight="1">
      <c r="A452" s="26"/>
    </row>
    <row r="453" ht="15.75" customHeight="1">
      <c r="A453" s="26"/>
    </row>
    <row r="454" ht="15.75" customHeight="1">
      <c r="A454" s="26"/>
    </row>
    <row r="455" ht="15.75" customHeight="1">
      <c r="A455" s="26"/>
    </row>
    <row r="456" ht="15.75" customHeight="1">
      <c r="A456" s="26"/>
    </row>
    <row r="457" ht="15.75" customHeight="1">
      <c r="A457" s="26"/>
    </row>
    <row r="458" ht="15.75" customHeight="1">
      <c r="A458" s="26"/>
    </row>
    <row r="459" ht="15.75" customHeight="1">
      <c r="A459" s="26"/>
    </row>
    <row r="460" ht="15.75" customHeight="1">
      <c r="A460" s="26"/>
    </row>
    <row r="461" ht="15.75" customHeight="1">
      <c r="A461" s="26"/>
    </row>
    <row r="462" ht="15.75" customHeight="1">
      <c r="A462" s="26"/>
    </row>
    <row r="463" ht="15.75" customHeight="1">
      <c r="A463" s="26"/>
    </row>
    <row r="464" ht="15.75" customHeight="1">
      <c r="A464" s="26"/>
    </row>
    <row r="465" ht="15.75" customHeight="1">
      <c r="A465" s="26"/>
    </row>
    <row r="466" ht="15.75" customHeight="1">
      <c r="A466" s="26"/>
    </row>
    <row r="467" ht="15.75" customHeight="1">
      <c r="A467" s="26"/>
    </row>
    <row r="468" ht="15.75" customHeight="1">
      <c r="A468" s="26"/>
    </row>
    <row r="469" ht="15.75" customHeight="1">
      <c r="A469" s="26"/>
    </row>
    <row r="470" ht="15.75" customHeight="1">
      <c r="A470" s="26"/>
    </row>
    <row r="471" ht="15.75" customHeight="1">
      <c r="A471" s="26"/>
    </row>
    <row r="472" ht="15.75" customHeight="1">
      <c r="A472" s="26"/>
    </row>
    <row r="473" ht="15.75" customHeight="1">
      <c r="A473" s="26"/>
    </row>
    <row r="474" ht="15.75" customHeight="1">
      <c r="A474" s="26"/>
    </row>
    <row r="475" ht="15.75" customHeight="1">
      <c r="A475" s="26"/>
    </row>
    <row r="476" ht="15.75" customHeight="1">
      <c r="A476" s="26"/>
    </row>
    <row r="477" ht="15.75" customHeight="1">
      <c r="A477" s="26"/>
    </row>
    <row r="478" ht="15.75" customHeight="1">
      <c r="A478" s="26"/>
    </row>
    <row r="479" ht="15.75" customHeight="1">
      <c r="A479" s="26"/>
    </row>
    <row r="480" ht="15.75" customHeight="1">
      <c r="A480" s="26"/>
    </row>
    <row r="481" ht="15.75" customHeight="1">
      <c r="A481" s="26"/>
    </row>
    <row r="482" ht="15.75" customHeight="1">
      <c r="A482" s="26"/>
    </row>
    <row r="483" ht="15.75" customHeight="1">
      <c r="A483" s="26"/>
    </row>
    <row r="484" ht="15.75" customHeight="1">
      <c r="A484" s="26"/>
    </row>
    <row r="485" ht="15.75" customHeight="1">
      <c r="A485" s="26"/>
    </row>
    <row r="486" ht="15.75" customHeight="1">
      <c r="A486" s="26"/>
    </row>
    <row r="487" ht="15.75" customHeight="1">
      <c r="A487" s="26"/>
    </row>
    <row r="488" ht="15.75" customHeight="1">
      <c r="A488" s="26"/>
    </row>
    <row r="489" ht="15.75" customHeight="1">
      <c r="A489" s="26"/>
    </row>
    <row r="490" ht="15.75" customHeight="1">
      <c r="A490" s="26"/>
    </row>
    <row r="491" ht="15.75" customHeight="1">
      <c r="A491" s="26"/>
    </row>
    <row r="492" ht="15.75" customHeight="1">
      <c r="A492" s="26"/>
    </row>
    <row r="493" ht="15.75" customHeight="1">
      <c r="A493" s="26"/>
    </row>
    <row r="494" ht="15.75" customHeight="1">
      <c r="A494" s="26"/>
    </row>
    <row r="495" ht="15.75" customHeight="1">
      <c r="A495" s="26"/>
    </row>
    <row r="496" ht="15.75" customHeight="1">
      <c r="A496" s="26"/>
    </row>
    <row r="497" ht="15.75" customHeight="1">
      <c r="A497" s="26"/>
    </row>
    <row r="498" ht="15.75" customHeight="1">
      <c r="A498" s="26"/>
    </row>
    <row r="499" ht="15.75" customHeight="1">
      <c r="A499" s="26"/>
    </row>
    <row r="500" ht="15.75" customHeight="1">
      <c r="A500" s="26"/>
    </row>
    <row r="501" ht="15.75" customHeight="1">
      <c r="A501" s="26"/>
    </row>
    <row r="502" ht="15.75" customHeight="1">
      <c r="A502" s="26"/>
    </row>
    <row r="503" ht="15.75" customHeight="1">
      <c r="A503" s="26"/>
    </row>
    <row r="504" ht="15.75" customHeight="1">
      <c r="A504" s="26"/>
    </row>
    <row r="505" ht="15.75" customHeight="1">
      <c r="A505" s="26"/>
    </row>
    <row r="506" ht="15.75" customHeight="1">
      <c r="A506" s="26"/>
    </row>
    <row r="507" ht="15.75" customHeight="1">
      <c r="A507" s="26"/>
    </row>
    <row r="508" ht="15.75" customHeight="1">
      <c r="A508" s="26"/>
    </row>
    <row r="509" ht="15.75" customHeight="1">
      <c r="A509" s="26"/>
    </row>
    <row r="510" ht="15.75" customHeight="1">
      <c r="A510" s="26"/>
    </row>
    <row r="511" ht="15.75" customHeight="1">
      <c r="A511" s="26"/>
    </row>
    <row r="512" ht="15.75" customHeight="1">
      <c r="A512" s="26"/>
    </row>
    <row r="513" ht="15.75" customHeight="1">
      <c r="A513" s="26"/>
    </row>
    <row r="514" ht="15.75" customHeight="1">
      <c r="A514" s="26"/>
    </row>
    <row r="515" ht="15.75" customHeight="1">
      <c r="A515" s="26"/>
    </row>
    <row r="516" ht="15.75" customHeight="1">
      <c r="A516" s="26"/>
    </row>
    <row r="517" ht="15.75" customHeight="1">
      <c r="A517" s="26"/>
    </row>
    <row r="518" ht="15.75" customHeight="1">
      <c r="A518" s="26"/>
    </row>
    <row r="519" ht="15.75" customHeight="1">
      <c r="A519" s="26"/>
    </row>
    <row r="520" ht="15.75" customHeight="1">
      <c r="A520" s="26"/>
    </row>
    <row r="521" ht="15.75" customHeight="1">
      <c r="A521" s="26"/>
    </row>
    <row r="522" ht="15.75" customHeight="1">
      <c r="A522" s="26"/>
    </row>
    <row r="523" ht="15.75" customHeight="1">
      <c r="A523" s="26"/>
    </row>
    <row r="524" ht="15.75" customHeight="1">
      <c r="A524" s="26"/>
    </row>
    <row r="525" ht="15.75" customHeight="1">
      <c r="A525" s="26"/>
    </row>
    <row r="526" ht="15.75" customHeight="1">
      <c r="A526" s="26"/>
    </row>
    <row r="527" ht="15.75" customHeight="1">
      <c r="A527" s="26"/>
    </row>
    <row r="528" ht="15.75" customHeight="1">
      <c r="A528" s="26"/>
    </row>
    <row r="529" ht="15.75" customHeight="1">
      <c r="A529" s="26"/>
    </row>
    <row r="530" ht="15.75" customHeight="1">
      <c r="A530" s="26"/>
    </row>
    <row r="531" ht="15.75" customHeight="1">
      <c r="A531" s="26"/>
    </row>
    <row r="532" ht="15.75" customHeight="1">
      <c r="A532" s="26"/>
    </row>
    <row r="533" ht="15.75" customHeight="1">
      <c r="A533" s="26"/>
    </row>
    <row r="534" ht="15.75" customHeight="1">
      <c r="A534" s="26"/>
    </row>
    <row r="535" ht="15.75" customHeight="1">
      <c r="A535" s="26"/>
    </row>
    <row r="536" ht="15.75" customHeight="1">
      <c r="A536" s="26"/>
    </row>
    <row r="537" ht="15.75" customHeight="1">
      <c r="A537" s="26"/>
    </row>
    <row r="538" ht="15.75" customHeight="1">
      <c r="A538" s="26"/>
    </row>
    <row r="539" ht="15.75" customHeight="1">
      <c r="A539" s="26"/>
    </row>
    <row r="540" ht="15.75" customHeight="1">
      <c r="A540" s="26"/>
    </row>
    <row r="541" ht="15.75" customHeight="1">
      <c r="A541" s="26"/>
    </row>
    <row r="542" ht="15.75" customHeight="1">
      <c r="A542" s="26"/>
    </row>
    <row r="543" ht="15.75" customHeight="1">
      <c r="A543" s="26"/>
    </row>
    <row r="544" ht="15.75" customHeight="1">
      <c r="A544" s="26"/>
    </row>
    <row r="545" ht="15.75" customHeight="1">
      <c r="A545" s="26"/>
    </row>
    <row r="546" ht="15.75" customHeight="1">
      <c r="A546" s="26"/>
    </row>
    <row r="547" ht="15.75" customHeight="1">
      <c r="A547" s="26"/>
    </row>
    <row r="548" ht="15.75" customHeight="1">
      <c r="A548" s="26"/>
    </row>
    <row r="549" ht="15.75" customHeight="1">
      <c r="A549" s="26"/>
    </row>
    <row r="550" ht="15.75" customHeight="1">
      <c r="A550" s="26"/>
    </row>
    <row r="551" ht="15.75" customHeight="1">
      <c r="A551" s="26"/>
    </row>
    <row r="552" ht="15.75" customHeight="1">
      <c r="A552" s="26"/>
    </row>
    <row r="553" ht="15.75" customHeight="1">
      <c r="A553" s="26"/>
    </row>
    <row r="554" ht="15.75" customHeight="1">
      <c r="A554" s="26"/>
    </row>
    <row r="555" ht="15.75" customHeight="1">
      <c r="A555" s="26"/>
    </row>
    <row r="556" ht="15.75" customHeight="1">
      <c r="A556" s="26"/>
    </row>
    <row r="557" ht="15.75" customHeight="1">
      <c r="A557" s="26"/>
    </row>
    <row r="558" ht="15.75" customHeight="1">
      <c r="A558" s="26"/>
    </row>
    <row r="559" ht="15.75" customHeight="1">
      <c r="A559" s="26"/>
    </row>
    <row r="560" ht="15.75" customHeight="1">
      <c r="A560" s="26"/>
    </row>
    <row r="561" ht="15.75" customHeight="1">
      <c r="A561" s="26"/>
    </row>
    <row r="562" ht="15.75" customHeight="1">
      <c r="A562" s="26"/>
    </row>
    <row r="563" ht="15.75" customHeight="1">
      <c r="A563" s="26"/>
    </row>
    <row r="564" ht="15.75" customHeight="1">
      <c r="A564" s="26"/>
    </row>
    <row r="565" ht="15.75" customHeight="1">
      <c r="A565" s="26"/>
    </row>
    <row r="566" ht="15.75" customHeight="1">
      <c r="A566" s="26"/>
    </row>
    <row r="567" ht="15.75" customHeight="1">
      <c r="A567" s="26"/>
    </row>
    <row r="568" ht="15.75" customHeight="1">
      <c r="A568" s="26"/>
    </row>
    <row r="569" ht="15.75" customHeight="1">
      <c r="A569" s="26"/>
    </row>
    <row r="570" ht="15.75" customHeight="1">
      <c r="A570" s="26"/>
    </row>
    <row r="571" ht="15.75" customHeight="1">
      <c r="A571" s="26"/>
    </row>
    <row r="572" ht="15.75" customHeight="1">
      <c r="A572" s="26"/>
    </row>
    <row r="573" ht="15.75" customHeight="1">
      <c r="A573" s="26"/>
    </row>
    <row r="574" ht="15.75" customHeight="1">
      <c r="A574" s="26"/>
    </row>
    <row r="575" ht="15.75" customHeight="1">
      <c r="A575" s="26"/>
    </row>
    <row r="576" ht="15.75" customHeight="1">
      <c r="A576" s="26"/>
    </row>
    <row r="577" ht="15.75" customHeight="1">
      <c r="A577" s="26"/>
    </row>
    <row r="578" ht="15.75" customHeight="1">
      <c r="A578" s="26"/>
    </row>
    <row r="579" ht="15.75" customHeight="1">
      <c r="A579" s="26"/>
    </row>
    <row r="580" ht="15.75" customHeight="1">
      <c r="A580" s="26"/>
    </row>
    <row r="581" ht="15.75" customHeight="1">
      <c r="A581" s="26"/>
    </row>
    <row r="582" ht="15.75" customHeight="1">
      <c r="A582" s="26"/>
    </row>
    <row r="583" ht="15.75" customHeight="1">
      <c r="A583" s="26"/>
    </row>
    <row r="584" ht="15.75" customHeight="1">
      <c r="A584" s="26"/>
    </row>
    <row r="585" ht="15.75" customHeight="1">
      <c r="A585" s="26"/>
    </row>
    <row r="586" ht="15.75" customHeight="1">
      <c r="A586" s="26"/>
    </row>
    <row r="587" ht="15.75" customHeight="1">
      <c r="A587" s="26"/>
    </row>
    <row r="588" ht="15.75" customHeight="1">
      <c r="A588" s="26"/>
    </row>
    <row r="589" ht="15.75" customHeight="1">
      <c r="A589" s="26"/>
    </row>
    <row r="590" ht="15.75" customHeight="1">
      <c r="A590" s="26"/>
    </row>
    <row r="591" ht="15.75" customHeight="1">
      <c r="A591" s="26"/>
    </row>
    <row r="592" ht="15.75" customHeight="1">
      <c r="A592" s="26"/>
    </row>
    <row r="593" ht="15.75" customHeight="1">
      <c r="A593" s="26"/>
    </row>
    <row r="594" ht="15.75" customHeight="1">
      <c r="A594" s="26"/>
    </row>
    <row r="595" ht="15.75" customHeight="1">
      <c r="A595" s="26"/>
    </row>
    <row r="596" ht="15.75" customHeight="1">
      <c r="A596" s="26"/>
    </row>
    <row r="597" ht="15.75" customHeight="1">
      <c r="A597" s="26"/>
    </row>
    <row r="598" ht="15.75" customHeight="1">
      <c r="A598" s="26"/>
    </row>
    <row r="599" ht="15.75" customHeight="1">
      <c r="A599" s="26"/>
    </row>
    <row r="600" ht="15.75" customHeight="1">
      <c r="A600" s="26"/>
    </row>
    <row r="601" ht="15.75" customHeight="1">
      <c r="A601" s="26"/>
    </row>
    <row r="602" ht="15.75" customHeight="1">
      <c r="A602" s="26"/>
    </row>
    <row r="603" ht="15.75" customHeight="1">
      <c r="A603" s="26"/>
    </row>
    <row r="604" ht="15.75" customHeight="1">
      <c r="A604" s="26"/>
    </row>
    <row r="605" ht="15.75" customHeight="1">
      <c r="A605" s="26"/>
    </row>
    <row r="606" ht="15.75" customHeight="1">
      <c r="A606" s="26"/>
    </row>
    <row r="607" ht="15.75" customHeight="1">
      <c r="A607" s="26"/>
    </row>
    <row r="608" ht="15.75" customHeight="1">
      <c r="A608" s="26"/>
    </row>
    <row r="609" ht="15.75" customHeight="1">
      <c r="A609" s="26"/>
    </row>
    <row r="610" ht="15.75" customHeight="1">
      <c r="A610" s="26"/>
    </row>
    <row r="611" ht="15.75" customHeight="1">
      <c r="A611" s="26"/>
    </row>
    <row r="612" ht="15.75" customHeight="1">
      <c r="A612" s="26"/>
    </row>
    <row r="613" ht="15.75" customHeight="1">
      <c r="A613" s="26"/>
    </row>
    <row r="614" ht="15.75" customHeight="1">
      <c r="A614" s="26"/>
    </row>
    <row r="615" ht="15.75" customHeight="1">
      <c r="A615" s="26"/>
    </row>
    <row r="616" ht="15.75" customHeight="1">
      <c r="A616" s="26"/>
    </row>
    <row r="617" ht="15.75" customHeight="1">
      <c r="A617" s="26"/>
    </row>
    <row r="618" ht="15.75" customHeight="1">
      <c r="A618" s="26"/>
    </row>
    <row r="619" ht="15.75" customHeight="1">
      <c r="A619" s="26"/>
    </row>
    <row r="620" ht="15.75" customHeight="1">
      <c r="A620" s="26"/>
    </row>
    <row r="621" ht="15.75" customHeight="1">
      <c r="A621" s="26"/>
    </row>
    <row r="622" ht="15.75" customHeight="1">
      <c r="A622" s="26"/>
    </row>
    <row r="623" ht="15.75" customHeight="1">
      <c r="A623" s="26"/>
    </row>
    <row r="624" ht="15.75" customHeight="1">
      <c r="A624" s="26"/>
    </row>
    <row r="625" ht="15.75" customHeight="1">
      <c r="A625" s="26"/>
    </row>
    <row r="626" ht="15.75" customHeight="1">
      <c r="A626" s="26"/>
    </row>
    <row r="627" ht="15.75" customHeight="1">
      <c r="A627" s="26"/>
    </row>
    <row r="628" ht="15.75" customHeight="1">
      <c r="A628" s="26"/>
    </row>
    <row r="629" ht="15.75" customHeight="1">
      <c r="A629" s="26"/>
    </row>
    <row r="630" ht="15.75" customHeight="1">
      <c r="A630" s="26"/>
    </row>
    <row r="631" ht="15.75" customHeight="1">
      <c r="A631" s="26"/>
    </row>
    <row r="632" ht="15.75" customHeight="1">
      <c r="A632" s="26"/>
    </row>
    <row r="633" ht="15.75" customHeight="1">
      <c r="A633" s="26"/>
    </row>
    <row r="634" ht="15.75" customHeight="1">
      <c r="A634" s="26"/>
    </row>
    <row r="635" ht="15.75" customHeight="1">
      <c r="A635" s="26"/>
    </row>
    <row r="636" ht="15.75" customHeight="1">
      <c r="A636" s="26"/>
    </row>
    <row r="637" ht="15.75" customHeight="1">
      <c r="A637" s="26"/>
    </row>
    <row r="638" ht="15.75" customHeight="1">
      <c r="A638" s="26"/>
    </row>
    <row r="639" ht="15.75" customHeight="1">
      <c r="A639" s="26"/>
    </row>
    <row r="640" ht="15.75" customHeight="1">
      <c r="A640" s="26"/>
    </row>
    <row r="641" ht="15.75" customHeight="1">
      <c r="A641" s="26"/>
    </row>
    <row r="642" ht="15.75" customHeight="1">
      <c r="A642" s="26"/>
    </row>
    <row r="643" ht="15.75" customHeight="1">
      <c r="A643" s="26"/>
    </row>
    <row r="644" ht="15.75" customHeight="1">
      <c r="A644" s="26"/>
    </row>
    <row r="645" ht="15.75" customHeight="1">
      <c r="A645" s="26"/>
    </row>
    <row r="646" ht="15.75" customHeight="1">
      <c r="A646" s="26"/>
    </row>
    <row r="647" ht="15.75" customHeight="1">
      <c r="A647" s="26"/>
    </row>
    <row r="648" ht="15.75" customHeight="1">
      <c r="A648" s="26"/>
    </row>
    <row r="649" ht="15.75" customHeight="1">
      <c r="A649" s="26"/>
    </row>
    <row r="650" ht="15.75" customHeight="1">
      <c r="A650" s="26"/>
    </row>
    <row r="651" ht="15.75" customHeight="1">
      <c r="A651" s="26"/>
    </row>
    <row r="652" ht="15.75" customHeight="1">
      <c r="A652" s="26"/>
    </row>
    <row r="653" ht="15.75" customHeight="1">
      <c r="A653" s="26"/>
    </row>
    <row r="654" ht="15.75" customHeight="1">
      <c r="A654" s="26"/>
    </row>
    <row r="655" ht="15.75" customHeight="1">
      <c r="A655" s="26"/>
    </row>
    <row r="656" ht="15.75" customHeight="1">
      <c r="A656" s="26"/>
    </row>
    <row r="657" ht="15.75" customHeight="1">
      <c r="A657" s="26"/>
    </row>
    <row r="658" ht="15.75" customHeight="1">
      <c r="A658" s="26"/>
    </row>
    <row r="659" ht="15.75" customHeight="1">
      <c r="A659" s="26"/>
    </row>
    <row r="660" ht="15.75" customHeight="1">
      <c r="A660" s="26"/>
    </row>
    <row r="661" ht="15.75" customHeight="1">
      <c r="A661" s="26"/>
    </row>
    <row r="662" ht="15.75" customHeight="1">
      <c r="A662" s="26"/>
    </row>
    <row r="663" ht="15.75" customHeight="1">
      <c r="A663" s="26"/>
    </row>
    <row r="664" ht="15.75" customHeight="1">
      <c r="A664" s="26"/>
    </row>
    <row r="665" ht="15.75" customHeight="1">
      <c r="A665" s="26"/>
    </row>
    <row r="666" ht="15.75" customHeight="1">
      <c r="A666" s="26"/>
    </row>
    <row r="667" ht="15.75" customHeight="1">
      <c r="A667" s="26"/>
    </row>
    <row r="668" ht="15.75" customHeight="1">
      <c r="A668" s="26"/>
    </row>
    <row r="669" ht="15.75" customHeight="1">
      <c r="A669" s="26"/>
    </row>
    <row r="670" ht="15.75" customHeight="1">
      <c r="A670" s="26"/>
    </row>
    <row r="671" ht="15.75" customHeight="1">
      <c r="A671" s="26"/>
    </row>
    <row r="672" ht="15.75" customHeight="1">
      <c r="A672" s="26"/>
    </row>
    <row r="673" ht="15.75" customHeight="1">
      <c r="A673" s="26"/>
    </row>
    <row r="674" ht="15.75" customHeight="1">
      <c r="A674" s="26"/>
    </row>
    <row r="675" ht="15.75" customHeight="1">
      <c r="A675" s="26"/>
    </row>
    <row r="676" ht="15.75" customHeight="1">
      <c r="A676" s="26"/>
    </row>
    <row r="677" ht="15.75" customHeight="1">
      <c r="A677" s="26"/>
    </row>
    <row r="678" ht="15.75" customHeight="1">
      <c r="A678" s="26"/>
    </row>
    <row r="679" ht="15.75" customHeight="1">
      <c r="A679" s="26"/>
    </row>
    <row r="680" ht="15.75" customHeight="1">
      <c r="A680" s="26"/>
    </row>
    <row r="681" ht="15.75" customHeight="1">
      <c r="A681" s="26"/>
    </row>
    <row r="682" ht="15.75" customHeight="1">
      <c r="A682" s="26"/>
    </row>
    <row r="683" ht="15.75" customHeight="1">
      <c r="A683" s="26"/>
    </row>
    <row r="684" ht="15.75" customHeight="1">
      <c r="A684" s="26"/>
    </row>
    <row r="685" ht="15.75" customHeight="1">
      <c r="A685" s="26"/>
    </row>
    <row r="686" ht="15.75" customHeight="1">
      <c r="A686" s="26"/>
    </row>
    <row r="687" ht="15.75" customHeight="1">
      <c r="A687" s="26"/>
    </row>
    <row r="688" ht="15.75" customHeight="1">
      <c r="A688" s="26"/>
    </row>
    <row r="689" ht="15.75" customHeight="1">
      <c r="A689" s="26"/>
    </row>
    <row r="690" ht="15.75" customHeight="1">
      <c r="A690" s="26"/>
    </row>
    <row r="691" ht="15.75" customHeight="1">
      <c r="A691" s="26"/>
    </row>
    <row r="692" ht="15.75" customHeight="1">
      <c r="A692" s="26"/>
    </row>
    <row r="693" ht="15.75" customHeight="1">
      <c r="A693" s="26"/>
    </row>
    <row r="694" ht="15.75" customHeight="1">
      <c r="A694" s="26"/>
    </row>
    <row r="695" ht="15.75" customHeight="1">
      <c r="A695" s="26"/>
    </row>
    <row r="696" ht="15.75" customHeight="1">
      <c r="A696" s="26"/>
    </row>
    <row r="697" ht="15.75" customHeight="1">
      <c r="A697" s="26"/>
    </row>
    <row r="698" ht="15.75" customHeight="1">
      <c r="A698" s="26"/>
    </row>
    <row r="699" ht="15.75" customHeight="1">
      <c r="A699" s="26"/>
    </row>
    <row r="700" ht="15.75" customHeight="1">
      <c r="A700" s="26"/>
    </row>
    <row r="701" ht="15.75" customHeight="1">
      <c r="A701" s="26"/>
    </row>
    <row r="702" ht="15.75" customHeight="1">
      <c r="A702" s="26"/>
    </row>
    <row r="703" ht="15.75" customHeight="1">
      <c r="A703" s="26"/>
    </row>
    <row r="704" ht="15.75" customHeight="1">
      <c r="A704" s="26"/>
    </row>
    <row r="705" ht="15.75" customHeight="1">
      <c r="A705" s="26"/>
    </row>
    <row r="706" ht="15.75" customHeight="1">
      <c r="A706" s="26"/>
    </row>
    <row r="707" ht="15.75" customHeight="1">
      <c r="A707" s="26"/>
    </row>
    <row r="708" ht="15.75" customHeight="1">
      <c r="A708" s="26"/>
    </row>
    <row r="709" ht="15.75" customHeight="1">
      <c r="A709" s="26"/>
    </row>
    <row r="710" ht="15.75" customHeight="1">
      <c r="A710" s="26"/>
    </row>
    <row r="711" ht="15.75" customHeight="1">
      <c r="A711" s="26"/>
    </row>
    <row r="712" ht="15.75" customHeight="1">
      <c r="A712" s="26"/>
    </row>
    <row r="713" ht="15.75" customHeight="1">
      <c r="A713" s="26"/>
    </row>
    <row r="714" ht="15.75" customHeight="1">
      <c r="A714" s="26"/>
    </row>
    <row r="715" ht="15.75" customHeight="1">
      <c r="A715" s="26"/>
    </row>
    <row r="716" ht="15.75" customHeight="1">
      <c r="A716" s="26"/>
    </row>
    <row r="717" ht="15.75" customHeight="1">
      <c r="A717" s="26"/>
    </row>
    <row r="718" ht="15.75" customHeight="1">
      <c r="A718" s="26"/>
    </row>
    <row r="719" ht="15.75" customHeight="1">
      <c r="A719" s="26"/>
    </row>
    <row r="720" ht="15.75" customHeight="1">
      <c r="A720" s="26"/>
    </row>
    <row r="721" ht="15.75" customHeight="1">
      <c r="A721" s="26"/>
    </row>
    <row r="722" ht="15.75" customHeight="1">
      <c r="A722" s="26"/>
    </row>
    <row r="723" ht="15.75" customHeight="1">
      <c r="A723" s="26"/>
    </row>
    <row r="724" ht="15.75" customHeight="1">
      <c r="A724" s="26"/>
    </row>
    <row r="725" ht="15.75" customHeight="1">
      <c r="A725" s="26"/>
    </row>
    <row r="726" ht="15.75" customHeight="1">
      <c r="A726" s="26"/>
    </row>
    <row r="727" ht="15.75" customHeight="1">
      <c r="A727" s="26"/>
    </row>
    <row r="728" ht="15.75" customHeight="1">
      <c r="A728" s="26"/>
    </row>
    <row r="729" ht="15.75" customHeight="1">
      <c r="A729" s="26"/>
    </row>
    <row r="730" ht="15.75" customHeight="1">
      <c r="A730" s="26"/>
    </row>
    <row r="731" ht="15.75" customHeight="1">
      <c r="A731" s="26"/>
    </row>
    <row r="732" ht="15.75" customHeight="1">
      <c r="A732" s="26"/>
    </row>
    <row r="733" ht="15.75" customHeight="1">
      <c r="A733" s="26"/>
    </row>
    <row r="734" ht="15.75" customHeight="1">
      <c r="A734" s="26"/>
    </row>
    <row r="735" ht="15.75" customHeight="1">
      <c r="A735" s="26"/>
    </row>
    <row r="736" ht="15.75" customHeight="1">
      <c r="A736" s="26"/>
    </row>
    <row r="737" ht="15.75" customHeight="1">
      <c r="A737" s="26"/>
    </row>
    <row r="738" ht="15.75" customHeight="1">
      <c r="A738" s="26"/>
    </row>
    <row r="739" ht="15.75" customHeight="1">
      <c r="A739" s="26"/>
    </row>
    <row r="740" ht="15.75" customHeight="1">
      <c r="A740" s="26"/>
    </row>
    <row r="741" ht="15.75" customHeight="1">
      <c r="A741" s="26"/>
    </row>
    <row r="742" ht="15.75" customHeight="1">
      <c r="A742" s="26"/>
    </row>
    <row r="743" ht="15.75" customHeight="1">
      <c r="A743" s="26"/>
    </row>
    <row r="744" ht="15.75" customHeight="1">
      <c r="A744" s="26"/>
    </row>
    <row r="745" ht="15.75" customHeight="1">
      <c r="A745" s="26"/>
    </row>
    <row r="746" ht="15.75" customHeight="1">
      <c r="A746" s="26"/>
    </row>
    <row r="747" ht="15.75" customHeight="1">
      <c r="A747" s="26"/>
    </row>
    <row r="748" ht="15.75" customHeight="1">
      <c r="A748" s="26"/>
    </row>
    <row r="749" ht="15.75" customHeight="1">
      <c r="A749" s="26"/>
    </row>
    <row r="750" ht="15.75" customHeight="1">
      <c r="A750" s="26"/>
    </row>
    <row r="751" ht="15.75" customHeight="1">
      <c r="A751" s="26"/>
    </row>
    <row r="752" ht="15.75" customHeight="1">
      <c r="A752" s="26"/>
    </row>
    <row r="753" ht="15.75" customHeight="1">
      <c r="A753" s="26"/>
    </row>
    <row r="754" ht="15.75" customHeight="1">
      <c r="A754" s="26"/>
    </row>
    <row r="755" ht="15.75" customHeight="1">
      <c r="A755" s="26"/>
    </row>
    <row r="756" ht="15.75" customHeight="1">
      <c r="A756" s="26"/>
    </row>
    <row r="757" ht="15.75" customHeight="1">
      <c r="A757" s="26"/>
    </row>
    <row r="758" ht="15.75" customHeight="1">
      <c r="A758" s="26"/>
    </row>
    <row r="759" ht="15.75" customHeight="1">
      <c r="A759" s="26"/>
    </row>
    <row r="760" ht="15.75" customHeight="1">
      <c r="A760" s="26"/>
    </row>
    <row r="761" ht="15.75" customHeight="1">
      <c r="A761" s="26"/>
    </row>
    <row r="762" ht="15.75" customHeight="1">
      <c r="A762" s="26"/>
    </row>
    <row r="763" ht="15.75" customHeight="1">
      <c r="A763" s="26"/>
    </row>
    <row r="764" ht="15.75" customHeight="1">
      <c r="A764" s="26"/>
    </row>
    <row r="765" ht="15.75" customHeight="1">
      <c r="A765" s="26"/>
    </row>
    <row r="766" ht="15.75" customHeight="1">
      <c r="A766" s="26"/>
    </row>
    <row r="767" ht="15.75" customHeight="1">
      <c r="A767" s="26"/>
    </row>
    <row r="768" ht="15.75" customHeight="1">
      <c r="A768" s="26"/>
    </row>
    <row r="769" ht="15.75" customHeight="1">
      <c r="A769" s="26"/>
    </row>
    <row r="770" ht="15.75" customHeight="1">
      <c r="A770" s="26"/>
    </row>
    <row r="771" ht="15.75" customHeight="1">
      <c r="A771" s="26"/>
    </row>
    <row r="772" ht="15.75" customHeight="1">
      <c r="A772" s="26"/>
    </row>
    <row r="773" ht="15.75" customHeight="1">
      <c r="A773" s="26"/>
    </row>
    <row r="774" ht="15.75" customHeight="1">
      <c r="A774" s="26"/>
    </row>
    <row r="775" ht="15.75" customHeight="1">
      <c r="A775" s="26"/>
    </row>
    <row r="776" ht="15.75" customHeight="1">
      <c r="A776" s="26"/>
    </row>
    <row r="777" ht="15.75" customHeight="1">
      <c r="A777" s="26"/>
    </row>
    <row r="778" ht="15.75" customHeight="1">
      <c r="A778" s="26"/>
    </row>
    <row r="779" ht="15.75" customHeight="1">
      <c r="A779" s="26"/>
    </row>
    <row r="780" ht="15.75" customHeight="1">
      <c r="A780" s="26"/>
    </row>
    <row r="781" ht="15.75" customHeight="1">
      <c r="A781" s="26"/>
    </row>
    <row r="782" ht="15.75" customHeight="1">
      <c r="A782" s="26"/>
    </row>
    <row r="783" ht="15.75" customHeight="1">
      <c r="A783" s="26"/>
    </row>
    <row r="784" ht="15.75" customHeight="1">
      <c r="A784" s="26"/>
    </row>
    <row r="785" ht="15.75" customHeight="1">
      <c r="A785" s="26"/>
    </row>
    <row r="786" ht="15.75" customHeight="1">
      <c r="A786" s="26"/>
    </row>
    <row r="787" ht="15.75" customHeight="1">
      <c r="A787" s="26"/>
    </row>
    <row r="788" ht="15.75" customHeight="1">
      <c r="A788" s="26"/>
    </row>
    <row r="789" ht="15.75" customHeight="1">
      <c r="A789" s="26"/>
    </row>
    <row r="790" ht="15.75" customHeight="1">
      <c r="A790" s="26"/>
    </row>
    <row r="791" ht="15.75" customHeight="1">
      <c r="A791" s="26"/>
    </row>
    <row r="792" ht="15.75" customHeight="1">
      <c r="A792" s="26"/>
    </row>
    <row r="793" ht="15.75" customHeight="1">
      <c r="A793" s="26"/>
    </row>
    <row r="794" ht="15.75" customHeight="1">
      <c r="A794" s="26"/>
    </row>
    <row r="795" ht="15.75" customHeight="1">
      <c r="A795" s="26"/>
    </row>
    <row r="796" ht="15.75" customHeight="1">
      <c r="A796" s="26"/>
    </row>
    <row r="797" ht="15.75" customHeight="1">
      <c r="A797" s="26"/>
    </row>
    <row r="798" ht="15.75" customHeight="1">
      <c r="A798" s="26"/>
    </row>
    <row r="799" ht="15.75" customHeight="1">
      <c r="A799" s="26"/>
    </row>
    <row r="800" ht="15.75" customHeight="1">
      <c r="A800" s="26"/>
    </row>
    <row r="801" ht="15.75" customHeight="1">
      <c r="A801" s="26"/>
    </row>
    <row r="802" ht="15.75" customHeight="1">
      <c r="A802" s="26"/>
    </row>
    <row r="803" ht="15.75" customHeight="1">
      <c r="A803" s="26"/>
    </row>
    <row r="804" ht="15.75" customHeight="1">
      <c r="A804" s="26"/>
    </row>
    <row r="805" ht="15.75" customHeight="1">
      <c r="A805" s="26"/>
    </row>
    <row r="806" ht="15.75" customHeight="1">
      <c r="A806" s="26"/>
    </row>
    <row r="807" ht="15.75" customHeight="1">
      <c r="A807" s="26"/>
    </row>
    <row r="808" ht="15.75" customHeight="1">
      <c r="A808" s="26"/>
    </row>
    <row r="809" ht="15.75" customHeight="1">
      <c r="A809" s="26"/>
    </row>
    <row r="810" ht="15.75" customHeight="1">
      <c r="A810" s="26"/>
    </row>
    <row r="811" ht="15.75" customHeight="1">
      <c r="A811" s="26"/>
    </row>
    <row r="812" ht="15.75" customHeight="1">
      <c r="A812" s="26"/>
    </row>
    <row r="813" ht="15.75" customHeight="1">
      <c r="A813" s="26"/>
    </row>
    <row r="814" ht="15.75" customHeight="1">
      <c r="A814" s="26"/>
    </row>
    <row r="815" ht="15.75" customHeight="1">
      <c r="A815" s="26"/>
    </row>
    <row r="816" ht="15.75" customHeight="1">
      <c r="A816" s="26"/>
    </row>
    <row r="817" ht="15.75" customHeight="1">
      <c r="A817" s="26"/>
    </row>
    <row r="818" ht="15.75" customHeight="1">
      <c r="A818" s="26"/>
    </row>
    <row r="819" ht="15.75" customHeight="1">
      <c r="A819" s="26"/>
    </row>
    <row r="820" ht="15.75" customHeight="1">
      <c r="A820" s="26"/>
    </row>
    <row r="821" ht="15.75" customHeight="1">
      <c r="A821" s="26"/>
    </row>
    <row r="822" ht="15.75" customHeight="1">
      <c r="A822" s="26"/>
    </row>
    <row r="823" ht="15.75" customHeight="1">
      <c r="A823" s="26"/>
    </row>
    <row r="824" ht="15.75" customHeight="1">
      <c r="A824" s="26"/>
    </row>
    <row r="825" ht="15.75" customHeight="1">
      <c r="A825" s="26"/>
    </row>
    <row r="826" ht="15.75" customHeight="1">
      <c r="A826" s="26"/>
    </row>
    <row r="827" ht="15.75" customHeight="1">
      <c r="A827" s="26"/>
    </row>
    <row r="828" ht="15.75" customHeight="1">
      <c r="A828" s="26"/>
    </row>
    <row r="829" ht="15.75" customHeight="1">
      <c r="A829" s="26"/>
    </row>
    <row r="830" ht="15.75" customHeight="1">
      <c r="A830" s="26"/>
    </row>
    <row r="831" ht="15.75" customHeight="1">
      <c r="A831" s="26"/>
    </row>
    <row r="832" ht="15.75" customHeight="1">
      <c r="A832" s="26"/>
    </row>
    <row r="833" ht="15.75" customHeight="1">
      <c r="A833" s="26"/>
    </row>
    <row r="834" ht="15.75" customHeight="1">
      <c r="A834" s="26"/>
    </row>
    <row r="835" ht="15.75" customHeight="1">
      <c r="A835" s="26"/>
    </row>
    <row r="836" ht="15.75" customHeight="1">
      <c r="A836" s="26"/>
    </row>
    <row r="837" ht="15.75" customHeight="1">
      <c r="A837" s="26"/>
    </row>
    <row r="838" ht="15.75" customHeight="1">
      <c r="A838" s="26"/>
    </row>
    <row r="839" ht="15.75" customHeight="1">
      <c r="A839" s="26"/>
    </row>
    <row r="840" ht="15.75" customHeight="1">
      <c r="A840" s="26"/>
    </row>
    <row r="841" ht="15.75" customHeight="1">
      <c r="A841" s="26"/>
    </row>
    <row r="842" ht="15.75" customHeight="1">
      <c r="A842" s="26"/>
    </row>
    <row r="843" ht="15.75" customHeight="1">
      <c r="A843" s="2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26.56"/>
    <col customWidth="1" min="2" max="2" width="18.56"/>
    <col customWidth="1" min="3" max="3" width="18.0"/>
    <col customWidth="1" min="4" max="4" width="16.44"/>
    <col customWidth="1" min="5" max="5" width="14.56"/>
    <col customWidth="1" min="6" max="41" width="15.0"/>
    <col customWidth="1" min="42" max="42" width="12.67"/>
    <col customWidth="1" min="43" max="43" width="12.11"/>
    <col customWidth="1" min="44" max="44" width="15.11"/>
    <col customWidth="1" min="45" max="45" width="14.44"/>
    <col customWidth="1" min="46" max="46" width="34.11"/>
    <col customWidth="1" min="47" max="47" width="14.0"/>
  </cols>
  <sheetData>
    <row r="1" ht="15.75" customHeight="1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</row>
    <row r="2">
      <c r="A2" s="91" t="s">
        <v>8</v>
      </c>
      <c r="B2" s="30"/>
      <c r="C2" s="30"/>
      <c r="D2" s="92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</row>
    <row r="3" ht="15.75" customHeight="1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</row>
    <row r="4" ht="15.75" customHeight="1">
      <c r="B4" s="93">
        <v>1985.0</v>
      </c>
      <c r="C4" s="93">
        <v>1986.0</v>
      </c>
      <c r="D4" s="93">
        <v>1987.0</v>
      </c>
      <c r="E4" s="93">
        <v>1988.0</v>
      </c>
      <c r="F4" s="93">
        <v>1989.0</v>
      </c>
      <c r="G4" s="93">
        <v>1990.0</v>
      </c>
      <c r="H4" s="93">
        <v>1991.0</v>
      </c>
      <c r="I4" s="93">
        <v>1992.0</v>
      </c>
      <c r="J4" s="93">
        <v>1993.0</v>
      </c>
      <c r="K4" s="93">
        <v>1994.0</v>
      </c>
      <c r="L4" s="93">
        <v>1995.0</v>
      </c>
      <c r="M4" s="93">
        <v>1996.0</v>
      </c>
      <c r="N4" s="93">
        <v>1997.0</v>
      </c>
      <c r="O4" s="93">
        <v>1998.0</v>
      </c>
      <c r="P4" s="93">
        <v>1999.0</v>
      </c>
      <c r="Q4" s="93">
        <v>2000.0</v>
      </c>
      <c r="R4" s="93">
        <v>2001.0</v>
      </c>
      <c r="S4" s="93">
        <v>2002.0</v>
      </c>
      <c r="T4" s="93">
        <v>2003.0</v>
      </c>
      <c r="U4" s="93">
        <v>2004.0</v>
      </c>
      <c r="V4" s="93">
        <v>2005.0</v>
      </c>
      <c r="W4" s="93">
        <v>2006.0</v>
      </c>
      <c r="X4" s="93">
        <v>2007.0</v>
      </c>
      <c r="Y4" s="93">
        <v>2008.0</v>
      </c>
      <c r="Z4" s="93">
        <v>2009.0</v>
      </c>
      <c r="AA4" s="93">
        <v>2010.0</v>
      </c>
      <c r="AB4" s="93">
        <v>2011.0</v>
      </c>
      <c r="AC4" s="93">
        <v>2012.0</v>
      </c>
      <c r="AD4" s="93">
        <v>2013.0</v>
      </c>
      <c r="AE4" s="93">
        <v>2014.0</v>
      </c>
      <c r="AF4" s="93">
        <v>2015.0</v>
      </c>
      <c r="AG4" s="93">
        <v>2016.0</v>
      </c>
      <c r="AH4" s="93">
        <v>2017.0</v>
      </c>
      <c r="AI4" s="93">
        <v>2018.0</v>
      </c>
      <c r="AJ4" s="93">
        <v>2019.0</v>
      </c>
      <c r="AK4" s="93">
        <v>2020.0</v>
      </c>
      <c r="AL4" s="93">
        <v>2021.0</v>
      </c>
      <c r="AM4" s="93">
        <v>2022.0</v>
      </c>
      <c r="AN4" s="93">
        <v>2023.0</v>
      </c>
      <c r="AO4" s="93">
        <v>2024.0</v>
      </c>
      <c r="AP4" s="93">
        <v>2025.0</v>
      </c>
      <c r="AQ4" s="94"/>
    </row>
    <row r="5" ht="15.75" customHeight="1">
      <c r="A5" s="95" t="s">
        <v>14</v>
      </c>
      <c r="B5" s="95">
        <v>7046572.874945924</v>
      </c>
      <c r="C5" s="95">
        <v>7078209.438402373</v>
      </c>
      <c r="D5" s="95">
        <v>6892303.219171938</v>
      </c>
      <c r="E5" s="95">
        <v>6765514.1398650585</v>
      </c>
      <c r="F5" s="95">
        <v>6741979.314120169</v>
      </c>
      <c r="G5" s="95">
        <v>6827710.538693051</v>
      </c>
      <c r="H5" s="95">
        <v>6797053.909265268</v>
      </c>
      <c r="I5" s="95">
        <v>6769534.40418289</v>
      </c>
      <c r="J5" s="95">
        <v>6688493.062397454</v>
      </c>
      <c r="K5" s="95">
        <v>6698700.154743559</v>
      </c>
      <c r="L5" s="95">
        <v>6564519.198234301</v>
      </c>
      <c r="M5" s="95">
        <v>6495904.287564464</v>
      </c>
      <c r="N5" s="95">
        <v>6340668.073337869</v>
      </c>
      <c r="O5" s="95">
        <v>6307996.057340348</v>
      </c>
      <c r="P5" s="95">
        <v>6207494.311197033</v>
      </c>
      <c r="Q5" s="95">
        <v>6155201.077557639</v>
      </c>
      <c r="R5" s="95">
        <v>6087442.102490655</v>
      </c>
      <c r="S5" s="95">
        <v>5973694.86067434</v>
      </c>
      <c r="T5" s="95">
        <v>5924464.177839704</v>
      </c>
      <c r="U5" s="95">
        <v>5886560.971213181</v>
      </c>
      <c r="V5" s="95">
        <v>5839469.494641053</v>
      </c>
      <c r="W5" s="95">
        <v>5751863.490755153</v>
      </c>
      <c r="X5" s="95">
        <v>5717403.30939002</v>
      </c>
      <c r="Y5" s="95">
        <v>5710433.174470379</v>
      </c>
      <c r="Z5" s="95">
        <v>5764337.1591074895</v>
      </c>
      <c r="AA5" s="95">
        <v>5815303.937284142</v>
      </c>
      <c r="AB5" s="95">
        <v>5861133.893116939</v>
      </c>
      <c r="AC5" s="95">
        <v>5877972.922914985</v>
      </c>
      <c r="AD5" s="95">
        <v>5801624.204163233</v>
      </c>
      <c r="AE5" s="95">
        <v>5689502.193015945</v>
      </c>
      <c r="AF5" s="95">
        <v>5647022.143191233</v>
      </c>
      <c r="AG5" s="95">
        <v>5579272.676110116</v>
      </c>
      <c r="AH5" s="95">
        <v>5558836.382534536</v>
      </c>
      <c r="AI5" s="95">
        <v>5534680.980322101</v>
      </c>
      <c r="AJ5" s="95">
        <v>5508166.759748934</v>
      </c>
      <c r="AK5" s="95">
        <v>5580711.800266024</v>
      </c>
      <c r="AL5" s="95">
        <v>5637698.4411472855</v>
      </c>
      <c r="AM5" s="100">
        <v>5644977.285117534</v>
      </c>
      <c r="AN5" s="100">
        <v>5619501.401760407</v>
      </c>
      <c r="AO5" s="100">
        <v>5556664.657334599</v>
      </c>
      <c r="AP5" s="100">
        <v>5517804.86342361</v>
      </c>
      <c r="AQ5" s="21"/>
      <c r="AR5" s="101">
        <f t="shared" ref="AR5:AR36" si="1">AP5-B5</f>
        <v>-1528768.012</v>
      </c>
      <c r="AS5" s="102">
        <f t="shared" ref="AS5:AS8" si="2">AR5/B5</f>
        <v>-0.2169519905</v>
      </c>
      <c r="AT5" s="30" t="s">
        <v>71</v>
      </c>
      <c r="AU5" s="30">
        <f>(AR5+AR12+AR32)</f>
        <v>-1926222.859</v>
      </c>
      <c r="AV5" s="2"/>
    </row>
    <row r="6" ht="15.75" customHeight="1">
      <c r="A6" s="103" t="s">
        <v>15</v>
      </c>
      <c r="B6" s="104">
        <v>2618572.4298265385</v>
      </c>
      <c r="C6" s="104">
        <v>2610064.1114902664</v>
      </c>
      <c r="D6" s="104">
        <v>2598834.559394831</v>
      </c>
      <c r="E6" s="104">
        <v>2587519.5441827895</v>
      </c>
      <c r="F6" s="104">
        <v>2572936.6573268957</v>
      </c>
      <c r="G6" s="104">
        <v>2558509.8110434627</v>
      </c>
      <c r="H6" s="104">
        <v>2542214.007328849</v>
      </c>
      <c r="I6" s="104">
        <v>2521267.3880941626</v>
      </c>
      <c r="J6" s="104">
        <v>2501918.8246681644</v>
      </c>
      <c r="K6" s="104">
        <v>2482601.059600961</v>
      </c>
      <c r="L6" s="104">
        <v>2456913.5267961267</v>
      </c>
      <c r="M6" s="104">
        <v>2437498.497482009</v>
      </c>
      <c r="N6" s="104">
        <v>2414157.8405913906</v>
      </c>
      <c r="O6" s="104">
        <v>2397468.142822611</v>
      </c>
      <c r="P6" s="104">
        <v>2376248.7750080014</v>
      </c>
      <c r="Q6" s="104">
        <v>2360325.910379322</v>
      </c>
      <c r="R6" s="104">
        <v>2344880.312808054</v>
      </c>
      <c r="S6" s="104">
        <v>2330532.1333016898</v>
      </c>
      <c r="T6" s="104">
        <v>2310452.9320923677</v>
      </c>
      <c r="U6" s="104">
        <v>2295545.801048863</v>
      </c>
      <c r="V6" s="104">
        <v>2279381.1933694314</v>
      </c>
      <c r="W6" s="104">
        <v>2264722.525934117</v>
      </c>
      <c r="X6" s="104">
        <v>2256057.246848422</v>
      </c>
      <c r="Y6" s="104">
        <v>2250827.878187174</v>
      </c>
      <c r="Z6" s="104">
        <v>2245186.0911234715</v>
      </c>
      <c r="AA6" s="104">
        <v>2238578.1504221275</v>
      </c>
      <c r="AB6" s="104">
        <v>2232129.404928278</v>
      </c>
      <c r="AC6" s="104">
        <v>2225805.5965583352</v>
      </c>
      <c r="AD6" s="104">
        <v>2216658.811781857</v>
      </c>
      <c r="AE6" s="104">
        <v>2208617.563094183</v>
      </c>
      <c r="AF6" s="104">
        <v>2202301.8468961213</v>
      </c>
      <c r="AG6" s="104">
        <v>2196033.638021517</v>
      </c>
      <c r="AH6" s="104">
        <v>2191760.897982961</v>
      </c>
      <c r="AI6" s="104">
        <v>2184812.43361844</v>
      </c>
      <c r="AJ6" s="104">
        <v>2170134.255431768</v>
      </c>
      <c r="AK6" s="104">
        <v>2154156.913943339</v>
      </c>
      <c r="AL6" s="104">
        <v>2113519.1036601686</v>
      </c>
      <c r="AM6" s="104">
        <v>2095711.970068677</v>
      </c>
      <c r="AN6" s="104">
        <v>2070986.365258612</v>
      </c>
      <c r="AO6" s="104">
        <v>2037823.1422698577</v>
      </c>
      <c r="AP6" s="104">
        <v>2036256.4162379242</v>
      </c>
      <c r="AQ6" s="104"/>
      <c r="AR6" s="101">
        <f t="shared" si="1"/>
        <v>-582316.0136</v>
      </c>
      <c r="AS6" s="102">
        <f t="shared" si="2"/>
        <v>-0.2223791891</v>
      </c>
      <c r="AT6" s="5" t="s">
        <v>72</v>
      </c>
      <c r="AU6" s="105">
        <f>(AR5+AR12+AR32)/(B5+B12+B32)</f>
        <v>-0.1299834217</v>
      </c>
      <c r="AV6" s="2"/>
    </row>
    <row r="7" ht="15.75" customHeight="1">
      <c r="A7" s="106" t="s">
        <v>18</v>
      </c>
      <c r="B7" s="104">
        <v>3330766.109705465</v>
      </c>
      <c r="C7" s="104">
        <v>3983303.219720135</v>
      </c>
      <c r="D7" s="104">
        <v>3589202.050080215</v>
      </c>
      <c r="E7" s="104">
        <v>3153039.648201827</v>
      </c>
      <c r="F7" s="104">
        <v>3085171.2791709257</v>
      </c>
      <c r="G7" s="104">
        <v>3767426.0405525127</v>
      </c>
      <c r="H7" s="104">
        <v>3473759.9240171406</v>
      </c>
      <c r="I7" s="104">
        <v>3645082.8417884354</v>
      </c>
      <c r="J7" s="104">
        <v>3509421.6528182235</v>
      </c>
      <c r="K7" s="104">
        <v>3801386.173567379</v>
      </c>
      <c r="L7" s="104">
        <v>3302669.056019717</v>
      </c>
      <c r="M7" s="104">
        <v>3377424.180496031</v>
      </c>
      <c r="N7" s="104">
        <v>3160408.745041636</v>
      </c>
      <c r="O7" s="104">
        <v>3593919.3175204666</v>
      </c>
      <c r="P7" s="104">
        <v>3398865.868250672</v>
      </c>
      <c r="Q7" s="104">
        <v>3414826.106098906</v>
      </c>
      <c r="R7" s="104">
        <v>3598144.360403469</v>
      </c>
      <c r="S7" s="104">
        <v>3293671.3999089347</v>
      </c>
      <c r="T7" s="104">
        <v>3212630.301639581</v>
      </c>
      <c r="U7" s="104">
        <v>3318196.491796304</v>
      </c>
      <c r="V7" s="104">
        <v>3409105.467969468</v>
      </c>
      <c r="W7" s="104">
        <v>3036774.102985863</v>
      </c>
      <c r="X7" s="104">
        <v>3132192.056762197</v>
      </c>
      <c r="Y7" s="104">
        <v>3053578.595967979</v>
      </c>
      <c r="Z7" s="104">
        <v>3386207.9543355443</v>
      </c>
      <c r="AA7" s="104">
        <v>3382436.320180727</v>
      </c>
      <c r="AB7" s="104">
        <v>2935179.08911558</v>
      </c>
      <c r="AC7" s="104">
        <v>3536014.1235669823</v>
      </c>
      <c r="AD7" s="104">
        <v>3320870.908103825</v>
      </c>
      <c r="AE7" s="104">
        <v>2991930.126581908</v>
      </c>
      <c r="AF7" s="104">
        <v>3253513.20226941</v>
      </c>
      <c r="AG7" s="104">
        <v>3198500.1636833902</v>
      </c>
      <c r="AH7" s="104">
        <v>3182196.992957287</v>
      </c>
      <c r="AI7" s="104">
        <v>2945691.3281492833</v>
      </c>
      <c r="AJ7" s="104">
        <v>3195027.315453366</v>
      </c>
      <c r="AK7" s="104">
        <v>3368011.03242075</v>
      </c>
      <c r="AL7" s="104">
        <v>3455248.581950001</v>
      </c>
      <c r="AM7" s="104">
        <v>3446001.4735288126</v>
      </c>
      <c r="AN7" s="104">
        <v>3326001.502663929</v>
      </c>
      <c r="AO7" s="104">
        <v>3475055.330802881</v>
      </c>
      <c r="AP7" s="104">
        <v>3307283.0859799</v>
      </c>
      <c r="AQ7" s="104"/>
      <c r="AR7" s="101">
        <f t="shared" si="1"/>
        <v>-23483.02373</v>
      </c>
      <c r="AS7" s="102">
        <f t="shared" si="2"/>
        <v>-0.007050337055</v>
      </c>
      <c r="AT7" s="30"/>
      <c r="AU7" s="30"/>
      <c r="AV7" s="2"/>
    </row>
    <row r="8" ht="15.75" customHeight="1">
      <c r="A8" s="114" t="s">
        <v>19</v>
      </c>
      <c r="B8" s="104">
        <v>1097234.3354139198</v>
      </c>
      <c r="C8" s="104">
        <v>484842.1071919723</v>
      </c>
      <c r="D8" s="104">
        <v>704266.6096968907</v>
      </c>
      <c r="E8" s="104">
        <v>1024954.9474804418</v>
      </c>
      <c r="F8" s="104">
        <v>1083871.3776223473</v>
      </c>
      <c r="G8" s="104">
        <v>501774.6870970756</v>
      </c>
      <c r="H8" s="104">
        <v>781079.9779192775</v>
      </c>
      <c r="I8" s="104">
        <v>603184.1743002927</v>
      </c>
      <c r="J8" s="104">
        <v>677152.5849110663</v>
      </c>
      <c r="K8" s="104">
        <v>414712.9215752193</v>
      </c>
      <c r="L8" s="104">
        <v>804936.6154184574</v>
      </c>
      <c r="M8" s="104">
        <v>680981.6095864236</v>
      </c>
      <c r="N8" s="104">
        <v>766101.487704842</v>
      </c>
      <c r="O8" s="104">
        <v>316608.5969972701</v>
      </c>
      <c r="P8" s="104">
        <v>432379.6679383598</v>
      </c>
      <c r="Q8" s="104">
        <v>380049.0610794121</v>
      </c>
      <c r="R8" s="104">
        <v>144417.42927913248</v>
      </c>
      <c r="S8" s="104">
        <v>349491.32746371673</v>
      </c>
      <c r="T8" s="104">
        <v>401380.9441077553</v>
      </c>
      <c r="U8" s="104">
        <v>272818.6783680134</v>
      </c>
      <c r="V8" s="104">
        <v>150982.8333021534</v>
      </c>
      <c r="W8" s="104">
        <v>450366.86183517345</v>
      </c>
      <c r="X8" s="104">
        <v>329154.0057794003</v>
      </c>
      <c r="Y8" s="104">
        <v>406026.7003152259</v>
      </c>
      <c r="Z8" s="104">
        <v>132943.1136484738</v>
      </c>
      <c r="AA8" s="104">
        <v>194289.46668128634</v>
      </c>
      <c r="AB8" s="104">
        <v>693825.3990730799</v>
      </c>
      <c r="AC8" s="104">
        <v>116153.20278966674</v>
      </c>
      <c r="AD8" s="104">
        <v>264094.48427754984</v>
      </c>
      <c r="AE8" s="104">
        <v>488954.5033398537</v>
      </c>
      <c r="AF8" s="104">
        <v>191207.09402570207</v>
      </c>
      <c r="AG8" s="104">
        <v>184738.87440520775</v>
      </c>
      <c r="AH8" s="104">
        <v>184878.49159428786</v>
      </c>
      <c r="AI8" s="104">
        <v>404177.2185543785</v>
      </c>
      <c r="AJ8" s="104">
        <v>143005.18886380002</v>
      </c>
      <c r="AK8" s="104">
        <v>58543.85390193477</v>
      </c>
      <c r="AL8" s="104">
        <v>68930.75553711556</v>
      </c>
      <c r="AM8" s="104">
        <v>103263.84152004385</v>
      </c>
      <c r="AN8" s="104">
        <v>222513.53383786633</v>
      </c>
      <c r="AO8" s="104">
        <v>43786.18426185894</v>
      </c>
      <c r="AP8" s="104">
        <v>174265.36120578652</v>
      </c>
      <c r="AQ8" s="104"/>
      <c r="AR8" s="101">
        <f t="shared" si="1"/>
        <v>-922968.9742</v>
      </c>
      <c r="AS8" s="102">
        <f t="shared" si="2"/>
        <v>-0.8411776267</v>
      </c>
      <c r="AV8" s="2"/>
    </row>
    <row r="9" ht="15.75" customHeight="1">
      <c r="A9" s="114" t="s">
        <v>20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1">
        <f t="shared" si="1"/>
        <v>0</v>
      </c>
      <c r="AS9" s="102" t="s">
        <v>78</v>
      </c>
      <c r="AT9" s="2"/>
      <c r="AU9" s="2"/>
      <c r="AV9" s="2"/>
    </row>
    <row r="10" ht="15.75" customHeight="1">
      <c r="A10" s="114" t="s">
        <v>21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1">
        <f t="shared" si="1"/>
        <v>0</v>
      </c>
      <c r="AS10" s="102" t="s">
        <v>78</v>
      </c>
      <c r="AT10" s="30" t="s">
        <v>80</v>
      </c>
      <c r="AU10" s="120">
        <f>AR21/B21</f>
        <v>7.777360548</v>
      </c>
      <c r="AV10" s="2"/>
    </row>
    <row r="11" ht="15.75" customHeight="1">
      <c r="A11" s="114" t="s">
        <v>23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1">
        <f t="shared" si="1"/>
        <v>0</v>
      </c>
      <c r="AS11" s="102" t="s">
        <v>78</v>
      </c>
      <c r="AT11" s="30"/>
      <c r="AU11" s="5"/>
      <c r="AV11" s="2"/>
    </row>
    <row r="12" ht="15.75" customHeight="1">
      <c r="A12" s="95" t="s">
        <v>24</v>
      </c>
      <c r="B12" s="95">
        <v>3981034.8747631568</v>
      </c>
      <c r="C12" s="95">
        <v>5831357.980353651</v>
      </c>
      <c r="D12" s="95">
        <v>5658603.992354575</v>
      </c>
      <c r="E12" s="95">
        <v>4061554.6958772517</v>
      </c>
      <c r="F12" s="95">
        <v>4748920.905300021</v>
      </c>
      <c r="G12" s="95">
        <v>5906917.877827782</v>
      </c>
      <c r="H12" s="95">
        <v>4818780.704486871</v>
      </c>
      <c r="I12" s="95">
        <v>5134823.349231863</v>
      </c>
      <c r="J12" s="95">
        <v>5273376.58500276</v>
      </c>
      <c r="K12" s="95">
        <v>6461487.100819329</v>
      </c>
      <c r="L12" s="95">
        <v>5308089.986233984</v>
      </c>
      <c r="M12" s="95">
        <v>6092458.621017529</v>
      </c>
      <c r="N12" s="95">
        <v>5719373.56122039</v>
      </c>
      <c r="O12" s="95">
        <v>6201176.111502189</v>
      </c>
      <c r="P12" s="95">
        <v>6099550.380348682</v>
      </c>
      <c r="Q12" s="95">
        <v>6079238.945571178</v>
      </c>
      <c r="R12" s="95">
        <v>6529834.534059263</v>
      </c>
      <c r="S12" s="95">
        <v>6088601.970239826</v>
      </c>
      <c r="T12" s="95">
        <v>6341598.670561421</v>
      </c>
      <c r="U12" s="95">
        <v>6502284.600941386</v>
      </c>
      <c r="V12" s="95">
        <v>6460807.961992768</v>
      </c>
      <c r="W12" s="95">
        <v>5717639.5357241025</v>
      </c>
      <c r="X12" s="95">
        <v>5709385.219024036</v>
      </c>
      <c r="Y12" s="95">
        <v>5962784.840614052</v>
      </c>
      <c r="Z12" s="95">
        <v>6704746.800843083</v>
      </c>
      <c r="AA12" s="95">
        <v>6401277.394719629</v>
      </c>
      <c r="AB12" s="95">
        <v>5360952.112376896</v>
      </c>
      <c r="AC12" s="95">
        <v>6757636.655369747</v>
      </c>
      <c r="AD12" s="95">
        <v>6480921.404236897</v>
      </c>
      <c r="AE12" s="95">
        <v>5569727.515817624</v>
      </c>
      <c r="AF12" s="95">
        <v>6329121.410796842</v>
      </c>
      <c r="AG12" s="95">
        <v>6208906.819738241</v>
      </c>
      <c r="AH12" s="95">
        <v>6283614.996110766</v>
      </c>
      <c r="AI12" s="95">
        <v>5383607.663896747</v>
      </c>
      <c r="AJ12" s="95">
        <v>6486782.129581154</v>
      </c>
      <c r="AK12" s="95">
        <v>6909591.392770213</v>
      </c>
      <c r="AL12" s="95">
        <v>6864646.733866555</v>
      </c>
      <c r="AM12" s="100">
        <v>6634218.5186793655</v>
      </c>
      <c r="AN12" s="100">
        <v>6350432.575431388</v>
      </c>
      <c r="AO12" s="100">
        <v>6815739.307839071</v>
      </c>
      <c r="AP12" s="100">
        <v>6504361.3506026175</v>
      </c>
      <c r="AQ12" s="21"/>
      <c r="AR12" s="101">
        <f t="shared" si="1"/>
        <v>2523326.476</v>
      </c>
      <c r="AS12" s="102">
        <f t="shared" ref="AS12:AS13" si="3">AR12/B12</f>
        <v>0.6338368176</v>
      </c>
      <c r="AT12" s="121"/>
      <c r="AU12" s="2"/>
      <c r="AV12" s="2"/>
    </row>
    <row r="13" ht="15.75" customHeight="1">
      <c r="A13" s="21" t="s">
        <v>28</v>
      </c>
      <c r="B13" s="104">
        <v>2592375.8740113685</v>
      </c>
      <c r="C13" s="104">
        <v>2803636.2096123584</v>
      </c>
      <c r="D13" s="104">
        <v>3303807.0008629016</v>
      </c>
      <c r="E13" s="104">
        <v>2680177.364136833</v>
      </c>
      <c r="F13" s="104">
        <v>3368155.632175365</v>
      </c>
      <c r="G13" s="104">
        <v>2287904.206481021</v>
      </c>
      <c r="H13" s="104">
        <v>2585448.499783036</v>
      </c>
      <c r="I13" s="104">
        <v>2426751.639057095</v>
      </c>
      <c r="J13" s="104">
        <v>2362849.260657354</v>
      </c>
      <c r="K13" s="104">
        <v>1876752.649766408</v>
      </c>
      <c r="L13" s="104">
        <v>2775897.0377018447</v>
      </c>
      <c r="M13" s="104">
        <v>2747188.970066866</v>
      </c>
      <c r="N13" s="104">
        <v>3167650.8536166893</v>
      </c>
      <c r="O13" s="104">
        <v>1479437.283498552</v>
      </c>
      <c r="P13" s="104">
        <v>2330299.3606041395</v>
      </c>
      <c r="Q13" s="104">
        <v>2475064.463867531</v>
      </c>
      <c r="R13" s="104">
        <v>1283572.028564088</v>
      </c>
      <c r="S13" s="104">
        <v>2245486.154911073</v>
      </c>
      <c r="T13" s="104">
        <v>2300938.2897461876</v>
      </c>
      <c r="U13" s="104">
        <v>1899784.056893467</v>
      </c>
      <c r="V13" s="104">
        <v>1604523.7706582139</v>
      </c>
      <c r="W13" s="104">
        <v>2660036.709489538</v>
      </c>
      <c r="X13" s="104">
        <v>2637963.78119735</v>
      </c>
      <c r="Y13" s="104">
        <v>2904196.665134989</v>
      </c>
      <c r="Z13" s="104">
        <v>1462454.8467978626</v>
      </c>
      <c r="AA13" s="104">
        <v>2040462.8737946698</v>
      </c>
      <c r="AB13" s="104">
        <v>1480247.6752087944</v>
      </c>
      <c r="AC13" s="104">
        <v>1003483.1115099674</v>
      </c>
      <c r="AD13" s="104">
        <v>1658147.7118039564</v>
      </c>
      <c r="AE13" s="104">
        <v>2246084.542399119</v>
      </c>
      <c r="AF13" s="104">
        <v>1757049.1145994943</v>
      </c>
      <c r="AG13" s="104">
        <v>2028679.1357459938</v>
      </c>
      <c r="AH13" s="104">
        <v>1796322.1483723684</v>
      </c>
      <c r="AI13" s="104">
        <v>2733354.0851112227</v>
      </c>
      <c r="AJ13" s="104">
        <v>1610925.9309171792</v>
      </c>
      <c r="AK13" s="104">
        <v>597759.9665027099</v>
      </c>
      <c r="AL13" s="104">
        <v>670089.4762847547</v>
      </c>
      <c r="AM13" s="104">
        <v>957845.71130168</v>
      </c>
      <c r="AN13" s="104">
        <v>1967843.3572722557</v>
      </c>
      <c r="AO13" s="104">
        <v>333497.3257501836</v>
      </c>
      <c r="AP13" s="104">
        <v>1495778.049011582</v>
      </c>
      <c r="AQ13" s="104"/>
      <c r="AR13" s="101">
        <f t="shared" si="1"/>
        <v>-1096597.825</v>
      </c>
      <c r="AS13" s="102">
        <f t="shared" si="3"/>
        <v>-0.4230088067</v>
      </c>
      <c r="AT13" s="2"/>
      <c r="AU13" s="2"/>
      <c r="AV13" s="2"/>
    </row>
    <row r="14" ht="15.75" customHeight="1">
      <c r="A14" s="21" t="s">
        <v>34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1">
        <f t="shared" si="1"/>
        <v>0</v>
      </c>
      <c r="AS14" s="102" t="s">
        <v>78</v>
      </c>
      <c r="AT14" s="2"/>
      <c r="AU14" s="2"/>
      <c r="AV14" s="2"/>
    </row>
    <row r="15" ht="15.75" customHeight="1">
      <c r="A15" s="21" t="s">
        <v>36</v>
      </c>
      <c r="B15" s="104">
        <v>1385451.0086246033</v>
      </c>
      <c r="C15" s="104">
        <v>3024513.7786141075</v>
      </c>
      <c r="D15" s="104">
        <v>2351588.9993644888</v>
      </c>
      <c r="E15" s="104">
        <v>1378169.3396132332</v>
      </c>
      <c r="F15" s="104">
        <v>1377557.2809974712</v>
      </c>
      <c r="G15" s="104">
        <v>3615805.6792195765</v>
      </c>
      <c r="H15" s="104">
        <v>2230124.127628005</v>
      </c>
      <c r="I15" s="104">
        <v>2704863.7180475835</v>
      </c>
      <c r="J15" s="104">
        <v>2907319.3322182214</v>
      </c>
      <c r="K15" s="104">
        <v>4581526.458925736</v>
      </c>
      <c r="L15" s="104">
        <v>2528984.87131068</v>
      </c>
      <c r="M15" s="104">
        <v>3342061.573876255</v>
      </c>
      <c r="N15" s="104">
        <v>2548514.7154765157</v>
      </c>
      <c r="O15" s="104">
        <v>4718530.75092923</v>
      </c>
      <c r="P15" s="104">
        <v>3766043.027617358</v>
      </c>
      <c r="Q15" s="104">
        <v>3600966.489576462</v>
      </c>
      <c r="R15" s="104">
        <v>5243054.428253854</v>
      </c>
      <c r="S15" s="104">
        <v>3839907.823201568</v>
      </c>
      <c r="T15" s="104">
        <v>4037452.388688048</v>
      </c>
      <c r="U15" s="104">
        <v>4599292.551920734</v>
      </c>
      <c r="V15" s="104">
        <v>4853076.199207369</v>
      </c>
      <c r="W15" s="104">
        <v>3054394.83410738</v>
      </c>
      <c r="X15" s="104">
        <v>3068213.020273987</v>
      </c>
      <c r="Y15" s="104">
        <v>3055379.92800947</v>
      </c>
      <c r="Z15" s="104">
        <v>5239083.706575629</v>
      </c>
      <c r="AA15" s="104">
        <v>4357606.358569502</v>
      </c>
      <c r="AB15" s="104">
        <v>3877496.1897370038</v>
      </c>
      <c r="AC15" s="104">
        <v>5750945.296390188</v>
      </c>
      <c r="AD15" s="104">
        <v>4819565.359849212</v>
      </c>
      <c r="AE15" s="104">
        <v>3320434.555759135</v>
      </c>
      <c r="AF15" s="104">
        <v>4568863.878537978</v>
      </c>
      <c r="AG15" s="104">
        <v>4177019.351408519</v>
      </c>
      <c r="AH15" s="104">
        <v>4484084.51515467</v>
      </c>
      <c r="AI15" s="104">
        <v>2647045.331354427</v>
      </c>
      <c r="AJ15" s="104">
        <v>4872648.20653679</v>
      </c>
      <c r="AK15" s="104">
        <v>6308623.604364652</v>
      </c>
      <c r="AL15" s="104">
        <v>6191349.43567895</v>
      </c>
      <c r="AM15" s="104">
        <v>5673164.985474835</v>
      </c>
      <c r="AN15" s="104">
        <v>4379381.396256282</v>
      </c>
      <c r="AO15" s="104">
        <v>6479034.160186037</v>
      </c>
      <c r="AP15" s="104">
        <v>5005375.479688185</v>
      </c>
      <c r="AQ15" s="104"/>
      <c r="AR15" s="101">
        <f t="shared" si="1"/>
        <v>3619924.471</v>
      </c>
      <c r="AS15" s="102">
        <f>AR15/B15</f>
        <v>2.612813047</v>
      </c>
      <c r="AT15" s="2"/>
      <c r="AU15" s="2"/>
      <c r="AV15" s="2"/>
    </row>
    <row r="16" ht="15.75" customHeight="1">
      <c r="A16" s="21" t="s">
        <v>37</v>
      </c>
      <c r="B16" s="104">
        <v>0.0</v>
      </c>
      <c r="C16" s="104">
        <v>0.0</v>
      </c>
      <c r="D16" s="104">
        <v>0.0</v>
      </c>
      <c r="E16" s="104">
        <v>0.0</v>
      </c>
      <c r="F16" s="104">
        <v>0.0</v>
      </c>
      <c r="G16" s="104">
        <v>0.0</v>
      </c>
      <c r="H16" s="104">
        <v>0.08494864501953125</v>
      </c>
      <c r="I16" s="104">
        <v>0.0</v>
      </c>
      <c r="J16" s="104">
        <v>0.0</v>
      </c>
      <c r="K16" s="104">
        <v>0.0</v>
      </c>
      <c r="L16" s="104">
        <v>0.08509427490234375</v>
      </c>
      <c r="M16" s="104">
        <v>0.08494722290039063</v>
      </c>
      <c r="N16" s="104">
        <v>0.0</v>
      </c>
      <c r="O16" s="104">
        <v>0.08494722290039063</v>
      </c>
      <c r="P16" s="104">
        <v>0.0</v>
      </c>
      <c r="Q16" s="104">
        <v>0.0</v>
      </c>
      <c r="R16" s="104">
        <v>0.0</v>
      </c>
      <c r="S16" s="104">
        <v>0.0</v>
      </c>
      <c r="T16" s="104">
        <v>0.0</v>
      </c>
      <c r="U16" s="104">
        <v>0.0</v>
      </c>
      <c r="V16" s="104">
        <v>0.0</v>
      </c>
      <c r="W16" s="104">
        <v>0.0</v>
      </c>
      <c r="X16" s="104">
        <v>0.340311376953125</v>
      </c>
      <c r="Y16" s="104">
        <v>0.0</v>
      </c>
      <c r="Z16" s="104">
        <v>0.0</v>
      </c>
      <c r="AA16" s="104">
        <v>0.0</v>
      </c>
      <c r="AB16" s="104">
        <v>0.08507564086914063</v>
      </c>
      <c r="AC16" s="104">
        <v>0.0</v>
      </c>
      <c r="AD16" s="104">
        <v>0.0</v>
      </c>
      <c r="AE16" s="104">
        <v>0.08507564086914063</v>
      </c>
      <c r="AF16" s="104">
        <v>0.08507564086914063</v>
      </c>
      <c r="AG16" s="104">
        <v>0.0</v>
      </c>
      <c r="AH16" s="104">
        <v>0.0</v>
      </c>
      <c r="AI16" s="104">
        <v>0.08507564086914063</v>
      </c>
      <c r="AJ16" s="104">
        <v>0.0</v>
      </c>
      <c r="AK16" s="104">
        <v>0.0</v>
      </c>
      <c r="AL16" s="104">
        <v>0.0</v>
      </c>
      <c r="AM16" s="104">
        <v>0.0</v>
      </c>
      <c r="AN16" s="104">
        <v>0.0</v>
      </c>
      <c r="AO16" s="104">
        <v>0.0</v>
      </c>
      <c r="AP16" s="104">
        <v>0.0</v>
      </c>
      <c r="AQ16" s="104"/>
      <c r="AR16" s="101">
        <f t="shared" si="1"/>
        <v>0</v>
      </c>
      <c r="AS16" s="102" t="s">
        <v>78</v>
      </c>
      <c r="AT16" s="2"/>
      <c r="AU16" s="2"/>
      <c r="AV16" s="2"/>
    </row>
    <row r="17" ht="15.75" customHeight="1">
      <c r="A17" s="103" t="s">
        <v>38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1">
        <f t="shared" si="1"/>
        <v>0</v>
      </c>
      <c r="AS17" s="102" t="s">
        <v>78</v>
      </c>
      <c r="AT17" s="2"/>
      <c r="AU17" s="2"/>
      <c r="AV17" s="2"/>
    </row>
    <row r="18" ht="15.75" customHeight="1">
      <c r="A18" s="21" t="s">
        <v>39</v>
      </c>
      <c r="B18" s="104">
        <v>3207.992127185007</v>
      </c>
      <c r="C18" s="104">
        <v>3207.992127185007</v>
      </c>
      <c r="D18" s="104">
        <v>3207.992127185007</v>
      </c>
      <c r="E18" s="104">
        <v>3207.992127185007</v>
      </c>
      <c r="F18" s="104">
        <v>3207.992127185007</v>
      </c>
      <c r="G18" s="104">
        <v>3207.992127185007</v>
      </c>
      <c r="H18" s="104">
        <v>3207.992127185007</v>
      </c>
      <c r="I18" s="104">
        <v>3207.992127185007</v>
      </c>
      <c r="J18" s="104">
        <v>3207.992127185007</v>
      </c>
      <c r="K18" s="104">
        <v>3207.992127185007</v>
      </c>
      <c r="L18" s="104">
        <v>3207.992127185007</v>
      </c>
      <c r="M18" s="104">
        <v>3207.992127185007</v>
      </c>
      <c r="N18" s="104">
        <v>3207.992127185007</v>
      </c>
      <c r="O18" s="104">
        <v>3207.992127185007</v>
      </c>
      <c r="P18" s="104">
        <v>3207.992127185007</v>
      </c>
      <c r="Q18" s="104">
        <v>3207.992127185007</v>
      </c>
      <c r="R18" s="104">
        <v>3208.077241320749</v>
      </c>
      <c r="S18" s="104">
        <v>3207.992127185007</v>
      </c>
      <c r="T18" s="104">
        <v>3207.992127185007</v>
      </c>
      <c r="U18" s="104">
        <v>3207.992127185007</v>
      </c>
      <c r="V18" s="104">
        <v>3207.992127185007</v>
      </c>
      <c r="W18" s="104">
        <v>3207.992127185007</v>
      </c>
      <c r="X18" s="104">
        <v>3208.07724132075</v>
      </c>
      <c r="Y18" s="104">
        <v>3208.247469592234</v>
      </c>
      <c r="Z18" s="104">
        <v>3208.247469592234</v>
      </c>
      <c r="AA18" s="104">
        <v>3208.162355456492</v>
      </c>
      <c r="AB18" s="104">
        <v>3208.162355456492</v>
      </c>
      <c r="AC18" s="104">
        <v>3208.247469592235</v>
      </c>
      <c r="AD18" s="104">
        <v>3208.3325837279763</v>
      </c>
      <c r="AE18" s="104">
        <v>3208.3325837279763</v>
      </c>
      <c r="AF18" s="104">
        <v>3208.3325837279763</v>
      </c>
      <c r="AG18" s="104">
        <v>3208.3325837279763</v>
      </c>
      <c r="AH18" s="104">
        <v>3208.3325837279763</v>
      </c>
      <c r="AI18" s="104">
        <v>3208.162355456492</v>
      </c>
      <c r="AJ18" s="104">
        <v>3207.992127185007</v>
      </c>
      <c r="AK18" s="104">
        <v>3207.8219028502904</v>
      </c>
      <c r="AL18" s="104">
        <v>3207.8219028502904</v>
      </c>
      <c r="AM18" s="104">
        <v>3207.8219028502904</v>
      </c>
      <c r="AN18" s="104">
        <v>3207.8219028502904</v>
      </c>
      <c r="AO18" s="104">
        <v>3207.8219028502904</v>
      </c>
      <c r="AP18" s="104">
        <v>3207.8219028502904</v>
      </c>
      <c r="AQ18" s="104"/>
      <c r="AR18" s="101">
        <f t="shared" si="1"/>
        <v>-0.1702243347</v>
      </c>
      <c r="AS18" s="102">
        <f>AR18/B18</f>
        <v>-0.0000530625787</v>
      </c>
      <c r="AT18" s="2"/>
      <c r="AU18" s="2"/>
      <c r="AV18" s="2"/>
    </row>
    <row r="19" ht="15.75" customHeight="1">
      <c r="A19" s="21" t="s">
        <v>40</v>
      </c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1">
        <f t="shared" si="1"/>
        <v>0</v>
      </c>
      <c r="AS19" s="102" t="s">
        <v>78</v>
      </c>
      <c r="AT19" s="2"/>
      <c r="AU19" s="2"/>
      <c r="AV19" s="2"/>
    </row>
    <row r="20" ht="15.75" customHeight="1">
      <c r="A20" s="100" t="s">
        <v>42</v>
      </c>
      <c r="B20" s="95">
        <v>269924.3998793823</v>
      </c>
      <c r="C20" s="95">
        <v>309898.17358256294</v>
      </c>
      <c r="D20" s="95">
        <v>337857.18449554325</v>
      </c>
      <c r="E20" s="95">
        <v>370643.60635082185</v>
      </c>
      <c r="F20" s="95">
        <v>410251.0744538515</v>
      </c>
      <c r="G20" s="95">
        <v>448358.88022590964</v>
      </c>
      <c r="H20" s="95">
        <v>490252.4441301292</v>
      </c>
      <c r="I20" s="95">
        <v>548107.2616408837</v>
      </c>
      <c r="J20" s="95">
        <v>606828.9052044629</v>
      </c>
      <c r="K20" s="95">
        <v>663953.5860198329</v>
      </c>
      <c r="L20" s="95">
        <v>736536.2372142529</v>
      </c>
      <c r="M20" s="95">
        <v>809873.0867311615</v>
      </c>
      <c r="N20" s="95">
        <v>879902.0036241354</v>
      </c>
      <c r="O20" s="95">
        <v>963076.974291533</v>
      </c>
      <c r="P20" s="95">
        <v>1057924.2753767075</v>
      </c>
      <c r="Q20" s="95">
        <v>1117430.9821849193</v>
      </c>
      <c r="R20" s="95">
        <v>1173231.1691283751</v>
      </c>
      <c r="S20" s="95">
        <v>1240159.5491071371</v>
      </c>
      <c r="T20" s="95">
        <v>1323458.8212162852</v>
      </c>
      <c r="U20" s="95">
        <v>1382674.1594589797</v>
      </c>
      <c r="V20" s="95">
        <v>1429063.2390979899</v>
      </c>
      <c r="W20" s="95">
        <v>1462998.752343266</v>
      </c>
      <c r="X20" s="95">
        <v>1495097.0176754373</v>
      </c>
      <c r="Y20" s="95">
        <v>1527517.788082852</v>
      </c>
      <c r="Z20" s="95">
        <v>1565982.0230416146</v>
      </c>
      <c r="AA20" s="95">
        <v>1592270.9135947002</v>
      </c>
      <c r="AB20" s="95">
        <v>1616934.5519948038</v>
      </c>
      <c r="AC20" s="95">
        <v>1642051.6097196594</v>
      </c>
      <c r="AD20" s="95">
        <v>1662483.7837451748</v>
      </c>
      <c r="AE20" s="95">
        <v>1673338.303138448</v>
      </c>
      <c r="AF20" s="95">
        <v>1687340.3276483647</v>
      </c>
      <c r="AG20" s="95">
        <v>1713886.2637396515</v>
      </c>
      <c r="AH20" s="95">
        <v>1730198.4412754276</v>
      </c>
      <c r="AI20" s="95">
        <v>1735889.01264412</v>
      </c>
      <c r="AJ20" s="95">
        <v>1788263.0665682561</v>
      </c>
      <c r="AK20" s="95">
        <v>1852667.8571621433</v>
      </c>
      <c r="AL20" s="95">
        <v>1919776.8363964902</v>
      </c>
      <c r="AM20" s="100">
        <v>1987893.840569031</v>
      </c>
      <c r="AN20" s="100">
        <v>2076042.6529523272</v>
      </c>
      <c r="AO20" s="100">
        <v>2154168.997043117</v>
      </c>
      <c r="AP20" s="100">
        <v>2192160.745313403</v>
      </c>
      <c r="AQ20" s="21"/>
      <c r="AR20" s="101">
        <f t="shared" si="1"/>
        <v>1922236.345</v>
      </c>
      <c r="AS20" s="102">
        <f t="shared" ref="AS20:AS25" si="4">AR20/B20</f>
        <v>7.121387864</v>
      </c>
      <c r="AT20" s="121"/>
      <c r="AU20" s="2"/>
      <c r="AV20" s="2"/>
    </row>
    <row r="21" ht="15.75" customHeight="1">
      <c r="A21" s="103" t="s">
        <v>43</v>
      </c>
      <c r="B21" s="104">
        <v>241046.05478524158</v>
      </c>
      <c r="C21" s="104">
        <v>278104.7368258857</v>
      </c>
      <c r="D21" s="104">
        <v>308527.6368409839</v>
      </c>
      <c r="E21" s="104">
        <v>343913.16208968894</v>
      </c>
      <c r="F21" s="104">
        <v>378926.4197558476</v>
      </c>
      <c r="G21" s="104">
        <v>417608.3835288334</v>
      </c>
      <c r="H21" s="104">
        <v>459094.3474462792</v>
      </c>
      <c r="I21" s="104">
        <v>513964.87980888307</v>
      </c>
      <c r="J21" s="104">
        <v>571242.7378517285</v>
      </c>
      <c r="K21" s="104">
        <v>623869.3090163108</v>
      </c>
      <c r="L21" s="104">
        <v>690656.5677156746</v>
      </c>
      <c r="M21" s="104">
        <v>756770.1907585899</v>
      </c>
      <c r="N21" s="104">
        <v>818704.0122921524</v>
      </c>
      <c r="O21" s="104">
        <v>897195.8656508839</v>
      </c>
      <c r="P21" s="104">
        <v>988578.8392692979</v>
      </c>
      <c r="Q21" s="104">
        <v>1048944.7125313422</v>
      </c>
      <c r="R21" s="104">
        <v>1107869.668401086</v>
      </c>
      <c r="S21" s="104">
        <v>1173154.0917644547</v>
      </c>
      <c r="T21" s="104">
        <v>1263584.053277473</v>
      </c>
      <c r="U21" s="104">
        <v>1322220.6482461863</v>
      </c>
      <c r="V21" s="104">
        <v>1368566.502900919</v>
      </c>
      <c r="W21" s="104">
        <v>1400363.6023693825</v>
      </c>
      <c r="X21" s="104">
        <v>1432464.0678933016</v>
      </c>
      <c r="Y21" s="104">
        <v>1466365.534824801</v>
      </c>
      <c r="Z21" s="104">
        <v>1503948.9650665107</v>
      </c>
      <c r="AA21" s="104">
        <v>1534696.2447949927</v>
      </c>
      <c r="AB21" s="104">
        <v>1562250.3660671362</v>
      </c>
      <c r="AC21" s="104">
        <v>1589729.6573184321</v>
      </c>
      <c r="AD21" s="104">
        <v>1604605.5156805872</v>
      </c>
      <c r="AE21" s="104">
        <v>1612938.441305971</v>
      </c>
      <c r="AF21" s="104">
        <v>1623568.8952893005</v>
      </c>
      <c r="AG21" s="104">
        <v>1644659.3446936305</v>
      </c>
      <c r="AH21" s="104">
        <v>1659388.7210492063</v>
      </c>
      <c r="AI21" s="104">
        <v>1667814.9259664281</v>
      </c>
      <c r="AJ21" s="104">
        <v>1717586.7967667421</v>
      </c>
      <c r="AK21" s="104">
        <v>1783967.3072334565</v>
      </c>
      <c r="AL21" s="104">
        <v>1848254.8606479303</v>
      </c>
      <c r="AM21" s="104">
        <v>1911114.0483644349</v>
      </c>
      <c r="AN21" s="104">
        <v>1989752.4223289266</v>
      </c>
      <c r="AO21" s="104">
        <v>2084419.7785157</v>
      </c>
      <c r="AP21" s="104">
        <v>2115748.1314389156</v>
      </c>
      <c r="AQ21" s="104"/>
      <c r="AR21" s="101">
        <f t="shared" si="1"/>
        <v>1874702.077</v>
      </c>
      <c r="AS21" s="102">
        <f t="shared" si="4"/>
        <v>7.777360548</v>
      </c>
      <c r="AT21" s="30"/>
      <c r="AU21" s="2"/>
      <c r="AV21" s="2"/>
    </row>
    <row r="22" ht="15.75" customHeight="1">
      <c r="A22" s="21" t="s">
        <v>44</v>
      </c>
      <c r="B22" s="104">
        <v>2406.044085528623</v>
      </c>
      <c r="C22" s="104">
        <v>2466.3205657592825</v>
      </c>
      <c r="D22" s="104">
        <v>2531.8696870544404</v>
      </c>
      <c r="E22" s="104">
        <v>2651.669594201645</v>
      </c>
      <c r="F22" s="104">
        <v>3152.7551088926048</v>
      </c>
      <c r="G22" s="104">
        <v>3284.461198565498</v>
      </c>
      <c r="H22" s="104">
        <v>3642.9131257017043</v>
      </c>
      <c r="I22" s="104">
        <v>5081.117779077141</v>
      </c>
      <c r="J22" s="104">
        <v>5336.750262530574</v>
      </c>
      <c r="K22" s="104">
        <v>6224.403760669233</v>
      </c>
      <c r="L22" s="104">
        <v>6450.948740405568</v>
      </c>
      <c r="M22" s="104">
        <v>6930.020540753575</v>
      </c>
      <c r="N22" s="104">
        <v>7182.254521703919</v>
      </c>
      <c r="O22" s="104">
        <v>7457.083982982922</v>
      </c>
      <c r="P22" s="104">
        <v>7405.409038091731</v>
      </c>
      <c r="Q22" s="104">
        <v>7862.52786110259</v>
      </c>
      <c r="R22" s="104">
        <v>7765.667664050408</v>
      </c>
      <c r="S22" s="104">
        <v>7664.095487750421</v>
      </c>
      <c r="T22" s="104">
        <v>7878.503020995897</v>
      </c>
      <c r="U22" s="104">
        <v>8346.319812188882</v>
      </c>
      <c r="V22" s="104">
        <v>8458.231678393877</v>
      </c>
      <c r="W22" s="104">
        <v>9323.554059265503</v>
      </c>
      <c r="X22" s="104">
        <v>10478.12470867961</v>
      </c>
      <c r="Y22" s="104">
        <v>11591.789411993668</v>
      </c>
      <c r="Z22" s="104">
        <v>12390.594434973398</v>
      </c>
      <c r="AA22" s="104">
        <v>12709.54584635038</v>
      </c>
      <c r="AB22" s="104">
        <v>11829.67310926551</v>
      </c>
      <c r="AC22" s="104">
        <v>11068.22037289471</v>
      </c>
      <c r="AD22" s="104">
        <v>11964.794329339864</v>
      </c>
      <c r="AE22" s="104">
        <v>11437.1055080203</v>
      </c>
      <c r="AF22" s="104">
        <v>10717.253270685234</v>
      </c>
      <c r="AG22" s="104">
        <v>11519.152277679876</v>
      </c>
      <c r="AH22" s="104">
        <v>11771.523752216077</v>
      </c>
      <c r="AI22" s="104">
        <v>10804.348675995048</v>
      </c>
      <c r="AJ22" s="104">
        <v>10122.315816559027</v>
      </c>
      <c r="AK22" s="104">
        <v>10042.30126819495</v>
      </c>
      <c r="AL22" s="104">
        <v>10100.495793988404</v>
      </c>
      <c r="AM22" s="104">
        <v>10060.464886676042</v>
      </c>
      <c r="AN22" s="104">
        <v>10040.279489697188</v>
      </c>
      <c r="AO22" s="104">
        <v>10142.109637518319</v>
      </c>
      <c r="AP22" s="104">
        <v>11156.489153241278</v>
      </c>
      <c r="AQ22" s="104"/>
      <c r="AR22" s="101">
        <f t="shared" si="1"/>
        <v>8750.445068</v>
      </c>
      <c r="AS22" s="102">
        <f t="shared" si="4"/>
        <v>3.636859823</v>
      </c>
      <c r="AT22" s="2"/>
      <c r="AU22" s="2"/>
      <c r="AV22" s="2"/>
    </row>
    <row r="23" ht="15.75" customHeight="1">
      <c r="A23" s="21" t="s">
        <v>45</v>
      </c>
      <c r="B23" s="104">
        <v>0.08507678833007813</v>
      </c>
      <c r="C23" s="104">
        <v>0.08507678833007813</v>
      </c>
      <c r="D23" s="104">
        <v>0.08507678833007813</v>
      </c>
      <c r="E23" s="104">
        <v>0.08507678833007813</v>
      </c>
      <c r="F23" s="104">
        <v>19.21153141479494</v>
      </c>
      <c r="G23" s="104">
        <v>19.64177265625002</v>
      </c>
      <c r="H23" s="104">
        <v>19.469676745605497</v>
      </c>
      <c r="I23" s="104">
        <v>10.755037066650397</v>
      </c>
      <c r="J23" s="104">
        <v>8.948016491699219</v>
      </c>
      <c r="K23" s="104">
        <v>8.001501159667969</v>
      </c>
      <c r="L23" s="104">
        <v>8.001501159667969</v>
      </c>
      <c r="M23" s="104">
        <v>15.409487274169923</v>
      </c>
      <c r="N23" s="104">
        <v>15.409487274169923</v>
      </c>
      <c r="O23" s="104">
        <v>15.495509143066409</v>
      </c>
      <c r="P23" s="104">
        <v>12.256262854003904</v>
      </c>
      <c r="Q23" s="104">
        <v>20.778917175292978</v>
      </c>
      <c r="R23" s="104">
        <v>23.800199426269533</v>
      </c>
      <c r="S23" s="104">
        <v>25.691313690185545</v>
      </c>
      <c r="T23" s="104">
        <v>25.347874456787103</v>
      </c>
      <c r="U23" s="104">
        <v>20.615235345458984</v>
      </c>
      <c r="V23" s="104">
        <v>33.429570031738294</v>
      </c>
      <c r="W23" s="104">
        <v>35.83263241577149</v>
      </c>
      <c r="X23" s="104">
        <v>34.541908917236334</v>
      </c>
      <c r="Y23" s="104">
        <v>36.65493959350585</v>
      </c>
      <c r="Z23" s="104">
        <v>49.711205535888666</v>
      </c>
      <c r="AA23" s="104">
        <v>55.499490557861336</v>
      </c>
      <c r="AB23" s="104">
        <v>75.36717697143555</v>
      </c>
      <c r="AC23" s="104">
        <v>82.14474484863283</v>
      </c>
      <c r="AD23" s="104">
        <v>123.00089647216771</v>
      </c>
      <c r="AE23" s="104">
        <v>132.27871286621064</v>
      </c>
      <c r="AF23" s="104">
        <v>176.48570806884737</v>
      </c>
      <c r="AG23" s="104">
        <v>184.7429455017087</v>
      </c>
      <c r="AH23" s="104">
        <v>195.58308436279268</v>
      </c>
      <c r="AI23" s="104">
        <v>207.04628399047837</v>
      </c>
      <c r="AJ23" s="104">
        <v>211.52779618530252</v>
      </c>
      <c r="AK23" s="104">
        <v>250.87987052612297</v>
      </c>
      <c r="AL23" s="104">
        <v>300.15374384155245</v>
      </c>
      <c r="AM23" s="104">
        <v>299.2999679687498</v>
      </c>
      <c r="AN23" s="104">
        <v>299.7380403686521</v>
      </c>
      <c r="AO23" s="104">
        <v>299.91024413452124</v>
      </c>
      <c r="AP23" s="104">
        <v>300.0823880737302</v>
      </c>
      <c r="AQ23" s="104"/>
      <c r="AR23" s="101">
        <f t="shared" si="1"/>
        <v>299.9973113</v>
      </c>
      <c r="AS23" s="102">
        <f t="shared" si="4"/>
        <v>3526.194596</v>
      </c>
      <c r="AT23" s="30"/>
      <c r="AU23" s="2"/>
      <c r="AV23" s="2"/>
    </row>
    <row r="24" ht="15.75" customHeight="1">
      <c r="A24" s="103" t="s">
        <v>47</v>
      </c>
      <c r="B24" s="104">
        <v>26472.215931823743</v>
      </c>
      <c r="C24" s="104">
        <v>29327.031114129662</v>
      </c>
      <c r="D24" s="104">
        <v>26797.592890716594</v>
      </c>
      <c r="E24" s="104">
        <v>24078.68959014293</v>
      </c>
      <c r="F24" s="104">
        <v>28152.688057696516</v>
      </c>
      <c r="G24" s="104">
        <v>27446.393725854527</v>
      </c>
      <c r="H24" s="104">
        <v>27495.71388140267</v>
      </c>
      <c r="I24" s="104">
        <v>29050.50901585692</v>
      </c>
      <c r="J24" s="104">
        <v>30240.46907371224</v>
      </c>
      <c r="K24" s="104">
        <v>33851.87174169317</v>
      </c>
      <c r="L24" s="104">
        <v>39420.719257013065</v>
      </c>
      <c r="M24" s="104">
        <v>46157.465944543816</v>
      </c>
      <c r="N24" s="104">
        <v>54000.32732300499</v>
      </c>
      <c r="O24" s="104">
        <v>58408.529148523136</v>
      </c>
      <c r="P24" s="104">
        <v>61927.77080646384</v>
      </c>
      <c r="Q24" s="104">
        <v>60602.96287529938</v>
      </c>
      <c r="R24" s="104">
        <v>57572.03286381254</v>
      </c>
      <c r="S24" s="104">
        <v>59315.67054124166</v>
      </c>
      <c r="T24" s="104">
        <v>51970.91704335939</v>
      </c>
      <c r="U24" s="104">
        <v>52086.57616525901</v>
      </c>
      <c r="V24" s="104">
        <v>52005.07494864518</v>
      </c>
      <c r="W24" s="104">
        <v>53275.7632822024</v>
      </c>
      <c r="X24" s="104">
        <v>52120.283164538894</v>
      </c>
      <c r="Y24" s="104">
        <v>49523.80890646389</v>
      </c>
      <c r="Z24" s="104">
        <v>49592.75233459482</v>
      </c>
      <c r="AA24" s="104">
        <v>44809.62346279909</v>
      </c>
      <c r="AB24" s="104">
        <v>42779.14564143066</v>
      </c>
      <c r="AC24" s="104">
        <v>41171.58728348385</v>
      </c>
      <c r="AD24" s="104">
        <v>45790.472838775575</v>
      </c>
      <c r="AE24" s="104">
        <v>48830.47761159051</v>
      </c>
      <c r="AF24" s="104">
        <v>52877.69338031017</v>
      </c>
      <c r="AG24" s="104">
        <v>57523.02382283947</v>
      </c>
      <c r="AH24" s="104">
        <v>58842.613389642436</v>
      </c>
      <c r="AI24" s="104">
        <v>57062.69171770648</v>
      </c>
      <c r="AJ24" s="104">
        <v>60342.42618876955</v>
      </c>
      <c r="AK24" s="104">
        <v>58407.368789965796</v>
      </c>
      <c r="AL24" s="104">
        <v>61121.32621073006</v>
      </c>
      <c r="AM24" s="104">
        <v>66420.02734995111</v>
      </c>
      <c r="AN24" s="104">
        <v>75950.21309333472</v>
      </c>
      <c r="AO24" s="104">
        <v>59307.198645763914</v>
      </c>
      <c r="AP24" s="104">
        <v>64956.0423331725</v>
      </c>
      <c r="AQ24" s="104"/>
      <c r="AR24" s="101">
        <f t="shared" si="1"/>
        <v>38483.8264</v>
      </c>
      <c r="AS24" s="102">
        <f t="shared" si="4"/>
        <v>1.45374405</v>
      </c>
      <c r="AT24" s="2"/>
      <c r="AU24" s="2"/>
      <c r="AV24" s="2"/>
    </row>
    <row r="25" ht="15.75" customHeight="1">
      <c r="A25" s="100" t="s">
        <v>48</v>
      </c>
      <c r="B25" s="95">
        <v>4132.334114318911</v>
      </c>
      <c r="C25" s="95">
        <v>4305.788850866822</v>
      </c>
      <c r="D25" s="95">
        <v>4373.237218805048</v>
      </c>
      <c r="E25" s="95">
        <v>4581.198613629221</v>
      </c>
      <c r="F25" s="95">
        <v>4753.654781311042</v>
      </c>
      <c r="G25" s="95">
        <v>4918.28981607667</v>
      </c>
      <c r="H25" s="95">
        <v>5108.545958294646</v>
      </c>
      <c r="I25" s="95">
        <v>5220.080190472387</v>
      </c>
      <c r="J25" s="95">
        <v>5393.068436035171</v>
      </c>
      <c r="K25" s="95">
        <v>5475.928767712433</v>
      </c>
      <c r="L25" s="95">
        <v>5627.742550653103</v>
      </c>
      <c r="M25" s="95">
        <v>5745.416147326665</v>
      </c>
      <c r="N25" s="95">
        <v>5814.014492364451</v>
      </c>
      <c r="O25" s="95">
        <v>5893.5973763060965</v>
      </c>
      <c r="P25" s="95">
        <v>6021.725883331243</v>
      </c>
      <c r="Q25" s="95">
        <v>6075.961704186968</v>
      </c>
      <c r="R25" s="95">
        <v>6154.780802038517</v>
      </c>
      <c r="S25" s="95">
        <v>6215.569176916383</v>
      </c>
      <c r="T25" s="95">
        <v>6288.189751739418</v>
      </c>
      <c r="U25" s="95">
        <v>6339.410970227015</v>
      </c>
      <c r="V25" s="95">
        <v>6411.505671936011</v>
      </c>
      <c r="W25" s="95">
        <v>6551.744067785629</v>
      </c>
      <c r="X25" s="95">
        <v>6656.025383435027</v>
      </c>
      <c r="Y25" s="95">
        <v>6776.188074493313</v>
      </c>
      <c r="Z25" s="95">
        <v>6889.271788482529</v>
      </c>
      <c r="AA25" s="95">
        <v>6974.639297448585</v>
      </c>
      <c r="AB25" s="95">
        <v>7077.705069006175</v>
      </c>
      <c r="AC25" s="95">
        <v>7127.557358569154</v>
      </c>
      <c r="AD25" s="95">
        <v>7230.02890902691</v>
      </c>
      <c r="AE25" s="95">
        <v>7354.691244695926</v>
      </c>
      <c r="AF25" s="95">
        <v>7454.534088183476</v>
      </c>
      <c r="AG25" s="95">
        <v>7502.869277697637</v>
      </c>
      <c r="AH25" s="95">
        <v>7553.858313635146</v>
      </c>
      <c r="AI25" s="95">
        <v>7633.141037231347</v>
      </c>
      <c r="AJ25" s="95">
        <v>7696.895978466695</v>
      </c>
      <c r="AK25" s="95">
        <v>7781.641213506995</v>
      </c>
      <c r="AL25" s="95">
        <v>7937.306509069727</v>
      </c>
      <c r="AM25" s="100">
        <v>8013.450918792621</v>
      </c>
      <c r="AN25" s="100">
        <v>8264.369292425421</v>
      </c>
      <c r="AO25" s="100">
        <v>8482.713200781138</v>
      </c>
      <c r="AP25" s="100">
        <v>8699.176637481532</v>
      </c>
      <c r="AQ25" s="21"/>
      <c r="AR25" s="101">
        <f t="shared" si="1"/>
        <v>4566.842523</v>
      </c>
      <c r="AS25" s="102">
        <f t="shared" si="4"/>
        <v>1.105148421</v>
      </c>
      <c r="AT25" s="121"/>
      <c r="AU25" s="2"/>
      <c r="AV25" s="2"/>
    </row>
    <row r="26" ht="15.75" customHeight="1">
      <c r="A26" s="103" t="s">
        <v>49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1">
        <f t="shared" si="1"/>
        <v>0</v>
      </c>
      <c r="AS26" s="102" t="s">
        <v>78</v>
      </c>
      <c r="AT26" s="2"/>
      <c r="AU26" s="2"/>
      <c r="AV26" s="2"/>
    </row>
    <row r="27" ht="15.75" customHeight="1">
      <c r="A27" s="103" t="s">
        <v>50</v>
      </c>
      <c r="B27" s="104">
        <v>3781.945799853579</v>
      </c>
      <c r="C27" s="104">
        <v>3946.848671167115</v>
      </c>
      <c r="D27" s="104">
        <v>3999.504354931757</v>
      </c>
      <c r="E27" s="104">
        <v>4176.49955260627</v>
      </c>
      <c r="F27" s="104">
        <v>4325.195902313238</v>
      </c>
      <c r="G27" s="104">
        <v>4488.578843145763</v>
      </c>
      <c r="H27" s="104">
        <v>4649.759890002408</v>
      </c>
      <c r="I27" s="104">
        <v>4729.332555816625</v>
      </c>
      <c r="J27" s="104">
        <v>4862.431266857925</v>
      </c>
      <c r="K27" s="104">
        <v>4908.365286682159</v>
      </c>
      <c r="L27" s="104">
        <v>5025.148772125272</v>
      </c>
      <c r="M27" s="104">
        <v>5105.259695074466</v>
      </c>
      <c r="N27" s="104">
        <v>5160.317230847117</v>
      </c>
      <c r="O27" s="104">
        <v>5214.554176898137</v>
      </c>
      <c r="P27" s="104">
        <v>5282.0536950683</v>
      </c>
      <c r="Q27" s="104">
        <v>5332.158923260451</v>
      </c>
      <c r="R27" s="104">
        <v>5383.339576397645</v>
      </c>
      <c r="S27" s="104">
        <v>5438.502854369994</v>
      </c>
      <c r="T27" s="104">
        <v>5493.614525494298</v>
      </c>
      <c r="U27" s="104">
        <v>5529.086843499717</v>
      </c>
      <c r="V27" s="104">
        <v>5558.03238284299</v>
      </c>
      <c r="W27" s="104">
        <v>5623.4469267577915</v>
      </c>
      <c r="X27" s="104">
        <v>5639.344155914274</v>
      </c>
      <c r="Y27" s="104">
        <v>5689.769521172996</v>
      </c>
      <c r="Z27" s="104">
        <v>5747.422551000844</v>
      </c>
      <c r="AA27" s="104">
        <v>5783.90091105944</v>
      </c>
      <c r="AB27" s="104">
        <v>5822.591268267666</v>
      </c>
      <c r="AC27" s="104">
        <v>5846.795605493002</v>
      </c>
      <c r="AD27" s="104">
        <v>5897.003822039625</v>
      </c>
      <c r="AE27" s="104">
        <v>5970.391797180058</v>
      </c>
      <c r="AF27" s="104">
        <v>6030.471645648075</v>
      </c>
      <c r="AG27" s="104">
        <v>6055.974197100713</v>
      </c>
      <c r="AH27" s="104">
        <v>6087.102043426406</v>
      </c>
      <c r="AI27" s="104">
        <v>6130.530119067287</v>
      </c>
      <c r="AJ27" s="104">
        <v>6160.109800512595</v>
      </c>
      <c r="AK27" s="104">
        <v>6209.873954821693</v>
      </c>
      <c r="AL27" s="104">
        <v>6248.41490581045</v>
      </c>
      <c r="AM27" s="104">
        <v>6267.529794201557</v>
      </c>
      <c r="AN27" s="104">
        <v>6300.665387908823</v>
      </c>
      <c r="AO27" s="104">
        <v>6326.833079284552</v>
      </c>
      <c r="AP27" s="104">
        <v>6421.841109393159</v>
      </c>
      <c r="AQ27" s="104"/>
      <c r="AR27" s="101">
        <f t="shared" si="1"/>
        <v>2639.89531</v>
      </c>
      <c r="AS27" s="102">
        <f t="shared" ref="AS27:AS28" si="5">AR27/B27</f>
        <v>0.6980256855</v>
      </c>
      <c r="AT27" s="2"/>
      <c r="AU27" s="2"/>
      <c r="AV27" s="2"/>
    </row>
    <row r="28" ht="15.75" customHeight="1">
      <c r="A28" s="21" t="s">
        <v>51</v>
      </c>
      <c r="B28" s="104">
        <v>73.77462010498054</v>
      </c>
      <c r="C28" s="104">
        <v>83.64169466552733</v>
      </c>
      <c r="D28" s="104">
        <v>97.83745794677733</v>
      </c>
      <c r="E28" s="104">
        <v>128.60441524658287</v>
      </c>
      <c r="F28" s="104">
        <v>146.32962543945436</v>
      </c>
      <c r="G28" s="104">
        <v>149.39793129272599</v>
      </c>
      <c r="H28" s="104">
        <v>167.7621759033216</v>
      </c>
      <c r="I28" s="104">
        <v>192.15295360107416</v>
      </c>
      <c r="J28" s="104">
        <v>222.50305974731455</v>
      </c>
      <c r="K28" s="104">
        <v>248.14431089477534</v>
      </c>
      <c r="L28" s="104">
        <v>268.34774699096494</v>
      </c>
      <c r="M28" s="104">
        <v>288.50788137817443</v>
      </c>
      <c r="N28" s="104">
        <v>289.5830750305184</v>
      </c>
      <c r="O28" s="104">
        <v>304.1053426635749</v>
      </c>
      <c r="P28" s="104">
        <v>354.3065527526884</v>
      </c>
      <c r="Q28" s="104">
        <v>351.61741371460255</v>
      </c>
      <c r="R28" s="104">
        <v>368.14672333374307</v>
      </c>
      <c r="S28" s="104">
        <v>370.89324002685834</v>
      </c>
      <c r="T28" s="104">
        <v>377.51782231445657</v>
      </c>
      <c r="U28" s="104">
        <v>381.860865521244</v>
      </c>
      <c r="V28" s="104">
        <v>414.12264048462276</v>
      </c>
      <c r="W28" s="104">
        <v>480.86155251465436</v>
      </c>
      <c r="X28" s="104">
        <v>542.549202178956</v>
      </c>
      <c r="Y28" s="104">
        <v>594.4983828918504</v>
      </c>
      <c r="Z28" s="104">
        <v>629.8397818054156</v>
      </c>
      <c r="AA28" s="104">
        <v>671.6120027648776</v>
      </c>
      <c r="AB28" s="104">
        <v>704.4018061889485</v>
      </c>
      <c r="AC28" s="104">
        <v>714.063306372051</v>
      </c>
      <c r="AD28" s="104">
        <v>731.40947680662</v>
      </c>
      <c r="AE28" s="104">
        <v>755.9924114990216</v>
      </c>
      <c r="AF28" s="104">
        <v>772.6628824401873</v>
      </c>
      <c r="AG28" s="104">
        <v>787.9615182678228</v>
      </c>
      <c r="AH28" s="104">
        <v>783.2132559448232</v>
      </c>
      <c r="AI28" s="104">
        <v>793.6076433349583</v>
      </c>
      <c r="AJ28" s="104">
        <v>787.2724247558582</v>
      </c>
      <c r="AK28" s="104">
        <v>790.3401065734863</v>
      </c>
      <c r="AL28" s="104">
        <v>795.3899978149407</v>
      </c>
      <c r="AM28" s="104">
        <v>814.3045545104987</v>
      </c>
      <c r="AN28" s="104">
        <v>1067.673521173091</v>
      </c>
      <c r="AO28" s="104">
        <v>1193.0075850097746</v>
      </c>
      <c r="AP28" s="104">
        <v>1286.4886437744121</v>
      </c>
      <c r="AQ28" s="104"/>
      <c r="AR28" s="101">
        <f t="shared" si="1"/>
        <v>1212.714024</v>
      </c>
      <c r="AS28" s="102">
        <f t="shared" si="5"/>
        <v>16.43809242</v>
      </c>
      <c r="AT28" s="2"/>
      <c r="AU28" s="2"/>
      <c r="AV28" s="2"/>
    </row>
    <row r="29" ht="15.75" customHeight="1">
      <c r="A29" s="21" t="s">
        <v>52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1">
        <f t="shared" si="1"/>
        <v>0</v>
      </c>
      <c r="AS29" s="102" t="s">
        <v>78</v>
      </c>
      <c r="AT29" s="2"/>
      <c r="AU29" s="2"/>
      <c r="AV29" s="2"/>
    </row>
    <row r="30" ht="15.75" customHeight="1">
      <c r="A30" s="21" t="s">
        <v>53</v>
      </c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1">
        <f t="shared" si="1"/>
        <v>0</v>
      </c>
      <c r="AS30" s="102" t="s">
        <v>78</v>
      </c>
    </row>
    <row r="31" ht="15.75" customHeight="1">
      <c r="A31" s="103" t="s">
        <v>54</v>
      </c>
      <c r="B31" s="104">
        <v>276.6136943603515</v>
      </c>
      <c r="C31" s="104">
        <v>275.29848503417963</v>
      </c>
      <c r="D31" s="104">
        <v>275.8954059265137</v>
      </c>
      <c r="E31" s="104">
        <v>276.09464577636743</v>
      </c>
      <c r="F31" s="104">
        <v>282.1292535583498</v>
      </c>
      <c r="G31" s="104">
        <v>280.3130416381839</v>
      </c>
      <c r="H31" s="104">
        <v>291.02389238891624</v>
      </c>
      <c r="I31" s="104">
        <v>298.5946810546876</v>
      </c>
      <c r="J31" s="104">
        <v>308.13410942993164</v>
      </c>
      <c r="K31" s="104">
        <v>319.4191701354981</v>
      </c>
      <c r="L31" s="104">
        <v>334.2460315368653</v>
      </c>
      <c r="M31" s="104">
        <v>351.64857087402345</v>
      </c>
      <c r="N31" s="104">
        <v>364.1141864868164</v>
      </c>
      <c r="O31" s="104">
        <v>374.9378567443848</v>
      </c>
      <c r="P31" s="104">
        <v>385.3656355102539</v>
      </c>
      <c r="Q31" s="104">
        <v>392.185367211914</v>
      </c>
      <c r="R31" s="104">
        <v>403.29450230712894</v>
      </c>
      <c r="S31" s="104">
        <v>406.1730825195312</v>
      </c>
      <c r="T31" s="104">
        <v>417.0574039306638</v>
      </c>
      <c r="U31" s="104">
        <v>428.4632612060544</v>
      </c>
      <c r="V31" s="104">
        <v>439.3506486083983</v>
      </c>
      <c r="W31" s="104">
        <v>447.43558851318346</v>
      </c>
      <c r="X31" s="104">
        <v>474.132025341797</v>
      </c>
      <c r="Y31" s="104">
        <v>491.9201704284669</v>
      </c>
      <c r="Z31" s="104">
        <v>512.0094556762696</v>
      </c>
      <c r="AA31" s="104">
        <v>519.1263836242676</v>
      </c>
      <c r="AB31" s="104">
        <v>550.7119945495606</v>
      </c>
      <c r="AC31" s="104">
        <v>566.6984467041013</v>
      </c>
      <c r="AD31" s="104">
        <v>601.6156101806644</v>
      </c>
      <c r="AE31" s="104">
        <v>628.3070360168456</v>
      </c>
      <c r="AF31" s="104">
        <v>651.3995600952146</v>
      </c>
      <c r="AG31" s="104">
        <v>658.9335623291013</v>
      </c>
      <c r="AH31" s="104">
        <v>683.543014263916</v>
      </c>
      <c r="AI31" s="104">
        <v>709.0032748291014</v>
      </c>
      <c r="AJ31" s="104">
        <v>749.5137531982421</v>
      </c>
      <c r="AK31" s="104">
        <v>781.4271521118159</v>
      </c>
      <c r="AL31" s="104">
        <v>893.5016054443369</v>
      </c>
      <c r="AM31" s="104">
        <v>931.6165700805664</v>
      </c>
      <c r="AN31" s="104">
        <v>896.030383343508</v>
      </c>
      <c r="AO31" s="104">
        <v>962.8725364868118</v>
      </c>
      <c r="AP31" s="104">
        <v>990.846884313961</v>
      </c>
      <c r="AQ31" s="104"/>
      <c r="AR31" s="101">
        <f t="shared" si="1"/>
        <v>714.23319</v>
      </c>
      <c r="AS31" s="102">
        <f t="shared" ref="AS31:AS33" si="6">AR31/B31</f>
        <v>2.582060124</v>
      </c>
    </row>
    <row r="32" ht="15.75" customHeight="1">
      <c r="A32" s="100" t="s">
        <v>55</v>
      </c>
      <c r="B32" s="95">
        <v>3791380.958826474</v>
      </c>
      <c r="C32" s="95">
        <v>1869290.220963228</v>
      </c>
      <c r="D32" s="95">
        <v>2199937.079709245</v>
      </c>
      <c r="E32" s="95">
        <v>3890812.6275670314</v>
      </c>
      <c r="F32" s="95">
        <v>3187205.459266452</v>
      </c>
      <c r="G32" s="95">
        <v>1905209.4785627145</v>
      </c>
      <c r="H32" s="95">
        <v>2981935.064182487</v>
      </c>
      <c r="I32" s="95">
        <v>2635473.696642153</v>
      </c>
      <c r="J32" s="95">
        <v>2519083.5647165617</v>
      </c>
      <c r="K32" s="95">
        <v>1263601.4267232202</v>
      </c>
      <c r="L32" s="95">
        <v>2478492.9590360797</v>
      </c>
      <c r="M32" s="95">
        <v>1689309.006650072</v>
      </c>
      <c r="N32" s="95">
        <v>2147545.6261467934</v>
      </c>
      <c r="O32" s="95">
        <v>1615183.4321843907</v>
      </c>
      <c r="P32" s="95">
        <v>1722352.0010863924</v>
      </c>
      <c r="Q32" s="95">
        <v>1735402.4210545798</v>
      </c>
      <c r="R32" s="95">
        <v>1296729.1977483043</v>
      </c>
      <c r="S32" s="95">
        <v>1784766.0953440922</v>
      </c>
      <c r="T32" s="95">
        <v>1497663.246296298</v>
      </c>
      <c r="U32" s="95">
        <v>1315618.4102231476</v>
      </c>
      <c r="V32" s="95">
        <v>1357737.90028597</v>
      </c>
      <c r="W32" s="95">
        <v>2154443.037388919</v>
      </c>
      <c r="X32" s="95">
        <v>2164958.6858251737</v>
      </c>
      <c r="Y32" s="95">
        <v>1886008.6264144727</v>
      </c>
      <c r="Z32" s="95">
        <v>1051589.5324148433</v>
      </c>
      <c r="AA32" s="95">
        <v>1277728.9041655038</v>
      </c>
      <c r="AB32" s="95">
        <v>2247456.855994431</v>
      </c>
      <c r="AC32" s="95">
        <v>808774.34923477</v>
      </c>
      <c r="AD32" s="95">
        <v>1141294.0429227133</v>
      </c>
      <c r="AE32" s="95">
        <v>2153617.4587086304</v>
      </c>
      <c r="AF32" s="95">
        <v>1422603.2543978887</v>
      </c>
      <c r="AG32" s="95">
        <v>1583970.2823198994</v>
      </c>
      <c r="AH32" s="95">
        <v>1513344.0744589015</v>
      </c>
      <c r="AI32" s="95">
        <v>2431748.0378265493</v>
      </c>
      <c r="AJ32" s="95">
        <v>1302668.029740999</v>
      </c>
      <c r="AK32" s="95">
        <v>742829.6752625605</v>
      </c>
      <c r="AL32" s="95">
        <v>663528.370324507</v>
      </c>
      <c r="AM32" s="100">
        <v>818488.6346632286</v>
      </c>
      <c r="AN32" s="100">
        <v>1039360.5424261177</v>
      </c>
      <c r="AO32" s="100">
        <v>558557.7877266902</v>
      </c>
      <c r="AP32" s="100">
        <v>870599.6358571721</v>
      </c>
      <c r="AQ32" s="21"/>
      <c r="AR32" s="101">
        <f t="shared" si="1"/>
        <v>-2920781.323</v>
      </c>
      <c r="AS32" s="102">
        <f t="shared" si="6"/>
        <v>-0.7703740022</v>
      </c>
    </row>
    <row r="33" ht="15.75" customHeight="1">
      <c r="A33" s="129" t="s">
        <v>56</v>
      </c>
      <c r="B33" s="104">
        <v>3791380.958826474</v>
      </c>
      <c r="C33" s="104">
        <v>1869290.220963228</v>
      </c>
      <c r="D33" s="104">
        <v>2199937.079709245</v>
      </c>
      <c r="E33" s="104">
        <v>3890812.6275670314</v>
      </c>
      <c r="F33" s="104">
        <v>3187205.459266452</v>
      </c>
      <c r="G33" s="104">
        <v>1905209.4785627145</v>
      </c>
      <c r="H33" s="104">
        <v>2981935.064182487</v>
      </c>
      <c r="I33" s="104">
        <v>2635473.696642153</v>
      </c>
      <c r="J33" s="104">
        <v>2519083.308074368</v>
      </c>
      <c r="K33" s="104">
        <v>1263601.1700810266</v>
      </c>
      <c r="L33" s="104">
        <v>2478492.9590360797</v>
      </c>
      <c r="M33" s="104">
        <v>1689309.006650072</v>
      </c>
      <c r="N33" s="104">
        <v>2147545.6261467934</v>
      </c>
      <c r="O33" s="104">
        <v>1615183.4321843907</v>
      </c>
      <c r="P33" s="104">
        <v>1722352.0010863924</v>
      </c>
      <c r="Q33" s="104">
        <v>1735402.4210545798</v>
      </c>
      <c r="R33" s="104">
        <v>1296729.1977483043</v>
      </c>
      <c r="S33" s="104">
        <v>1784766.0953440922</v>
      </c>
      <c r="T33" s="104">
        <v>1497663.246296298</v>
      </c>
      <c r="U33" s="104">
        <v>1315618.4102231476</v>
      </c>
      <c r="V33" s="104">
        <v>1357737.90028597</v>
      </c>
      <c r="W33" s="104">
        <v>2154443.037388919</v>
      </c>
      <c r="X33" s="104">
        <v>2164958.6858251737</v>
      </c>
      <c r="Y33" s="104">
        <v>1886008.6264144727</v>
      </c>
      <c r="Z33" s="104">
        <v>1051589.5324148433</v>
      </c>
      <c r="AA33" s="104">
        <v>1277728.9041655038</v>
      </c>
      <c r="AB33" s="104">
        <v>2247449.068618198</v>
      </c>
      <c r="AC33" s="104">
        <v>808753.8111103987</v>
      </c>
      <c r="AD33" s="104">
        <v>1141257.245412319</v>
      </c>
      <c r="AE33" s="104">
        <v>2153559.779825305</v>
      </c>
      <c r="AF33" s="104">
        <v>1422543.7789295292</v>
      </c>
      <c r="AG33" s="104">
        <v>1583907.887819875</v>
      </c>
      <c r="AH33" s="104">
        <v>1513282.6212447598</v>
      </c>
      <c r="AI33" s="104">
        <v>2431688.8191296803</v>
      </c>
      <c r="AJ33" s="104">
        <v>1302609.8374330462</v>
      </c>
      <c r="AK33" s="104">
        <v>742773.7934824275</v>
      </c>
      <c r="AL33" s="104">
        <v>663473.7721632461</v>
      </c>
      <c r="AM33" s="104">
        <v>818434.2932324731</v>
      </c>
      <c r="AN33" s="104">
        <v>1039305.0029401375</v>
      </c>
      <c r="AO33" s="104">
        <v>558502.2482419123</v>
      </c>
      <c r="AP33" s="104">
        <v>870545.294463825</v>
      </c>
      <c r="AQ33" s="104"/>
      <c r="AR33" s="101">
        <f t="shared" si="1"/>
        <v>-2920835.664</v>
      </c>
      <c r="AS33" s="102">
        <f t="shared" si="6"/>
        <v>-0.770388335</v>
      </c>
    </row>
    <row r="34" ht="15.75" customHeight="1">
      <c r="A34" s="129" t="s">
        <v>57</v>
      </c>
      <c r="B34" s="104">
        <v>0.0</v>
      </c>
      <c r="C34" s="104">
        <v>0.0</v>
      </c>
      <c r="D34" s="104">
        <v>0.0</v>
      </c>
      <c r="E34" s="104">
        <v>0.0</v>
      </c>
      <c r="F34" s="104">
        <v>0.0</v>
      </c>
      <c r="G34" s="104">
        <v>0.0</v>
      </c>
      <c r="H34" s="104">
        <v>0.0</v>
      </c>
      <c r="I34" s="104">
        <v>0.0</v>
      </c>
      <c r="J34" s="104">
        <v>0.2566421936035156</v>
      </c>
      <c r="K34" s="104">
        <v>0.2566421936035156</v>
      </c>
      <c r="L34" s="104">
        <v>0.0</v>
      </c>
      <c r="M34" s="104">
        <v>0.0</v>
      </c>
      <c r="N34" s="104">
        <v>0.0</v>
      </c>
      <c r="O34" s="104">
        <v>0.0</v>
      </c>
      <c r="P34" s="104">
        <v>0.0</v>
      </c>
      <c r="Q34" s="104">
        <v>0.0</v>
      </c>
      <c r="R34" s="104">
        <v>0.0</v>
      </c>
      <c r="S34" s="104">
        <v>0.0</v>
      </c>
      <c r="T34" s="104">
        <v>0.0</v>
      </c>
      <c r="U34" s="104">
        <v>0.0</v>
      </c>
      <c r="V34" s="104">
        <v>0.0</v>
      </c>
      <c r="W34" s="104">
        <v>0.0</v>
      </c>
      <c r="X34" s="104">
        <v>0.0</v>
      </c>
      <c r="Y34" s="104">
        <v>0.0</v>
      </c>
      <c r="Z34" s="104">
        <v>0.0</v>
      </c>
      <c r="AA34" s="104">
        <v>0.0</v>
      </c>
      <c r="AB34" s="104">
        <v>7.787376232910166</v>
      </c>
      <c r="AC34" s="104">
        <v>20.53812437133793</v>
      </c>
      <c r="AD34" s="104">
        <v>36.79751039428719</v>
      </c>
      <c r="AE34" s="104">
        <v>57.67888332519552</v>
      </c>
      <c r="AF34" s="104">
        <v>59.47546835937534</v>
      </c>
      <c r="AG34" s="104">
        <v>62.39450002441429</v>
      </c>
      <c r="AH34" s="104">
        <v>61.45321414184598</v>
      </c>
      <c r="AI34" s="104">
        <v>59.2186968688968</v>
      </c>
      <c r="AJ34" s="104">
        <v>58.19230795288113</v>
      </c>
      <c r="AK34" s="104">
        <v>55.88178013305684</v>
      </c>
      <c r="AL34" s="104">
        <v>54.59816126098658</v>
      </c>
      <c r="AM34" s="104">
        <v>54.34143075561552</v>
      </c>
      <c r="AN34" s="104">
        <v>55.53948598022482</v>
      </c>
      <c r="AO34" s="104">
        <v>55.53948477783224</v>
      </c>
      <c r="AP34" s="104">
        <v>54.3413933471682</v>
      </c>
      <c r="AQ34" s="104"/>
      <c r="AR34" s="101">
        <f t="shared" si="1"/>
        <v>54.34139335</v>
      </c>
      <c r="AS34" s="102" t="s">
        <v>78</v>
      </c>
    </row>
    <row r="35" ht="15.75" customHeight="1">
      <c r="A35" s="95" t="s">
        <v>58</v>
      </c>
      <c r="B35" s="95">
        <v>914.5641379882812</v>
      </c>
      <c r="C35" s="95">
        <v>898.4045140747073</v>
      </c>
      <c r="D35" s="95">
        <v>885.2937186279299</v>
      </c>
      <c r="E35" s="95">
        <v>853.7383912048341</v>
      </c>
      <c r="F35" s="95">
        <v>849.5987439819336</v>
      </c>
      <c r="G35" s="95">
        <v>844.9415407348632</v>
      </c>
      <c r="H35" s="95">
        <v>829.3386455688476</v>
      </c>
      <c r="I35" s="95">
        <v>801.2147773498536</v>
      </c>
      <c r="J35" s="95">
        <v>784.8209098022462</v>
      </c>
      <c r="K35" s="95">
        <v>741.8095910827637</v>
      </c>
      <c r="L35" s="95">
        <v>693.8833977966312</v>
      </c>
      <c r="M35" s="95">
        <v>669.5885543823242</v>
      </c>
      <c r="N35" s="95">
        <v>656.7278429626466</v>
      </c>
      <c r="O35" s="95">
        <v>633.8339711914061</v>
      </c>
      <c r="P35" s="95">
        <v>617.3127742980957</v>
      </c>
      <c r="Q35" s="95">
        <v>610.6185934997558</v>
      </c>
      <c r="R35" s="95">
        <v>568.2224388793943</v>
      </c>
      <c r="S35" s="95">
        <v>521.9621254943846</v>
      </c>
      <c r="T35" s="95">
        <v>486.9010004455566</v>
      </c>
      <c r="U35" s="95">
        <v>482.4538604675293</v>
      </c>
      <c r="V35" s="95">
        <v>469.90497615356435</v>
      </c>
      <c r="W35" s="95">
        <v>463.44638741455077</v>
      </c>
      <c r="X35" s="95">
        <v>459.7493677551269</v>
      </c>
      <c r="Y35" s="95">
        <v>439.38901033935554</v>
      </c>
      <c r="Z35" s="95">
        <v>415.2194692565918</v>
      </c>
      <c r="AA35" s="95">
        <v>404.2176057922365</v>
      </c>
      <c r="AB35" s="95">
        <v>404.8881139709473</v>
      </c>
      <c r="AC35" s="95">
        <v>396.912069580078</v>
      </c>
      <c r="AD35" s="95">
        <v>406.54268742675794</v>
      </c>
      <c r="AE35" s="95">
        <v>419.84474143066404</v>
      </c>
      <c r="AF35" s="95">
        <v>418.33654075317384</v>
      </c>
      <c r="AG35" s="95">
        <v>421.0954775573731</v>
      </c>
      <c r="AH35" s="95">
        <v>412.25397183227534</v>
      </c>
      <c r="AI35" s="95">
        <v>401.17093984985354</v>
      </c>
      <c r="AJ35" s="95">
        <v>383.1250459777832</v>
      </c>
      <c r="AK35" s="95">
        <v>377.6399924072266</v>
      </c>
      <c r="AL35" s="95">
        <v>372.31842163696285</v>
      </c>
      <c r="AM35" s="100">
        <v>368.27671815795895</v>
      </c>
      <c r="AN35" s="100">
        <v>358.4648046752929</v>
      </c>
      <c r="AO35" s="100">
        <v>346.54352336425785</v>
      </c>
      <c r="AP35" s="100">
        <v>334.23483043212894</v>
      </c>
      <c r="AQ35" s="21"/>
      <c r="AR35" s="101">
        <f t="shared" si="1"/>
        <v>-580.3293076</v>
      </c>
      <c r="AS35" s="102">
        <f t="shared" ref="AS35:AS36" si="8">AR35/B35</f>
        <v>-0.6345419457</v>
      </c>
    </row>
    <row r="36" ht="15.75" customHeight="1">
      <c r="A36" s="134" t="s">
        <v>59</v>
      </c>
      <c r="B36" s="136">
        <f t="shared" ref="B36:AP36" si="7">SUM(B5,B12,B20,B25,B32,B35)</f>
        <v>15093960.01</v>
      </c>
      <c r="C36" s="136">
        <f t="shared" si="7"/>
        <v>15093960.01</v>
      </c>
      <c r="D36" s="136">
        <f t="shared" si="7"/>
        <v>15093960.01</v>
      </c>
      <c r="E36" s="136">
        <f t="shared" si="7"/>
        <v>15093960.01</v>
      </c>
      <c r="F36" s="136">
        <f t="shared" si="7"/>
        <v>15093960.01</v>
      </c>
      <c r="G36" s="136">
        <f t="shared" si="7"/>
        <v>15093960.01</v>
      </c>
      <c r="H36" s="136">
        <f t="shared" si="7"/>
        <v>15093960.01</v>
      </c>
      <c r="I36" s="136">
        <f t="shared" si="7"/>
        <v>15093960.01</v>
      </c>
      <c r="J36" s="136">
        <f t="shared" si="7"/>
        <v>15093960.01</v>
      </c>
      <c r="K36" s="136">
        <f t="shared" si="7"/>
        <v>15093960.01</v>
      </c>
      <c r="L36" s="136">
        <f t="shared" si="7"/>
        <v>15093960.01</v>
      </c>
      <c r="M36" s="136">
        <f t="shared" si="7"/>
        <v>15093960.01</v>
      </c>
      <c r="N36" s="136">
        <f t="shared" si="7"/>
        <v>15093960.01</v>
      </c>
      <c r="O36" s="136">
        <f t="shared" si="7"/>
        <v>15093960.01</v>
      </c>
      <c r="P36" s="136">
        <f t="shared" si="7"/>
        <v>15093960.01</v>
      </c>
      <c r="Q36" s="136">
        <f t="shared" si="7"/>
        <v>15093960.01</v>
      </c>
      <c r="R36" s="136">
        <f t="shared" si="7"/>
        <v>15093960.01</v>
      </c>
      <c r="S36" s="136">
        <f t="shared" si="7"/>
        <v>15093960.01</v>
      </c>
      <c r="T36" s="136">
        <f t="shared" si="7"/>
        <v>15093960.01</v>
      </c>
      <c r="U36" s="136">
        <f t="shared" si="7"/>
        <v>15093960.01</v>
      </c>
      <c r="V36" s="136">
        <f t="shared" si="7"/>
        <v>15093960.01</v>
      </c>
      <c r="W36" s="136">
        <f t="shared" si="7"/>
        <v>15093960.01</v>
      </c>
      <c r="X36" s="136">
        <f t="shared" si="7"/>
        <v>15093960.01</v>
      </c>
      <c r="Y36" s="136">
        <f t="shared" si="7"/>
        <v>15093960.01</v>
      </c>
      <c r="Z36" s="136">
        <f t="shared" si="7"/>
        <v>15093960.01</v>
      </c>
      <c r="AA36" s="136">
        <f t="shared" si="7"/>
        <v>15093960.01</v>
      </c>
      <c r="AB36" s="136">
        <f t="shared" si="7"/>
        <v>15093960.01</v>
      </c>
      <c r="AC36" s="136">
        <f t="shared" si="7"/>
        <v>15093960.01</v>
      </c>
      <c r="AD36" s="136">
        <f t="shared" si="7"/>
        <v>15093960.01</v>
      </c>
      <c r="AE36" s="136">
        <f t="shared" si="7"/>
        <v>15093960.01</v>
      </c>
      <c r="AF36" s="136">
        <f t="shared" si="7"/>
        <v>15093960.01</v>
      </c>
      <c r="AG36" s="136">
        <f t="shared" si="7"/>
        <v>15093960.01</v>
      </c>
      <c r="AH36" s="136">
        <f t="shared" si="7"/>
        <v>15093960.01</v>
      </c>
      <c r="AI36" s="136">
        <f t="shared" si="7"/>
        <v>15093960.01</v>
      </c>
      <c r="AJ36" s="136">
        <f t="shared" si="7"/>
        <v>15093960.01</v>
      </c>
      <c r="AK36" s="136">
        <f t="shared" si="7"/>
        <v>15093960.01</v>
      </c>
      <c r="AL36" s="136">
        <f t="shared" si="7"/>
        <v>15093960.01</v>
      </c>
      <c r="AM36" s="136">
        <f t="shared" si="7"/>
        <v>15093960.01</v>
      </c>
      <c r="AN36" s="136">
        <f t="shared" si="7"/>
        <v>15093960.01</v>
      </c>
      <c r="AO36" s="136">
        <f t="shared" si="7"/>
        <v>15093960.01</v>
      </c>
      <c r="AP36" s="136">
        <f t="shared" si="7"/>
        <v>15093960.01</v>
      </c>
      <c r="AR36" s="101">
        <f t="shared" si="1"/>
        <v>-0.000002529472113</v>
      </c>
      <c r="AS36" s="102">
        <f t="shared" si="8"/>
        <v>0</v>
      </c>
    </row>
    <row r="37" ht="15.75" customHeight="1"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</row>
    <row r="38" ht="15.75" customHeight="1">
      <c r="B38" s="140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  <c r="AH38" s="141"/>
      <c r="AI38" s="141"/>
      <c r="AJ38" s="141"/>
      <c r="AK38" s="141"/>
      <c r="AL38" s="141"/>
      <c r="AM38" s="141"/>
      <c r="AN38" s="141"/>
      <c r="AO38" s="141"/>
      <c r="AR38" s="30"/>
    </row>
    <row r="39" ht="15.75" customHeight="1">
      <c r="B39" s="142"/>
      <c r="C39" s="141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</row>
    <row r="40" ht="15.75" customHeight="1"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R40" s="30"/>
    </row>
    <row r="41" ht="15.75" customHeight="1">
      <c r="B41" s="93">
        <v>1985.0</v>
      </c>
      <c r="C41" s="93">
        <v>1986.0</v>
      </c>
      <c r="D41" s="93">
        <v>1987.0</v>
      </c>
      <c r="E41" s="93">
        <v>1988.0</v>
      </c>
      <c r="F41" s="93">
        <v>1989.0</v>
      </c>
      <c r="G41" s="93">
        <v>1990.0</v>
      </c>
      <c r="H41" s="93">
        <v>1991.0</v>
      </c>
      <c r="I41" s="93">
        <v>1992.0</v>
      </c>
      <c r="J41" s="93">
        <v>1993.0</v>
      </c>
      <c r="K41" s="93">
        <v>1994.0</v>
      </c>
      <c r="L41" s="93">
        <v>1995.0</v>
      </c>
      <c r="M41" s="93">
        <v>1996.0</v>
      </c>
      <c r="N41" s="93">
        <v>1997.0</v>
      </c>
      <c r="O41" s="93">
        <v>1998.0</v>
      </c>
      <c r="P41" s="93">
        <v>1999.0</v>
      </c>
      <c r="Q41" s="93">
        <v>2000.0</v>
      </c>
      <c r="R41" s="93">
        <v>2001.0</v>
      </c>
      <c r="S41" s="93">
        <v>2002.0</v>
      </c>
      <c r="T41" s="93">
        <v>2003.0</v>
      </c>
      <c r="U41" s="93">
        <v>2004.0</v>
      </c>
      <c r="V41" s="93">
        <v>2005.0</v>
      </c>
      <c r="W41" s="93">
        <v>2006.0</v>
      </c>
      <c r="X41" s="93">
        <v>2007.0</v>
      </c>
      <c r="Y41" s="93">
        <v>2008.0</v>
      </c>
      <c r="Z41" s="93">
        <v>2009.0</v>
      </c>
      <c r="AA41" s="93">
        <v>2010.0</v>
      </c>
      <c r="AB41" s="93">
        <v>2011.0</v>
      </c>
      <c r="AC41" s="93">
        <v>2012.0</v>
      </c>
      <c r="AD41" s="93">
        <v>2013.0</v>
      </c>
      <c r="AE41" s="93">
        <v>2014.0</v>
      </c>
      <c r="AF41" s="93">
        <v>2015.0</v>
      </c>
      <c r="AG41" s="93">
        <v>2016.0</v>
      </c>
      <c r="AH41" s="93">
        <v>2017.0</v>
      </c>
      <c r="AI41" s="93">
        <v>2018.0</v>
      </c>
      <c r="AJ41" s="93">
        <v>2019.0</v>
      </c>
      <c r="AK41" s="93">
        <v>2020.0</v>
      </c>
      <c r="AL41" s="93">
        <v>2021.0</v>
      </c>
      <c r="AM41" s="93">
        <v>2022.0</v>
      </c>
      <c r="AN41" s="93">
        <v>2023.0</v>
      </c>
      <c r="AO41" s="93">
        <v>2024.0</v>
      </c>
      <c r="AP41" s="93">
        <v>2025.0</v>
      </c>
    </row>
    <row r="42" ht="15.75" customHeight="1">
      <c r="A42" s="2" t="s">
        <v>10</v>
      </c>
      <c r="B42" s="30">
        <f t="shared" ref="B42:AP42" si="9">B6</f>
        <v>2618572.43</v>
      </c>
      <c r="C42" s="30">
        <f t="shared" si="9"/>
        <v>2610064.111</v>
      </c>
      <c r="D42" s="30">
        <f t="shared" si="9"/>
        <v>2598834.559</v>
      </c>
      <c r="E42" s="30">
        <f t="shared" si="9"/>
        <v>2587519.544</v>
      </c>
      <c r="F42" s="30">
        <f t="shared" si="9"/>
        <v>2572936.657</v>
      </c>
      <c r="G42" s="30">
        <f t="shared" si="9"/>
        <v>2558509.811</v>
      </c>
      <c r="H42" s="30">
        <f t="shared" si="9"/>
        <v>2542214.007</v>
      </c>
      <c r="I42" s="30">
        <f t="shared" si="9"/>
        <v>2521267.388</v>
      </c>
      <c r="J42" s="30">
        <f t="shared" si="9"/>
        <v>2501918.825</v>
      </c>
      <c r="K42" s="30">
        <f t="shared" si="9"/>
        <v>2482601.06</v>
      </c>
      <c r="L42" s="30">
        <f t="shared" si="9"/>
        <v>2456913.527</v>
      </c>
      <c r="M42" s="30">
        <f t="shared" si="9"/>
        <v>2437498.497</v>
      </c>
      <c r="N42" s="30">
        <f t="shared" si="9"/>
        <v>2414157.841</v>
      </c>
      <c r="O42" s="30">
        <f t="shared" si="9"/>
        <v>2397468.143</v>
      </c>
      <c r="P42" s="30">
        <f t="shared" si="9"/>
        <v>2376248.775</v>
      </c>
      <c r="Q42" s="30">
        <f t="shared" si="9"/>
        <v>2360325.91</v>
      </c>
      <c r="R42" s="30">
        <f t="shared" si="9"/>
        <v>2344880.313</v>
      </c>
      <c r="S42" s="30">
        <f t="shared" si="9"/>
        <v>2330532.133</v>
      </c>
      <c r="T42" s="30">
        <f t="shared" si="9"/>
        <v>2310452.932</v>
      </c>
      <c r="U42" s="30">
        <f t="shared" si="9"/>
        <v>2295545.801</v>
      </c>
      <c r="V42" s="30">
        <f t="shared" si="9"/>
        <v>2279381.193</v>
      </c>
      <c r="W42" s="30">
        <f t="shared" si="9"/>
        <v>2264722.526</v>
      </c>
      <c r="X42" s="30">
        <f t="shared" si="9"/>
        <v>2256057.247</v>
      </c>
      <c r="Y42" s="30">
        <f t="shared" si="9"/>
        <v>2250827.878</v>
      </c>
      <c r="Z42" s="30">
        <f t="shared" si="9"/>
        <v>2245186.091</v>
      </c>
      <c r="AA42" s="30">
        <f t="shared" si="9"/>
        <v>2238578.15</v>
      </c>
      <c r="AB42" s="30">
        <f t="shared" si="9"/>
        <v>2232129.405</v>
      </c>
      <c r="AC42" s="30">
        <f t="shared" si="9"/>
        <v>2225805.597</v>
      </c>
      <c r="AD42" s="30">
        <f t="shared" si="9"/>
        <v>2216658.812</v>
      </c>
      <c r="AE42" s="30">
        <f t="shared" si="9"/>
        <v>2208617.563</v>
      </c>
      <c r="AF42" s="30">
        <f t="shared" si="9"/>
        <v>2202301.847</v>
      </c>
      <c r="AG42" s="30">
        <f t="shared" si="9"/>
        <v>2196033.638</v>
      </c>
      <c r="AH42" s="30">
        <f t="shared" si="9"/>
        <v>2191760.898</v>
      </c>
      <c r="AI42" s="30">
        <f t="shared" si="9"/>
        <v>2184812.434</v>
      </c>
      <c r="AJ42" s="30">
        <f t="shared" si="9"/>
        <v>2170134.255</v>
      </c>
      <c r="AK42" s="30">
        <f t="shared" si="9"/>
        <v>2154156.914</v>
      </c>
      <c r="AL42" s="30">
        <f t="shared" si="9"/>
        <v>2113519.104</v>
      </c>
      <c r="AM42" s="30">
        <f t="shared" si="9"/>
        <v>2095711.97</v>
      </c>
      <c r="AN42" s="30">
        <f t="shared" si="9"/>
        <v>2070986.365</v>
      </c>
      <c r="AO42" s="30">
        <f t="shared" si="9"/>
        <v>2037823.142</v>
      </c>
      <c r="AP42" s="30">
        <f t="shared" si="9"/>
        <v>2036256.416</v>
      </c>
    </row>
    <row r="43" ht="15.75" customHeight="1">
      <c r="A43" s="30" t="s">
        <v>111</v>
      </c>
      <c r="B43" s="30">
        <f t="shared" ref="B43:AP43" si="10">B7+B8</f>
        <v>4428000.445</v>
      </c>
      <c r="C43" s="30">
        <f t="shared" si="10"/>
        <v>4468145.327</v>
      </c>
      <c r="D43" s="30">
        <f t="shared" si="10"/>
        <v>4293468.66</v>
      </c>
      <c r="E43" s="30">
        <f t="shared" si="10"/>
        <v>4177994.596</v>
      </c>
      <c r="F43" s="30">
        <f t="shared" si="10"/>
        <v>4169042.657</v>
      </c>
      <c r="G43" s="30">
        <f t="shared" si="10"/>
        <v>4269200.728</v>
      </c>
      <c r="H43" s="30">
        <f t="shared" si="10"/>
        <v>4254839.902</v>
      </c>
      <c r="I43" s="30">
        <f t="shared" si="10"/>
        <v>4248267.016</v>
      </c>
      <c r="J43" s="30">
        <f t="shared" si="10"/>
        <v>4186574.238</v>
      </c>
      <c r="K43" s="30">
        <f t="shared" si="10"/>
        <v>4216099.095</v>
      </c>
      <c r="L43" s="30">
        <f t="shared" si="10"/>
        <v>4107605.671</v>
      </c>
      <c r="M43" s="30">
        <f t="shared" si="10"/>
        <v>4058405.79</v>
      </c>
      <c r="N43" s="30">
        <f t="shared" si="10"/>
        <v>3926510.233</v>
      </c>
      <c r="O43" s="30">
        <f t="shared" si="10"/>
        <v>3910527.915</v>
      </c>
      <c r="P43" s="30">
        <f t="shared" si="10"/>
        <v>3831245.536</v>
      </c>
      <c r="Q43" s="30">
        <f t="shared" si="10"/>
        <v>3794875.167</v>
      </c>
      <c r="R43" s="30">
        <f t="shared" si="10"/>
        <v>3742561.79</v>
      </c>
      <c r="S43" s="30">
        <f t="shared" si="10"/>
        <v>3643162.727</v>
      </c>
      <c r="T43" s="30">
        <f t="shared" si="10"/>
        <v>3614011.246</v>
      </c>
      <c r="U43" s="30">
        <f t="shared" si="10"/>
        <v>3591015.17</v>
      </c>
      <c r="V43" s="30">
        <f t="shared" si="10"/>
        <v>3560088.301</v>
      </c>
      <c r="W43" s="30">
        <f t="shared" si="10"/>
        <v>3487140.965</v>
      </c>
      <c r="X43" s="30">
        <f t="shared" si="10"/>
        <v>3461346.063</v>
      </c>
      <c r="Y43" s="30">
        <f t="shared" si="10"/>
        <v>3459605.296</v>
      </c>
      <c r="Z43" s="30">
        <f t="shared" si="10"/>
        <v>3519151.068</v>
      </c>
      <c r="AA43" s="30">
        <f t="shared" si="10"/>
        <v>3576725.787</v>
      </c>
      <c r="AB43" s="30">
        <f t="shared" si="10"/>
        <v>3629004.488</v>
      </c>
      <c r="AC43" s="30">
        <f t="shared" si="10"/>
        <v>3652167.326</v>
      </c>
      <c r="AD43" s="30">
        <f t="shared" si="10"/>
        <v>3584965.392</v>
      </c>
      <c r="AE43" s="30">
        <f t="shared" si="10"/>
        <v>3480884.63</v>
      </c>
      <c r="AF43" s="30">
        <f t="shared" si="10"/>
        <v>3444720.296</v>
      </c>
      <c r="AG43" s="30">
        <f t="shared" si="10"/>
        <v>3383239.038</v>
      </c>
      <c r="AH43" s="30">
        <f t="shared" si="10"/>
        <v>3367075.485</v>
      </c>
      <c r="AI43" s="30">
        <f t="shared" si="10"/>
        <v>3349868.547</v>
      </c>
      <c r="AJ43" s="30">
        <f t="shared" si="10"/>
        <v>3338032.504</v>
      </c>
      <c r="AK43" s="30">
        <f t="shared" si="10"/>
        <v>3426554.886</v>
      </c>
      <c r="AL43" s="30">
        <f t="shared" si="10"/>
        <v>3524179.337</v>
      </c>
      <c r="AM43" s="30">
        <f t="shared" si="10"/>
        <v>3549265.315</v>
      </c>
      <c r="AN43" s="30">
        <f t="shared" si="10"/>
        <v>3548515.037</v>
      </c>
      <c r="AO43" s="30">
        <f t="shared" si="10"/>
        <v>3518841.515</v>
      </c>
      <c r="AP43" s="30">
        <f t="shared" si="10"/>
        <v>3481548.447</v>
      </c>
    </row>
    <row r="44" ht="15.75" customHeight="1">
      <c r="A44" s="30" t="s">
        <v>112</v>
      </c>
      <c r="B44" s="30">
        <f t="shared" ref="B44:AP44" si="11">B13+B33</f>
        <v>6383756.833</v>
      </c>
      <c r="C44" s="30">
        <f t="shared" si="11"/>
        <v>4672926.431</v>
      </c>
      <c r="D44" s="30">
        <f t="shared" si="11"/>
        <v>5503744.081</v>
      </c>
      <c r="E44" s="30">
        <f t="shared" si="11"/>
        <v>6570989.992</v>
      </c>
      <c r="F44" s="30">
        <f t="shared" si="11"/>
        <v>6555361.091</v>
      </c>
      <c r="G44" s="30">
        <f t="shared" si="11"/>
        <v>4193113.685</v>
      </c>
      <c r="H44" s="30">
        <f t="shared" si="11"/>
        <v>5567383.564</v>
      </c>
      <c r="I44" s="30">
        <f t="shared" si="11"/>
        <v>5062225.336</v>
      </c>
      <c r="J44" s="30">
        <f t="shared" si="11"/>
        <v>4881932.569</v>
      </c>
      <c r="K44" s="30">
        <f t="shared" si="11"/>
        <v>3140353.82</v>
      </c>
      <c r="L44" s="30">
        <f t="shared" si="11"/>
        <v>5254389.997</v>
      </c>
      <c r="M44" s="30">
        <f t="shared" si="11"/>
        <v>4436497.977</v>
      </c>
      <c r="N44" s="30">
        <f t="shared" si="11"/>
        <v>5315196.48</v>
      </c>
      <c r="O44" s="30">
        <f t="shared" si="11"/>
        <v>3094620.716</v>
      </c>
      <c r="P44" s="30">
        <f t="shared" si="11"/>
        <v>4052651.362</v>
      </c>
      <c r="Q44" s="30">
        <f t="shared" si="11"/>
        <v>4210466.885</v>
      </c>
      <c r="R44" s="30">
        <f t="shared" si="11"/>
        <v>2580301.226</v>
      </c>
      <c r="S44" s="30">
        <f t="shared" si="11"/>
        <v>4030252.25</v>
      </c>
      <c r="T44" s="30">
        <f t="shared" si="11"/>
        <v>3798601.536</v>
      </c>
      <c r="U44" s="30">
        <f t="shared" si="11"/>
        <v>3215402.467</v>
      </c>
      <c r="V44" s="30">
        <f t="shared" si="11"/>
        <v>2962261.671</v>
      </c>
      <c r="W44" s="30">
        <f t="shared" si="11"/>
        <v>4814479.747</v>
      </c>
      <c r="X44" s="30">
        <f t="shared" si="11"/>
        <v>4802922.467</v>
      </c>
      <c r="Y44" s="30">
        <f t="shared" si="11"/>
        <v>4790205.292</v>
      </c>
      <c r="Z44" s="30">
        <f t="shared" si="11"/>
        <v>2514044.379</v>
      </c>
      <c r="AA44" s="30">
        <f t="shared" si="11"/>
        <v>3318191.778</v>
      </c>
      <c r="AB44" s="30">
        <f t="shared" si="11"/>
        <v>3727696.744</v>
      </c>
      <c r="AC44" s="30">
        <f t="shared" si="11"/>
        <v>1812236.923</v>
      </c>
      <c r="AD44" s="30">
        <f t="shared" si="11"/>
        <v>2799404.957</v>
      </c>
      <c r="AE44" s="30">
        <f t="shared" si="11"/>
        <v>4399644.322</v>
      </c>
      <c r="AF44" s="30">
        <f t="shared" si="11"/>
        <v>3179592.894</v>
      </c>
      <c r="AG44" s="30">
        <f t="shared" si="11"/>
        <v>3612587.024</v>
      </c>
      <c r="AH44" s="30">
        <f t="shared" si="11"/>
        <v>3309604.77</v>
      </c>
      <c r="AI44" s="30">
        <f t="shared" si="11"/>
        <v>5165042.904</v>
      </c>
      <c r="AJ44" s="30">
        <f t="shared" si="11"/>
        <v>2913535.768</v>
      </c>
      <c r="AK44" s="30">
        <f t="shared" si="11"/>
        <v>1340533.76</v>
      </c>
      <c r="AL44" s="30">
        <f t="shared" si="11"/>
        <v>1333563.248</v>
      </c>
      <c r="AM44" s="30">
        <f t="shared" si="11"/>
        <v>1776280.005</v>
      </c>
      <c r="AN44" s="30">
        <f t="shared" si="11"/>
        <v>3007148.36</v>
      </c>
      <c r="AO44" s="30">
        <f t="shared" si="11"/>
        <v>891999.574</v>
      </c>
      <c r="AP44" s="30">
        <f t="shared" si="11"/>
        <v>2366323.343</v>
      </c>
    </row>
    <row r="45" ht="15.75" customHeight="1">
      <c r="A45" s="30" t="s">
        <v>81</v>
      </c>
      <c r="B45" s="30">
        <f t="shared" ref="B45:AP45" si="12">B21</f>
        <v>241046.0548</v>
      </c>
      <c r="C45" s="30">
        <f t="shared" si="12"/>
        <v>278104.7368</v>
      </c>
      <c r="D45" s="30">
        <f t="shared" si="12"/>
        <v>308527.6368</v>
      </c>
      <c r="E45" s="30">
        <f t="shared" si="12"/>
        <v>343913.1621</v>
      </c>
      <c r="F45" s="30">
        <f t="shared" si="12"/>
        <v>378926.4198</v>
      </c>
      <c r="G45" s="30">
        <f t="shared" si="12"/>
        <v>417608.3835</v>
      </c>
      <c r="H45" s="30">
        <f t="shared" si="12"/>
        <v>459094.3474</v>
      </c>
      <c r="I45" s="30">
        <f t="shared" si="12"/>
        <v>513964.8798</v>
      </c>
      <c r="J45" s="30">
        <f t="shared" si="12"/>
        <v>571242.7379</v>
      </c>
      <c r="K45" s="30">
        <f t="shared" si="12"/>
        <v>623869.309</v>
      </c>
      <c r="L45" s="30">
        <f t="shared" si="12"/>
        <v>690656.5677</v>
      </c>
      <c r="M45" s="30">
        <f t="shared" si="12"/>
        <v>756770.1908</v>
      </c>
      <c r="N45" s="30">
        <f t="shared" si="12"/>
        <v>818704.0123</v>
      </c>
      <c r="O45" s="30">
        <f t="shared" si="12"/>
        <v>897195.8657</v>
      </c>
      <c r="P45" s="30">
        <f t="shared" si="12"/>
        <v>988578.8393</v>
      </c>
      <c r="Q45" s="30">
        <f t="shared" si="12"/>
        <v>1048944.713</v>
      </c>
      <c r="R45" s="30">
        <f t="shared" si="12"/>
        <v>1107869.668</v>
      </c>
      <c r="S45" s="30">
        <f t="shared" si="12"/>
        <v>1173154.092</v>
      </c>
      <c r="T45" s="30">
        <f t="shared" si="12"/>
        <v>1263584.053</v>
      </c>
      <c r="U45" s="30">
        <f t="shared" si="12"/>
        <v>1322220.648</v>
      </c>
      <c r="V45" s="30">
        <f t="shared" si="12"/>
        <v>1368566.503</v>
      </c>
      <c r="W45" s="30">
        <f t="shared" si="12"/>
        <v>1400363.602</v>
      </c>
      <c r="X45" s="30">
        <f t="shared" si="12"/>
        <v>1432464.068</v>
      </c>
      <c r="Y45" s="30">
        <f t="shared" si="12"/>
        <v>1466365.535</v>
      </c>
      <c r="Z45" s="30">
        <f t="shared" si="12"/>
        <v>1503948.965</v>
      </c>
      <c r="AA45" s="30">
        <f t="shared" si="12"/>
        <v>1534696.245</v>
      </c>
      <c r="AB45" s="30">
        <f t="shared" si="12"/>
        <v>1562250.366</v>
      </c>
      <c r="AC45" s="30">
        <f t="shared" si="12"/>
        <v>1589729.657</v>
      </c>
      <c r="AD45" s="30">
        <f t="shared" si="12"/>
        <v>1604605.516</v>
      </c>
      <c r="AE45" s="30">
        <f t="shared" si="12"/>
        <v>1612938.441</v>
      </c>
      <c r="AF45" s="30">
        <f t="shared" si="12"/>
        <v>1623568.895</v>
      </c>
      <c r="AG45" s="30">
        <f t="shared" si="12"/>
        <v>1644659.345</v>
      </c>
      <c r="AH45" s="30">
        <f t="shared" si="12"/>
        <v>1659388.721</v>
      </c>
      <c r="AI45" s="30">
        <f t="shared" si="12"/>
        <v>1667814.926</v>
      </c>
      <c r="AJ45" s="30">
        <f t="shared" si="12"/>
        <v>1717586.797</v>
      </c>
      <c r="AK45" s="30">
        <f t="shared" si="12"/>
        <v>1783967.307</v>
      </c>
      <c r="AL45" s="30">
        <f t="shared" si="12"/>
        <v>1848254.861</v>
      </c>
      <c r="AM45" s="30">
        <f t="shared" si="12"/>
        <v>1911114.048</v>
      </c>
      <c r="AN45" s="30">
        <f t="shared" si="12"/>
        <v>1989752.422</v>
      </c>
      <c r="AO45" s="30">
        <f t="shared" si="12"/>
        <v>2084419.779</v>
      </c>
      <c r="AP45" s="30">
        <f t="shared" si="12"/>
        <v>2115748.131</v>
      </c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</row>
    <row r="47" ht="15.75" customHeight="1">
      <c r="A47" s="143" t="s">
        <v>113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</row>
    <row r="48" ht="15.75" customHeight="1">
      <c r="A48" s="144" t="s">
        <v>10</v>
      </c>
      <c r="B48" s="145">
        <f t="shared" ref="B48:AP48" si="13">B42/1000000</f>
        <v>2.61857243</v>
      </c>
      <c r="C48" s="145">
        <f t="shared" si="13"/>
        <v>2.610064111</v>
      </c>
      <c r="D48" s="145">
        <f t="shared" si="13"/>
        <v>2.598834559</v>
      </c>
      <c r="E48" s="145">
        <f t="shared" si="13"/>
        <v>2.587519544</v>
      </c>
      <c r="F48" s="145">
        <f t="shared" si="13"/>
        <v>2.572936657</v>
      </c>
      <c r="G48" s="145">
        <f t="shared" si="13"/>
        <v>2.558509811</v>
      </c>
      <c r="H48" s="145">
        <f t="shared" si="13"/>
        <v>2.542214007</v>
      </c>
      <c r="I48" s="145">
        <f t="shared" si="13"/>
        <v>2.521267388</v>
      </c>
      <c r="J48" s="145">
        <f t="shared" si="13"/>
        <v>2.501918825</v>
      </c>
      <c r="K48" s="145">
        <f t="shared" si="13"/>
        <v>2.48260106</v>
      </c>
      <c r="L48" s="145">
        <f t="shared" si="13"/>
        <v>2.456913527</v>
      </c>
      <c r="M48" s="145">
        <f t="shared" si="13"/>
        <v>2.437498497</v>
      </c>
      <c r="N48" s="145">
        <f t="shared" si="13"/>
        <v>2.414157841</v>
      </c>
      <c r="O48" s="145">
        <f t="shared" si="13"/>
        <v>2.397468143</v>
      </c>
      <c r="P48" s="145">
        <f t="shared" si="13"/>
        <v>2.376248775</v>
      </c>
      <c r="Q48" s="145">
        <f t="shared" si="13"/>
        <v>2.36032591</v>
      </c>
      <c r="R48" s="145">
        <f t="shared" si="13"/>
        <v>2.344880313</v>
      </c>
      <c r="S48" s="145">
        <f t="shared" si="13"/>
        <v>2.330532133</v>
      </c>
      <c r="T48" s="145">
        <f t="shared" si="13"/>
        <v>2.310452932</v>
      </c>
      <c r="U48" s="145">
        <f t="shared" si="13"/>
        <v>2.295545801</v>
      </c>
      <c r="V48" s="145">
        <f t="shared" si="13"/>
        <v>2.279381193</v>
      </c>
      <c r="W48" s="145">
        <f t="shared" si="13"/>
        <v>2.264722526</v>
      </c>
      <c r="X48" s="145">
        <f t="shared" si="13"/>
        <v>2.256057247</v>
      </c>
      <c r="Y48" s="145">
        <f t="shared" si="13"/>
        <v>2.250827878</v>
      </c>
      <c r="Z48" s="145">
        <f t="shared" si="13"/>
        <v>2.245186091</v>
      </c>
      <c r="AA48" s="145">
        <f t="shared" si="13"/>
        <v>2.23857815</v>
      </c>
      <c r="AB48" s="145">
        <f t="shared" si="13"/>
        <v>2.232129405</v>
      </c>
      <c r="AC48" s="145">
        <f t="shared" si="13"/>
        <v>2.225805597</v>
      </c>
      <c r="AD48" s="145">
        <f t="shared" si="13"/>
        <v>2.216658812</v>
      </c>
      <c r="AE48" s="145">
        <f t="shared" si="13"/>
        <v>2.208617563</v>
      </c>
      <c r="AF48" s="145">
        <f t="shared" si="13"/>
        <v>2.202301847</v>
      </c>
      <c r="AG48" s="145">
        <f t="shared" si="13"/>
        <v>2.196033638</v>
      </c>
      <c r="AH48" s="145">
        <f t="shared" si="13"/>
        <v>2.191760898</v>
      </c>
      <c r="AI48" s="145">
        <f t="shared" si="13"/>
        <v>2.184812434</v>
      </c>
      <c r="AJ48" s="145">
        <f t="shared" si="13"/>
        <v>2.170134255</v>
      </c>
      <c r="AK48" s="145">
        <f t="shared" si="13"/>
        <v>2.154156914</v>
      </c>
      <c r="AL48" s="145">
        <f t="shared" si="13"/>
        <v>2.113519104</v>
      </c>
      <c r="AM48" s="145">
        <f t="shared" si="13"/>
        <v>2.09571197</v>
      </c>
      <c r="AN48" s="145">
        <f t="shared" si="13"/>
        <v>2.070986365</v>
      </c>
      <c r="AO48" s="145">
        <f t="shared" si="13"/>
        <v>2.037823142</v>
      </c>
      <c r="AP48" s="145">
        <f t="shared" si="13"/>
        <v>2.036256416</v>
      </c>
      <c r="AQ48" s="121"/>
      <c r="AR48" s="146"/>
      <c r="AS48" s="121"/>
      <c r="AT48" s="121"/>
    </row>
    <row r="49" ht="15.75" customHeight="1">
      <c r="A49" s="144" t="s">
        <v>111</v>
      </c>
      <c r="B49" s="145">
        <f t="shared" ref="B49:AP49" si="14">B43/1000000</f>
        <v>4.428000445</v>
      </c>
      <c r="C49" s="145">
        <f t="shared" si="14"/>
        <v>4.468145327</v>
      </c>
      <c r="D49" s="145">
        <f t="shared" si="14"/>
        <v>4.29346866</v>
      </c>
      <c r="E49" s="145">
        <f t="shared" si="14"/>
        <v>4.177994596</v>
      </c>
      <c r="F49" s="145">
        <f t="shared" si="14"/>
        <v>4.169042657</v>
      </c>
      <c r="G49" s="145">
        <f t="shared" si="14"/>
        <v>4.269200728</v>
      </c>
      <c r="H49" s="145">
        <f t="shared" si="14"/>
        <v>4.254839902</v>
      </c>
      <c r="I49" s="145">
        <f t="shared" si="14"/>
        <v>4.248267016</v>
      </c>
      <c r="J49" s="145">
        <f t="shared" si="14"/>
        <v>4.186574238</v>
      </c>
      <c r="K49" s="145">
        <f t="shared" si="14"/>
        <v>4.216099095</v>
      </c>
      <c r="L49" s="145">
        <f t="shared" si="14"/>
        <v>4.107605671</v>
      </c>
      <c r="M49" s="145">
        <f t="shared" si="14"/>
        <v>4.05840579</v>
      </c>
      <c r="N49" s="145">
        <f t="shared" si="14"/>
        <v>3.926510233</v>
      </c>
      <c r="O49" s="145">
        <f t="shared" si="14"/>
        <v>3.910527915</v>
      </c>
      <c r="P49" s="145">
        <f t="shared" si="14"/>
        <v>3.831245536</v>
      </c>
      <c r="Q49" s="145">
        <f t="shared" si="14"/>
        <v>3.794875167</v>
      </c>
      <c r="R49" s="145">
        <f t="shared" si="14"/>
        <v>3.74256179</v>
      </c>
      <c r="S49" s="145">
        <f t="shared" si="14"/>
        <v>3.643162727</v>
      </c>
      <c r="T49" s="145">
        <f t="shared" si="14"/>
        <v>3.614011246</v>
      </c>
      <c r="U49" s="145">
        <f t="shared" si="14"/>
        <v>3.59101517</v>
      </c>
      <c r="V49" s="145">
        <f t="shared" si="14"/>
        <v>3.560088301</v>
      </c>
      <c r="W49" s="145">
        <f t="shared" si="14"/>
        <v>3.487140965</v>
      </c>
      <c r="X49" s="145">
        <f t="shared" si="14"/>
        <v>3.461346063</v>
      </c>
      <c r="Y49" s="145">
        <f t="shared" si="14"/>
        <v>3.459605296</v>
      </c>
      <c r="Z49" s="145">
        <f t="shared" si="14"/>
        <v>3.519151068</v>
      </c>
      <c r="AA49" s="145">
        <f t="shared" si="14"/>
        <v>3.576725787</v>
      </c>
      <c r="AB49" s="145">
        <f t="shared" si="14"/>
        <v>3.629004488</v>
      </c>
      <c r="AC49" s="145">
        <f t="shared" si="14"/>
        <v>3.652167326</v>
      </c>
      <c r="AD49" s="145">
        <f t="shared" si="14"/>
        <v>3.584965392</v>
      </c>
      <c r="AE49" s="145">
        <f t="shared" si="14"/>
        <v>3.48088463</v>
      </c>
      <c r="AF49" s="145">
        <f t="shared" si="14"/>
        <v>3.444720296</v>
      </c>
      <c r="AG49" s="145">
        <f t="shared" si="14"/>
        <v>3.383239038</v>
      </c>
      <c r="AH49" s="145">
        <f t="shared" si="14"/>
        <v>3.367075485</v>
      </c>
      <c r="AI49" s="145">
        <f t="shared" si="14"/>
        <v>3.349868547</v>
      </c>
      <c r="AJ49" s="145">
        <f t="shared" si="14"/>
        <v>3.338032504</v>
      </c>
      <c r="AK49" s="145">
        <f t="shared" si="14"/>
        <v>3.426554886</v>
      </c>
      <c r="AL49" s="145">
        <f t="shared" si="14"/>
        <v>3.524179337</v>
      </c>
      <c r="AM49" s="145">
        <f t="shared" si="14"/>
        <v>3.549265315</v>
      </c>
      <c r="AN49" s="145">
        <f t="shared" si="14"/>
        <v>3.548515037</v>
      </c>
      <c r="AO49" s="145">
        <f t="shared" si="14"/>
        <v>3.518841515</v>
      </c>
      <c r="AP49" s="145">
        <f t="shared" si="14"/>
        <v>3.481548447</v>
      </c>
      <c r="AQ49" s="121"/>
      <c r="AR49" s="121"/>
      <c r="AS49" s="121"/>
      <c r="AT49" s="121"/>
    </row>
    <row r="50" ht="15.75" customHeight="1">
      <c r="A50" s="144" t="s">
        <v>112</v>
      </c>
      <c r="B50" s="145">
        <f t="shared" ref="B50:AP50" si="15">B44/1000000</f>
        <v>6.383756833</v>
      </c>
      <c r="C50" s="145">
        <f t="shared" si="15"/>
        <v>4.672926431</v>
      </c>
      <c r="D50" s="145">
        <f t="shared" si="15"/>
        <v>5.503744081</v>
      </c>
      <c r="E50" s="145">
        <f t="shared" si="15"/>
        <v>6.570989992</v>
      </c>
      <c r="F50" s="145">
        <f t="shared" si="15"/>
        <v>6.555361091</v>
      </c>
      <c r="G50" s="145">
        <f t="shared" si="15"/>
        <v>4.193113685</v>
      </c>
      <c r="H50" s="145">
        <f t="shared" si="15"/>
        <v>5.567383564</v>
      </c>
      <c r="I50" s="145">
        <f t="shared" si="15"/>
        <v>5.062225336</v>
      </c>
      <c r="J50" s="145">
        <f t="shared" si="15"/>
        <v>4.881932569</v>
      </c>
      <c r="K50" s="145">
        <f t="shared" si="15"/>
        <v>3.14035382</v>
      </c>
      <c r="L50" s="145">
        <f t="shared" si="15"/>
        <v>5.254389997</v>
      </c>
      <c r="M50" s="145">
        <f t="shared" si="15"/>
        <v>4.436497977</v>
      </c>
      <c r="N50" s="145">
        <f t="shared" si="15"/>
        <v>5.31519648</v>
      </c>
      <c r="O50" s="145">
        <f t="shared" si="15"/>
        <v>3.094620716</v>
      </c>
      <c r="P50" s="145">
        <f t="shared" si="15"/>
        <v>4.052651362</v>
      </c>
      <c r="Q50" s="145">
        <f t="shared" si="15"/>
        <v>4.210466885</v>
      </c>
      <c r="R50" s="145">
        <f t="shared" si="15"/>
        <v>2.580301226</v>
      </c>
      <c r="S50" s="145">
        <f t="shared" si="15"/>
        <v>4.03025225</v>
      </c>
      <c r="T50" s="145">
        <f t="shared" si="15"/>
        <v>3.798601536</v>
      </c>
      <c r="U50" s="145">
        <f t="shared" si="15"/>
        <v>3.215402467</v>
      </c>
      <c r="V50" s="145">
        <f t="shared" si="15"/>
        <v>2.962261671</v>
      </c>
      <c r="W50" s="145">
        <f t="shared" si="15"/>
        <v>4.814479747</v>
      </c>
      <c r="X50" s="145">
        <f t="shared" si="15"/>
        <v>4.802922467</v>
      </c>
      <c r="Y50" s="145">
        <f t="shared" si="15"/>
        <v>4.790205292</v>
      </c>
      <c r="Z50" s="145">
        <f t="shared" si="15"/>
        <v>2.514044379</v>
      </c>
      <c r="AA50" s="145">
        <f t="shared" si="15"/>
        <v>3.318191778</v>
      </c>
      <c r="AB50" s="145">
        <f t="shared" si="15"/>
        <v>3.727696744</v>
      </c>
      <c r="AC50" s="145">
        <f t="shared" si="15"/>
        <v>1.812236923</v>
      </c>
      <c r="AD50" s="145">
        <f t="shared" si="15"/>
        <v>2.799404957</v>
      </c>
      <c r="AE50" s="145">
        <f t="shared" si="15"/>
        <v>4.399644322</v>
      </c>
      <c r="AF50" s="145">
        <f t="shared" si="15"/>
        <v>3.179592894</v>
      </c>
      <c r="AG50" s="145">
        <f t="shared" si="15"/>
        <v>3.612587024</v>
      </c>
      <c r="AH50" s="145">
        <f t="shared" si="15"/>
        <v>3.30960477</v>
      </c>
      <c r="AI50" s="145">
        <f t="shared" si="15"/>
        <v>5.165042904</v>
      </c>
      <c r="AJ50" s="145">
        <f t="shared" si="15"/>
        <v>2.913535768</v>
      </c>
      <c r="AK50" s="145">
        <f t="shared" si="15"/>
        <v>1.34053376</v>
      </c>
      <c r="AL50" s="145">
        <f t="shared" si="15"/>
        <v>1.333563248</v>
      </c>
      <c r="AM50" s="145">
        <f t="shared" si="15"/>
        <v>1.776280005</v>
      </c>
      <c r="AN50" s="145">
        <f t="shared" si="15"/>
        <v>3.00714836</v>
      </c>
      <c r="AO50" s="145">
        <f t="shared" si="15"/>
        <v>0.891999574</v>
      </c>
      <c r="AP50" s="145">
        <f t="shared" si="15"/>
        <v>2.366323343</v>
      </c>
      <c r="AQ50" s="121"/>
      <c r="AR50" s="121"/>
      <c r="AS50" s="121"/>
      <c r="AT50" s="121"/>
    </row>
    <row r="51" ht="15.75" customHeight="1">
      <c r="A51" s="144" t="s">
        <v>81</v>
      </c>
      <c r="B51" s="145">
        <f t="shared" ref="B51:AP51" si="16">B45/1000000</f>
        <v>0.2410460548</v>
      </c>
      <c r="C51" s="145">
        <f t="shared" si="16"/>
        <v>0.2781047368</v>
      </c>
      <c r="D51" s="145">
        <f t="shared" si="16"/>
        <v>0.3085276368</v>
      </c>
      <c r="E51" s="145">
        <f t="shared" si="16"/>
        <v>0.3439131621</v>
      </c>
      <c r="F51" s="145">
        <f t="shared" si="16"/>
        <v>0.3789264198</v>
      </c>
      <c r="G51" s="145">
        <f t="shared" si="16"/>
        <v>0.4176083835</v>
      </c>
      <c r="H51" s="145">
        <f t="shared" si="16"/>
        <v>0.4590943474</v>
      </c>
      <c r="I51" s="145">
        <f t="shared" si="16"/>
        <v>0.5139648798</v>
      </c>
      <c r="J51" s="145">
        <f t="shared" si="16"/>
        <v>0.5712427379</v>
      </c>
      <c r="K51" s="145">
        <f t="shared" si="16"/>
        <v>0.623869309</v>
      </c>
      <c r="L51" s="145">
        <f t="shared" si="16"/>
        <v>0.6906565677</v>
      </c>
      <c r="M51" s="145">
        <f t="shared" si="16"/>
        <v>0.7567701908</v>
      </c>
      <c r="N51" s="145">
        <f t="shared" si="16"/>
        <v>0.8187040123</v>
      </c>
      <c r="O51" s="145">
        <f t="shared" si="16"/>
        <v>0.8971958657</v>
      </c>
      <c r="P51" s="145">
        <f t="shared" si="16"/>
        <v>0.9885788393</v>
      </c>
      <c r="Q51" s="145">
        <f t="shared" si="16"/>
        <v>1.048944713</v>
      </c>
      <c r="R51" s="145">
        <f t="shared" si="16"/>
        <v>1.107869668</v>
      </c>
      <c r="S51" s="145">
        <f t="shared" si="16"/>
        <v>1.173154092</v>
      </c>
      <c r="T51" s="145">
        <f t="shared" si="16"/>
        <v>1.263584053</v>
      </c>
      <c r="U51" s="145">
        <f t="shared" si="16"/>
        <v>1.322220648</v>
      </c>
      <c r="V51" s="145">
        <f t="shared" si="16"/>
        <v>1.368566503</v>
      </c>
      <c r="W51" s="145">
        <f t="shared" si="16"/>
        <v>1.400363602</v>
      </c>
      <c r="X51" s="145">
        <f t="shared" si="16"/>
        <v>1.432464068</v>
      </c>
      <c r="Y51" s="145">
        <f t="shared" si="16"/>
        <v>1.466365535</v>
      </c>
      <c r="Z51" s="145">
        <f t="shared" si="16"/>
        <v>1.503948965</v>
      </c>
      <c r="AA51" s="145">
        <f t="shared" si="16"/>
        <v>1.534696245</v>
      </c>
      <c r="AB51" s="145">
        <f t="shared" si="16"/>
        <v>1.562250366</v>
      </c>
      <c r="AC51" s="145">
        <f t="shared" si="16"/>
        <v>1.589729657</v>
      </c>
      <c r="AD51" s="145">
        <f t="shared" si="16"/>
        <v>1.604605516</v>
      </c>
      <c r="AE51" s="145">
        <f t="shared" si="16"/>
        <v>1.612938441</v>
      </c>
      <c r="AF51" s="145">
        <f t="shared" si="16"/>
        <v>1.623568895</v>
      </c>
      <c r="AG51" s="145">
        <f t="shared" si="16"/>
        <v>1.644659345</v>
      </c>
      <c r="AH51" s="145">
        <f t="shared" si="16"/>
        <v>1.659388721</v>
      </c>
      <c r="AI51" s="145">
        <f t="shared" si="16"/>
        <v>1.667814926</v>
      </c>
      <c r="AJ51" s="145">
        <f t="shared" si="16"/>
        <v>1.717586797</v>
      </c>
      <c r="AK51" s="145">
        <f t="shared" si="16"/>
        <v>1.783967307</v>
      </c>
      <c r="AL51" s="145">
        <f t="shared" si="16"/>
        <v>1.848254861</v>
      </c>
      <c r="AM51" s="145">
        <f t="shared" si="16"/>
        <v>1.911114048</v>
      </c>
      <c r="AN51" s="145">
        <f t="shared" si="16"/>
        <v>1.989752422</v>
      </c>
      <c r="AO51" s="145">
        <f t="shared" si="16"/>
        <v>2.084419779</v>
      </c>
      <c r="AP51" s="145">
        <f t="shared" si="16"/>
        <v>2.115748131</v>
      </c>
      <c r="AQ51" s="121"/>
      <c r="AR51" s="121"/>
      <c r="AS51" s="121"/>
      <c r="AT51" s="121"/>
    </row>
    <row r="52" ht="15.75" customHeight="1">
      <c r="B52" s="89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</row>
    <row r="53" ht="15.75" customHeight="1"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</row>
    <row r="54" ht="15.75" customHeight="1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</row>
    <row r="55" ht="15.75" customHeight="1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</row>
    <row r="56" ht="15.75" customHeight="1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</row>
    <row r="57" ht="15.75" customHeight="1"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</row>
    <row r="58" ht="15.75" customHeight="1"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</row>
    <row r="59" ht="15.75" customHeight="1"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</row>
    <row r="60" ht="15.75" customHeight="1"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</row>
    <row r="61" ht="15.75" customHeight="1"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</row>
    <row r="62" ht="15.75" customHeight="1"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</row>
    <row r="63" ht="15.75" customHeight="1"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</row>
    <row r="64" ht="15.75" customHeight="1"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</row>
    <row r="65" ht="15.75" customHeight="1"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</row>
    <row r="66" ht="15.75" customHeight="1"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</row>
    <row r="67" ht="15.75" customHeight="1"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</row>
    <row r="68" ht="15.75" customHeight="1"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</row>
    <row r="69" ht="15.75" customHeight="1"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</row>
    <row r="70" ht="15.75" customHeight="1"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</row>
    <row r="71" ht="15.75" customHeight="1"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</row>
    <row r="72" ht="15.75" customHeight="1"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</row>
    <row r="73" ht="15.75" customHeight="1"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</row>
    <row r="74" ht="15.75" customHeight="1"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</row>
    <row r="75" ht="15.75" customHeight="1"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</row>
    <row r="76" ht="15.75" customHeight="1"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</row>
    <row r="77" ht="15.75" customHeight="1"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</row>
    <row r="78" ht="15.75" customHeight="1"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</row>
    <row r="79" ht="15.75" customHeight="1"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</row>
    <row r="80" ht="15.75" customHeight="1"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</row>
    <row r="81" ht="15.75" customHeight="1"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</row>
    <row r="82" ht="15.75" customHeight="1"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</row>
    <row r="83" ht="15.75" customHeight="1"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</row>
    <row r="84" ht="15.75" customHeight="1"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</row>
    <row r="85" ht="15.75" customHeight="1"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</row>
    <row r="86" ht="15.75" customHeight="1"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</row>
    <row r="87" ht="15.75" customHeight="1"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</row>
    <row r="88" ht="15.75" customHeight="1"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</row>
    <row r="89" ht="15.75" customHeight="1"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</row>
    <row r="90" ht="15.75" customHeight="1"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</row>
    <row r="91" ht="15.75" customHeight="1"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</row>
    <row r="92" ht="15.75" customHeight="1"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</row>
    <row r="93" ht="15.75" customHeight="1"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</row>
    <row r="94" ht="15.75" customHeight="1"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</row>
    <row r="95" ht="15.75" customHeight="1"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</row>
    <row r="96" ht="15.75" customHeight="1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</row>
    <row r="97" ht="15.75" customHeight="1"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</row>
    <row r="98" ht="15.75" customHeight="1"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</row>
    <row r="99" ht="15.75" customHeight="1"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</row>
    <row r="100" ht="15.75" customHeight="1"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</row>
    <row r="101" ht="15.75" customHeight="1"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</row>
    <row r="102" ht="15.75" customHeight="1"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</row>
    <row r="103" ht="15.75" customHeight="1"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</row>
    <row r="104" ht="15.75" customHeight="1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</row>
    <row r="105" ht="15.75" customHeight="1"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</row>
    <row r="106" ht="15.75" customHeight="1"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</row>
    <row r="107" ht="15.75" customHeight="1"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</row>
    <row r="108" ht="15.75" customHeight="1"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</row>
    <row r="109" ht="15.75" customHeight="1"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</row>
    <row r="110" ht="15.75" customHeight="1"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</row>
    <row r="111" ht="15.75" customHeight="1"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</row>
    <row r="112" ht="15.75" customHeight="1"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</row>
    <row r="113" ht="15.75" customHeight="1"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</row>
    <row r="114" ht="15.75" customHeight="1"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</row>
    <row r="115" ht="15.75" customHeight="1"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</row>
    <row r="116" ht="15.75" customHeight="1"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</row>
    <row r="117" ht="15.75" customHeight="1"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</row>
    <row r="118" ht="15.75" customHeight="1"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</row>
    <row r="119" ht="15.75" customHeight="1"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</row>
    <row r="120" ht="15.75" customHeight="1"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</row>
    <row r="121" ht="15.75" customHeight="1"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</row>
    <row r="122" ht="15.75" customHeight="1"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</row>
    <row r="123" ht="15.75" customHeight="1"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</row>
    <row r="124" ht="15.75" customHeight="1"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</row>
    <row r="125" ht="15.75" customHeight="1"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</row>
    <row r="126" ht="15.75" customHeight="1"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</row>
    <row r="127" ht="15.75" customHeight="1"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</row>
    <row r="128" ht="15.75" customHeight="1"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</row>
    <row r="129" ht="15.75" customHeight="1"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</row>
    <row r="130" ht="15.75" customHeight="1"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</row>
    <row r="131" ht="15.75" customHeight="1"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</row>
    <row r="132" ht="15.75" customHeight="1"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</row>
    <row r="133" ht="15.75" customHeight="1"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</row>
    <row r="134" ht="15.75" customHeight="1"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</row>
    <row r="135" ht="15.75" customHeight="1"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</row>
    <row r="136" ht="15.75" customHeight="1"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</row>
    <row r="137" ht="15.75" customHeight="1"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</row>
    <row r="138" ht="15.75" customHeight="1"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</row>
    <row r="139" ht="15.75" customHeight="1"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</row>
    <row r="140" ht="15.75" customHeight="1"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</row>
    <row r="141" ht="15.75" customHeight="1"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</row>
    <row r="142" ht="15.75" customHeight="1"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</row>
    <row r="143" ht="15.75" customHeight="1"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</row>
    <row r="144" ht="15.75" customHeight="1"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</row>
    <row r="145" ht="15.75" customHeight="1"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</row>
    <row r="146" ht="15.75" customHeight="1"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</row>
    <row r="147" ht="15.75" customHeight="1"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</row>
    <row r="148" ht="15.75" customHeight="1"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</row>
    <row r="149" ht="15.75" customHeight="1"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</row>
    <row r="150" ht="15.75" customHeight="1"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</row>
    <row r="151" ht="15.75" customHeight="1"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</row>
    <row r="152" ht="15.75" customHeight="1"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</row>
    <row r="153" ht="15.75" customHeight="1"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</row>
    <row r="154" ht="15.75" customHeight="1"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</row>
    <row r="155" ht="15.75" customHeight="1"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</row>
    <row r="156" ht="15.75" customHeight="1"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</row>
    <row r="157" ht="15.75" customHeight="1"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</row>
    <row r="158" ht="15.75" customHeight="1"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</row>
    <row r="159" ht="15.75" customHeight="1"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</row>
    <row r="160" ht="15.75" customHeight="1"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</row>
    <row r="161" ht="15.75" customHeight="1"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</row>
    <row r="162" ht="15.75" customHeight="1"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</row>
    <row r="163" ht="15.75" customHeight="1"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</row>
    <row r="164" ht="15.75" customHeight="1"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</row>
    <row r="165" ht="15.75" customHeight="1"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</row>
    <row r="166" ht="15.75" customHeight="1"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</row>
    <row r="167" ht="15.75" customHeight="1"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</row>
    <row r="168" ht="15.75" customHeight="1"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</row>
    <row r="169" ht="15.75" customHeight="1"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</row>
    <row r="170" ht="15.75" customHeight="1"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</row>
    <row r="171" ht="15.75" customHeight="1"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</row>
    <row r="172" ht="15.75" customHeight="1"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</row>
    <row r="173" ht="15.75" customHeight="1"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</row>
    <row r="174" ht="15.75" customHeight="1"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</row>
    <row r="175" ht="15.75" customHeight="1"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</row>
    <row r="176" ht="15.75" customHeight="1"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</row>
    <row r="177" ht="15.75" customHeight="1"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</row>
    <row r="178" ht="15.75" customHeight="1"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</row>
    <row r="179" ht="15.75" customHeight="1"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</row>
    <row r="180" ht="15.75" customHeight="1"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</row>
    <row r="181" ht="15.75" customHeight="1"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</row>
    <row r="182" ht="15.75" customHeight="1"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</row>
    <row r="183" ht="15.75" customHeight="1"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</row>
    <row r="184" ht="15.75" customHeight="1"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</row>
    <row r="185" ht="15.75" customHeight="1"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</row>
    <row r="186" ht="15.75" customHeight="1"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</row>
    <row r="187" ht="15.75" customHeight="1"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</row>
    <row r="188" ht="15.75" customHeight="1"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</row>
    <row r="189" ht="15.75" customHeight="1"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</row>
    <row r="190" ht="15.75" customHeight="1"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</row>
    <row r="191" ht="15.75" customHeight="1"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</row>
    <row r="192" ht="15.75" customHeight="1"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</row>
    <row r="193" ht="15.75" customHeight="1"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</row>
    <row r="194" ht="15.75" customHeight="1"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</row>
    <row r="195" ht="15.75" customHeight="1"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</row>
    <row r="196" ht="15.75" customHeight="1"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</row>
    <row r="197" ht="15.75" customHeight="1"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</row>
    <row r="198" ht="15.75" customHeight="1"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</row>
    <row r="199" ht="15.75" customHeight="1"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</row>
    <row r="200" ht="15.75" customHeight="1"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</row>
    <row r="201" ht="15.75" customHeight="1"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</row>
    <row r="202" ht="15.75" customHeight="1"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</row>
    <row r="203" ht="15.75" customHeight="1"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</row>
    <row r="204" ht="15.75" customHeight="1"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</row>
    <row r="205" ht="15.75" customHeight="1"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</row>
    <row r="206" ht="15.75" customHeight="1"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</row>
    <row r="207" ht="15.75" customHeight="1"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</row>
    <row r="208" ht="15.75" customHeight="1"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</row>
    <row r="209" ht="15.75" customHeight="1"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</row>
    <row r="210" ht="15.75" customHeight="1"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</row>
    <row r="211" ht="15.75" customHeight="1"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</row>
    <row r="212" ht="15.75" customHeight="1"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</row>
    <row r="213" ht="15.75" customHeight="1"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</row>
    <row r="214" ht="15.75" customHeight="1"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</row>
    <row r="215" ht="15.75" customHeight="1"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</row>
    <row r="216" ht="15.75" customHeight="1"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</row>
    <row r="217" ht="15.75" customHeight="1"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</row>
    <row r="218" ht="15.75" customHeight="1"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</row>
    <row r="219" ht="15.75" customHeight="1"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</row>
    <row r="220" ht="15.75" customHeight="1"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</row>
    <row r="221" ht="15.75" customHeight="1"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</row>
    <row r="222" ht="15.75" customHeight="1"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</row>
    <row r="223" ht="15.75" customHeight="1"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</row>
    <row r="224" ht="15.75" customHeight="1"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</row>
    <row r="225" ht="15.75" customHeight="1"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</row>
    <row r="226" ht="15.75" customHeight="1"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</row>
    <row r="227" ht="15.75" customHeight="1"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</row>
    <row r="228" ht="15.75" customHeight="1"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</row>
    <row r="229" ht="15.75" customHeight="1"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</row>
    <row r="230" ht="15.75" customHeight="1"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</row>
    <row r="231" ht="15.75" customHeight="1"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</row>
    <row r="232" ht="15.75" customHeight="1"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</row>
    <row r="233" ht="15.75" customHeight="1"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</row>
    <row r="234" ht="15.75" customHeight="1"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</row>
    <row r="235" ht="15.75" customHeight="1"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</row>
    <row r="236" ht="15.75" customHeight="1"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</row>
    <row r="237" ht="15.75" customHeight="1"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</row>
    <row r="238" ht="15.75" customHeight="1"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</row>
    <row r="239" ht="15.75" customHeight="1"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</row>
    <row r="240" ht="15.75" customHeight="1"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</row>
    <row r="241" ht="15.75" customHeight="1"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</row>
    <row r="242" ht="15.75" customHeight="1"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</row>
    <row r="243" ht="15.75" customHeight="1"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</row>
    <row r="244" ht="15.75" customHeight="1"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</row>
    <row r="245" ht="15.75" customHeight="1"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</row>
    <row r="246" ht="15.75" customHeight="1"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</row>
    <row r="247" ht="15.75" customHeight="1"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</row>
    <row r="248" ht="15.75" customHeight="1"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</row>
    <row r="249" ht="15.75" customHeight="1"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</row>
    <row r="250" ht="15.75" customHeight="1"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</row>
    <row r="251" ht="15.75" customHeight="1"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</row>
    <row r="252" ht="15.75" customHeight="1"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</row>
    <row r="253" ht="15.75" customHeight="1"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</row>
    <row r="254" ht="15.75" customHeight="1"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</row>
    <row r="255" ht="15.75" customHeight="1"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</row>
    <row r="256" ht="15.75" customHeight="1"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</row>
    <row r="257" ht="15.75" customHeight="1"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</row>
    <row r="258" ht="15.75" customHeight="1"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</row>
    <row r="259" ht="15.75" customHeight="1"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</row>
    <row r="260" ht="15.75" customHeight="1"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</row>
    <row r="261" ht="15.75" customHeight="1"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</row>
    <row r="262" ht="15.75" customHeight="1"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</row>
    <row r="263" ht="15.75" customHeight="1"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</row>
    <row r="264" ht="15.75" customHeight="1"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</row>
    <row r="265" ht="15.75" customHeight="1"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</row>
    <row r="266" ht="15.75" customHeight="1"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</row>
    <row r="267" ht="15.75" customHeight="1"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</row>
    <row r="268" ht="15.75" customHeight="1"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</row>
    <row r="269" ht="15.75" customHeight="1"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</row>
    <row r="270" ht="15.75" customHeight="1"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</row>
    <row r="271" ht="15.75" customHeight="1"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</row>
    <row r="272" ht="15.75" customHeight="1"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</row>
    <row r="273" ht="15.75" customHeight="1"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</row>
    <row r="274" ht="15.75" customHeight="1"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</row>
    <row r="275" ht="15.75" customHeight="1"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</row>
    <row r="276" ht="15.75" customHeight="1"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</row>
    <row r="277" ht="15.75" customHeight="1"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</row>
    <row r="278" ht="15.75" customHeight="1"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</row>
    <row r="279" ht="15.75" customHeight="1"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</row>
    <row r="280" ht="15.75" customHeight="1"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</row>
    <row r="281" ht="15.75" customHeight="1"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</row>
    <row r="282" ht="15.75" customHeight="1"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</row>
    <row r="283" ht="15.75" customHeight="1"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</row>
    <row r="284" ht="15.75" customHeight="1"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</row>
    <row r="285" ht="15.75" customHeight="1"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</row>
    <row r="286" ht="15.75" customHeight="1"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</row>
    <row r="287" ht="15.75" customHeight="1"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</row>
    <row r="288" ht="15.75" customHeight="1"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</row>
    <row r="289" ht="15.75" customHeight="1"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</row>
    <row r="290" ht="15.75" customHeight="1"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</row>
    <row r="291" ht="15.75" customHeight="1"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</row>
    <row r="292" ht="15.75" customHeight="1"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</row>
    <row r="293" ht="15.75" customHeight="1"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</row>
    <row r="294" ht="15.75" customHeight="1"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</row>
    <row r="295" ht="15.75" customHeight="1"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</row>
    <row r="296" ht="15.75" customHeight="1"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</row>
    <row r="297" ht="15.75" customHeight="1"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</row>
    <row r="298" ht="15.75" customHeight="1"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</row>
    <row r="299" ht="15.75" customHeight="1"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</row>
    <row r="300" ht="15.75" customHeight="1"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</row>
    <row r="301" ht="15.75" customHeight="1"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</row>
    <row r="302" ht="15.75" customHeight="1"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</row>
    <row r="303" ht="15.75" customHeight="1"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</row>
    <row r="304" ht="15.75" customHeight="1"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</row>
    <row r="305" ht="15.75" customHeight="1"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</row>
    <row r="306" ht="15.75" customHeight="1"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</row>
    <row r="307" ht="15.75" customHeight="1"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</row>
    <row r="308" ht="15.75" customHeight="1"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</row>
    <row r="309" ht="15.75" customHeight="1"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</row>
    <row r="310" ht="15.75" customHeight="1"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</row>
    <row r="311" ht="15.75" customHeight="1"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</row>
    <row r="312" ht="15.75" customHeight="1"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</row>
    <row r="313" ht="15.75" customHeight="1"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</row>
    <row r="314" ht="15.75" customHeight="1"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</row>
    <row r="315" ht="15.75" customHeight="1"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</row>
    <row r="316" ht="15.75" customHeight="1"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</row>
    <row r="317" ht="15.75" customHeight="1"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</row>
    <row r="318" ht="15.75" customHeight="1"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</row>
    <row r="319" ht="15.75" customHeight="1"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</row>
    <row r="320" ht="15.75" customHeight="1"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</row>
    <row r="321" ht="15.75" customHeight="1"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</row>
    <row r="322" ht="15.75" customHeight="1"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</row>
    <row r="323" ht="15.75" customHeight="1"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</row>
    <row r="324" ht="15.75" customHeight="1"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</row>
    <row r="325" ht="15.75" customHeight="1"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</row>
    <row r="326" ht="15.75" customHeight="1"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</row>
    <row r="327" ht="15.75" customHeight="1"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</row>
    <row r="328" ht="15.75" customHeight="1"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</row>
    <row r="329" ht="15.75" customHeight="1"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</row>
    <row r="330" ht="15.75" customHeight="1"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</row>
    <row r="331" ht="15.75" customHeight="1"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</row>
    <row r="332" ht="15.75" customHeight="1"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</row>
    <row r="333" ht="15.75" customHeight="1"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</row>
    <row r="334" ht="15.75" customHeight="1"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</row>
    <row r="335" ht="15.75" customHeight="1"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</row>
    <row r="336" ht="15.75" customHeight="1"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</row>
    <row r="337" ht="15.75" customHeight="1"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</row>
    <row r="338" ht="15.75" customHeight="1"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</row>
    <row r="339" ht="15.75" customHeight="1"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</row>
    <row r="340" ht="15.75" customHeight="1"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</row>
    <row r="341" ht="15.75" customHeight="1"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</row>
    <row r="342" ht="15.75" customHeight="1"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</row>
    <row r="343" ht="15.75" customHeight="1"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</row>
    <row r="344" ht="15.75" customHeight="1"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</row>
    <row r="345" ht="15.75" customHeight="1"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</row>
    <row r="346" ht="15.75" customHeight="1"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</row>
    <row r="347" ht="15.75" customHeight="1"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</row>
    <row r="348" ht="15.75" customHeight="1"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</row>
    <row r="349" ht="15.75" customHeight="1"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</row>
    <row r="350" ht="15.75" customHeight="1"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</row>
    <row r="351" ht="15.75" customHeight="1"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</row>
    <row r="352" ht="15.75" customHeight="1"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</row>
    <row r="353" ht="15.75" customHeight="1"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</row>
    <row r="354" ht="15.75" customHeight="1"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</row>
    <row r="355" ht="15.75" customHeight="1"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</row>
    <row r="356" ht="15.75" customHeight="1"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</row>
    <row r="357" ht="15.75" customHeight="1"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</row>
    <row r="358" ht="15.75" customHeight="1"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</row>
    <row r="359" ht="15.75" customHeight="1"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</row>
    <row r="360" ht="15.75" customHeight="1"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</row>
    <row r="361" ht="15.75" customHeight="1"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</row>
    <row r="362" ht="15.75" customHeight="1"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</row>
    <row r="363" ht="15.75" customHeight="1"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</row>
    <row r="364" ht="15.75" customHeight="1"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</row>
    <row r="365" ht="15.75" customHeight="1"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</row>
    <row r="366" ht="15.75" customHeight="1"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</row>
    <row r="367" ht="15.75" customHeight="1"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</row>
    <row r="368" ht="15.75" customHeight="1"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</row>
    <row r="369" ht="15.75" customHeight="1"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</row>
    <row r="370" ht="15.75" customHeight="1"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</row>
    <row r="371" ht="15.75" customHeight="1"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</row>
    <row r="372" ht="15.75" customHeight="1"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</row>
    <row r="373" ht="15.75" customHeight="1"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</row>
    <row r="374" ht="15.75" customHeight="1"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</row>
    <row r="375" ht="15.75" customHeight="1"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</row>
    <row r="376" ht="15.75" customHeight="1"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</row>
    <row r="377" ht="15.75" customHeight="1"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</row>
    <row r="378" ht="15.75" customHeight="1"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</row>
    <row r="379" ht="15.75" customHeight="1"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</row>
    <row r="380" ht="15.75" customHeight="1"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</row>
    <row r="381" ht="15.75" customHeight="1"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</row>
    <row r="382" ht="15.75" customHeight="1"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</row>
    <row r="383" ht="15.75" customHeight="1"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</row>
    <row r="384" ht="15.75" customHeight="1"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</row>
    <row r="385" ht="15.75" customHeight="1"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</row>
    <row r="386" ht="15.75" customHeight="1"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</row>
    <row r="387" ht="15.75" customHeight="1"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</row>
    <row r="388" ht="15.75" customHeight="1"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</row>
    <row r="389" ht="15.75" customHeight="1"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</row>
    <row r="390" ht="15.75" customHeight="1"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</row>
    <row r="391" ht="15.75" customHeight="1"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</row>
    <row r="392" ht="15.75" customHeight="1"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</row>
    <row r="393" ht="15.75" customHeight="1"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</row>
    <row r="394" ht="15.75" customHeight="1"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</row>
    <row r="395" ht="15.75" customHeight="1"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</row>
    <row r="396" ht="15.75" customHeight="1"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</row>
    <row r="397" ht="15.75" customHeight="1"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</row>
    <row r="398" ht="15.75" customHeight="1"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</row>
    <row r="399" ht="15.75" customHeight="1"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</row>
    <row r="400" ht="15.75" customHeight="1"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</row>
    <row r="401" ht="15.75" customHeight="1"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</row>
    <row r="402" ht="15.75" customHeight="1"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</row>
    <row r="403" ht="15.75" customHeight="1"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</row>
    <row r="404" ht="15.75" customHeight="1"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</row>
    <row r="405" ht="15.75" customHeight="1"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</row>
    <row r="406" ht="15.75" customHeight="1"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</row>
    <row r="407" ht="15.75" customHeight="1"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</row>
    <row r="408" ht="15.75" customHeight="1"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</row>
    <row r="409" ht="15.75" customHeight="1"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</row>
    <row r="410" ht="15.75" customHeight="1"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</row>
    <row r="411" ht="15.75" customHeight="1"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</row>
    <row r="412" ht="15.75" customHeight="1"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</row>
    <row r="413" ht="15.75" customHeight="1"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</row>
    <row r="414" ht="15.75" customHeight="1"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</row>
    <row r="415" ht="15.75" customHeight="1"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</row>
    <row r="416" ht="15.75" customHeight="1"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</row>
    <row r="417" ht="15.75" customHeight="1"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</row>
    <row r="418" ht="15.75" customHeight="1"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</row>
    <row r="419" ht="15.75" customHeight="1"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</row>
    <row r="420" ht="15.75" customHeight="1"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</row>
    <row r="421" ht="15.75" customHeight="1"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</row>
    <row r="422" ht="15.75" customHeight="1"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</row>
    <row r="423" ht="15.75" customHeight="1"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</row>
    <row r="424" ht="15.75" customHeight="1"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</row>
    <row r="425" ht="15.75" customHeight="1"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</row>
    <row r="426" ht="15.75" customHeight="1"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</row>
    <row r="427" ht="15.75" customHeight="1"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</row>
    <row r="428" ht="15.75" customHeight="1"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</row>
    <row r="429" ht="15.75" customHeight="1"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</row>
    <row r="430" ht="15.75" customHeight="1"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</row>
    <row r="431" ht="15.75" customHeight="1"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</row>
    <row r="432" ht="15.75" customHeight="1"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</row>
    <row r="433" ht="15.75" customHeight="1"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</row>
    <row r="434" ht="15.75" customHeight="1"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</row>
    <row r="435" ht="15.75" customHeight="1"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</row>
    <row r="436" ht="15.75" customHeight="1"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</row>
    <row r="437" ht="15.75" customHeight="1"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</row>
    <row r="438" ht="15.75" customHeight="1"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</row>
    <row r="439" ht="15.75" customHeight="1"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</row>
    <row r="440" ht="15.75" customHeight="1"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</row>
    <row r="441" ht="15.75" customHeight="1"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</row>
    <row r="442" ht="15.75" customHeight="1"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</row>
    <row r="443" ht="15.75" customHeight="1"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</row>
    <row r="444" ht="15.75" customHeight="1"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</row>
    <row r="445" ht="15.75" customHeight="1"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</row>
    <row r="446" ht="15.75" customHeight="1"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</row>
    <row r="447" ht="15.75" customHeight="1"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</row>
    <row r="448" ht="15.75" customHeight="1"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</row>
    <row r="449" ht="15.75" customHeight="1"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</row>
    <row r="450" ht="15.75" customHeight="1"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</row>
    <row r="451" ht="15.75" customHeight="1"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</row>
    <row r="452" ht="15.75" customHeight="1"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</row>
    <row r="453" ht="15.75" customHeight="1"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</row>
    <row r="454" ht="15.75" customHeight="1"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</row>
    <row r="455" ht="15.75" customHeight="1"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</row>
    <row r="456" ht="15.75" customHeight="1"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</row>
    <row r="457" ht="15.75" customHeight="1"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</row>
    <row r="458" ht="15.75" customHeight="1"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</row>
    <row r="459" ht="15.75" customHeight="1"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</row>
    <row r="460" ht="15.75" customHeight="1"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</row>
    <row r="461" ht="15.75" customHeight="1"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</row>
    <row r="462" ht="15.75" customHeight="1"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</row>
    <row r="463" ht="15.75" customHeight="1"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</row>
    <row r="464" ht="15.75" customHeight="1"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</row>
    <row r="465" ht="15.75" customHeight="1"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</row>
    <row r="466" ht="15.75" customHeight="1"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</row>
    <row r="467" ht="15.75" customHeight="1"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</row>
    <row r="468" ht="15.75" customHeight="1"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</row>
    <row r="469" ht="15.75" customHeight="1"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</row>
    <row r="470" ht="15.75" customHeight="1"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</row>
    <row r="471" ht="15.75" customHeight="1"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</row>
    <row r="472" ht="15.75" customHeight="1"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</row>
    <row r="473" ht="15.75" customHeight="1"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</row>
    <row r="474" ht="15.75" customHeight="1"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</row>
    <row r="475" ht="15.75" customHeight="1"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</row>
    <row r="476" ht="15.75" customHeight="1"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</row>
    <row r="477" ht="15.75" customHeight="1"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</row>
    <row r="478" ht="15.75" customHeight="1"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</row>
    <row r="479" ht="15.75" customHeight="1"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</row>
    <row r="480" ht="15.75" customHeight="1"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</row>
    <row r="481" ht="15.75" customHeight="1"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</row>
    <row r="482" ht="15.75" customHeight="1"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</row>
    <row r="483" ht="15.75" customHeight="1"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</row>
    <row r="484" ht="15.75" customHeight="1"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</row>
    <row r="485" ht="15.75" customHeight="1"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</row>
    <row r="486" ht="15.75" customHeight="1"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</row>
    <row r="487" ht="15.75" customHeight="1"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</row>
    <row r="488" ht="15.75" customHeight="1"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</row>
    <row r="489" ht="15.75" customHeight="1"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</row>
    <row r="490" ht="15.75" customHeight="1"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</row>
    <row r="491" ht="15.75" customHeight="1"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</row>
    <row r="492" ht="15.75" customHeight="1"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</row>
    <row r="493" ht="15.75" customHeight="1"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</row>
    <row r="494" ht="15.75" customHeight="1"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</row>
    <row r="495" ht="15.75" customHeight="1"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</row>
    <row r="496" ht="15.75" customHeight="1"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</row>
    <row r="497" ht="15.75" customHeight="1"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</row>
    <row r="498" ht="15.75" customHeight="1"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</row>
    <row r="499" ht="15.75" customHeight="1"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</row>
    <row r="500" ht="15.75" customHeight="1"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</row>
    <row r="501" ht="15.75" customHeight="1"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</row>
    <row r="502" ht="15.75" customHeight="1"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</row>
    <row r="503" ht="15.75" customHeight="1"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</row>
    <row r="504" ht="15.75" customHeight="1"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</row>
    <row r="505" ht="15.75" customHeight="1"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</row>
    <row r="506" ht="15.75" customHeight="1"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</row>
    <row r="507" ht="15.75" customHeight="1"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</row>
    <row r="508" ht="15.75" customHeight="1"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</row>
    <row r="509" ht="15.75" customHeight="1"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</row>
    <row r="510" ht="15.75" customHeight="1"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</row>
    <row r="511" ht="15.75" customHeight="1"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</row>
    <row r="512" ht="15.75" customHeight="1"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</row>
    <row r="513" ht="15.75" customHeight="1"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</row>
    <row r="514" ht="15.75" customHeight="1"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</row>
    <row r="515" ht="15.75" customHeight="1"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</row>
    <row r="516" ht="15.75" customHeight="1"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</row>
    <row r="517" ht="15.75" customHeight="1"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</row>
    <row r="518" ht="15.75" customHeight="1"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</row>
    <row r="519" ht="15.75" customHeight="1"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</row>
    <row r="520" ht="15.75" customHeight="1"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</row>
    <row r="521" ht="15.75" customHeight="1"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</row>
    <row r="522" ht="15.75" customHeight="1"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</row>
    <row r="523" ht="15.75" customHeight="1"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</row>
    <row r="524" ht="15.75" customHeight="1"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</row>
    <row r="525" ht="15.75" customHeight="1"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</row>
    <row r="526" ht="15.75" customHeight="1"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</row>
    <row r="527" ht="15.75" customHeight="1"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</row>
    <row r="528" ht="15.75" customHeight="1"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</row>
    <row r="529" ht="15.75" customHeight="1"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</row>
    <row r="530" ht="15.75" customHeight="1"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</row>
    <row r="531" ht="15.75" customHeight="1"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</row>
    <row r="532" ht="15.75" customHeight="1"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</row>
    <row r="533" ht="15.75" customHeight="1"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</row>
    <row r="534" ht="15.75" customHeight="1"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</row>
    <row r="535" ht="15.75" customHeight="1"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</row>
    <row r="536" ht="15.75" customHeight="1"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</row>
    <row r="537" ht="15.75" customHeight="1"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</row>
    <row r="538" ht="15.75" customHeight="1"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</row>
    <row r="539" ht="15.75" customHeight="1"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</row>
    <row r="540" ht="15.75" customHeight="1"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</row>
    <row r="541" ht="15.75" customHeight="1"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</row>
    <row r="542" ht="15.75" customHeight="1"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</row>
    <row r="543" ht="15.75" customHeight="1"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</row>
    <row r="544" ht="15.75" customHeight="1"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</row>
    <row r="545" ht="15.75" customHeight="1"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</row>
    <row r="546" ht="15.75" customHeight="1"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</row>
    <row r="547" ht="15.75" customHeight="1"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</row>
    <row r="548" ht="15.75" customHeight="1"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</row>
    <row r="549" ht="15.75" customHeight="1"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</row>
    <row r="550" ht="15.75" customHeight="1"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</row>
    <row r="551" ht="15.75" customHeight="1"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</row>
    <row r="552" ht="15.75" customHeight="1"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</row>
    <row r="553" ht="15.75" customHeight="1"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</row>
    <row r="554" ht="15.75" customHeight="1"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</row>
    <row r="555" ht="15.75" customHeight="1"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</row>
    <row r="556" ht="15.75" customHeight="1"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</row>
    <row r="557" ht="15.75" customHeight="1"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</row>
    <row r="558" ht="15.75" customHeight="1"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</row>
    <row r="559" ht="15.75" customHeight="1"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</row>
    <row r="560" ht="15.75" customHeight="1"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</row>
    <row r="561" ht="15.75" customHeight="1"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</row>
    <row r="562" ht="15.75" customHeight="1"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</row>
    <row r="563" ht="15.75" customHeight="1"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</row>
    <row r="564" ht="15.75" customHeight="1"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</row>
    <row r="565" ht="15.75" customHeight="1"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</row>
    <row r="566" ht="15.75" customHeight="1"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</row>
    <row r="567" ht="15.75" customHeight="1"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</row>
    <row r="568" ht="15.75" customHeight="1"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</row>
    <row r="569" ht="15.75" customHeight="1"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</row>
    <row r="570" ht="15.75" customHeight="1"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</row>
    <row r="571" ht="15.75" customHeight="1"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</row>
    <row r="572" ht="15.75" customHeight="1"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</row>
    <row r="573" ht="15.75" customHeight="1"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</row>
    <row r="574" ht="15.75" customHeight="1"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</row>
    <row r="575" ht="15.75" customHeight="1"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</row>
    <row r="576" ht="15.75" customHeight="1"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</row>
    <row r="577" ht="15.75" customHeight="1"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</row>
    <row r="578" ht="15.75" customHeight="1"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</row>
    <row r="579" ht="15.75" customHeight="1"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</row>
    <row r="580" ht="15.75" customHeight="1"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</row>
    <row r="581" ht="15.75" customHeight="1"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</row>
    <row r="582" ht="15.75" customHeight="1"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</row>
    <row r="583" ht="15.75" customHeight="1"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</row>
    <row r="584" ht="15.75" customHeight="1"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</row>
    <row r="585" ht="15.75" customHeight="1"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</row>
    <row r="586" ht="15.75" customHeight="1"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</row>
    <row r="587" ht="15.75" customHeight="1"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</row>
    <row r="588" ht="15.75" customHeight="1"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</row>
    <row r="589" ht="15.75" customHeight="1"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</row>
    <row r="590" ht="15.75" customHeight="1"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</row>
    <row r="591" ht="15.75" customHeight="1"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</row>
    <row r="592" ht="15.75" customHeight="1"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</row>
    <row r="593" ht="15.75" customHeight="1"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</row>
    <row r="594" ht="15.75" customHeight="1"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</row>
    <row r="595" ht="15.75" customHeight="1"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</row>
    <row r="596" ht="15.75" customHeight="1"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</row>
    <row r="597" ht="15.75" customHeight="1"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</row>
    <row r="598" ht="15.75" customHeight="1"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</row>
    <row r="599" ht="15.75" customHeight="1"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</row>
    <row r="600" ht="15.75" customHeight="1"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</row>
    <row r="601" ht="15.75" customHeight="1"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</row>
    <row r="602" ht="15.75" customHeight="1"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</row>
    <row r="603" ht="15.75" customHeight="1"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</row>
    <row r="604" ht="15.75" customHeight="1"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</row>
    <row r="605" ht="15.75" customHeight="1"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</row>
    <row r="606" ht="15.75" customHeight="1"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</row>
    <row r="607" ht="15.75" customHeight="1"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</row>
    <row r="608" ht="15.75" customHeight="1"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</row>
    <row r="609" ht="15.75" customHeight="1"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</row>
    <row r="610" ht="15.75" customHeight="1"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</row>
    <row r="611" ht="15.75" customHeight="1"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</row>
    <row r="612" ht="15.75" customHeight="1"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</row>
    <row r="613" ht="15.75" customHeight="1"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</row>
    <row r="614" ht="15.75" customHeight="1"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</row>
    <row r="615" ht="15.75" customHeight="1"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</row>
    <row r="616" ht="15.75" customHeight="1"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</row>
    <row r="617" ht="15.75" customHeight="1"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</row>
    <row r="618" ht="15.75" customHeight="1"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</row>
    <row r="619" ht="15.75" customHeight="1"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</row>
    <row r="620" ht="15.75" customHeight="1"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</row>
    <row r="621" ht="15.75" customHeight="1"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</row>
    <row r="622" ht="15.75" customHeight="1"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</row>
    <row r="623" ht="15.75" customHeight="1"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</row>
    <row r="624" ht="15.75" customHeight="1"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</row>
    <row r="625" ht="15.75" customHeight="1"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</row>
    <row r="626" ht="15.75" customHeight="1"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</row>
    <row r="627" ht="15.75" customHeight="1"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</row>
    <row r="628" ht="15.75" customHeight="1"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</row>
    <row r="629" ht="15.75" customHeight="1"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</row>
    <row r="630" ht="15.75" customHeight="1"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</row>
    <row r="631" ht="15.75" customHeight="1"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</row>
    <row r="632" ht="15.75" customHeight="1"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</row>
    <row r="633" ht="15.75" customHeight="1"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</row>
    <row r="634" ht="15.75" customHeight="1"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</row>
    <row r="635" ht="15.75" customHeight="1"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</row>
    <row r="636" ht="15.75" customHeight="1"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</row>
    <row r="637" ht="15.75" customHeight="1"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</row>
    <row r="638" ht="15.75" customHeight="1"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</row>
    <row r="639" ht="15.75" customHeight="1"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</row>
    <row r="640" ht="15.75" customHeight="1"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</row>
    <row r="641" ht="15.75" customHeight="1"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</row>
    <row r="642" ht="15.75" customHeight="1"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</row>
    <row r="643" ht="15.75" customHeight="1"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</row>
    <row r="644" ht="15.75" customHeight="1"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</row>
    <row r="645" ht="15.75" customHeight="1"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</row>
    <row r="646" ht="15.75" customHeight="1"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</row>
    <row r="647" ht="15.75" customHeight="1"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</row>
    <row r="648" ht="15.75" customHeight="1"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</row>
    <row r="649" ht="15.75" customHeight="1"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</row>
    <row r="650" ht="15.75" customHeight="1"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</row>
    <row r="651" ht="15.75" customHeight="1"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</row>
    <row r="652" ht="15.75" customHeight="1"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</row>
    <row r="653" ht="15.75" customHeight="1"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</row>
    <row r="654" ht="15.75" customHeight="1"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</row>
    <row r="655" ht="15.75" customHeight="1"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</row>
    <row r="656" ht="15.75" customHeight="1"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</row>
    <row r="657" ht="15.75" customHeight="1"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</row>
    <row r="658" ht="15.75" customHeight="1"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</row>
    <row r="659" ht="15.75" customHeight="1"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</row>
    <row r="660" ht="15.75" customHeight="1"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</row>
    <row r="661" ht="15.75" customHeight="1"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</row>
    <row r="662" ht="15.75" customHeight="1"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</row>
    <row r="663" ht="15.75" customHeight="1"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</row>
    <row r="664" ht="15.75" customHeight="1"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</row>
    <row r="665" ht="15.75" customHeight="1"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</row>
    <row r="666" ht="15.75" customHeight="1"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</row>
    <row r="667" ht="15.75" customHeight="1"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</row>
    <row r="668" ht="15.75" customHeight="1"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</row>
    <row r="669" ht="15.75" customHeight="1"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</row>
    <row r="670" ht="15.75" customHeight="1"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</row>
    <row r="671" ht="15.75" customHeight="1"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</row>
    <row r="672" ht="15.75" customHeight="1"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</row>
    <row r="673" ht="15.75" customHeight="1"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</row>
    <row r="674" ht="15.75" customHeight="1"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</row>
    <row r="675" ht="15.75" customHeight="1"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</row>
    <row r="676" ht="15.75" customHeight="1"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</row>
    <row r="677" ht="15.75" customHeight="1"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</row>
    <row r="678" ht="15.75" customHeight="1"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</row>
    <row r="679" ht="15.75" customHeight="1"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</row>
    <row r="680" ht="15.75" customHeight="1"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</row>
    <row r="681" ht="15.75" customHeight="1"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</row>
    <row r="682" ht="15.75" customHeight="1"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</row>
    <row r="683" ht="15.75" customHeight="1"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</row>
    <row r="684" ht="15.75" customHeight="1"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</row>
    <row r="685" ht="15.75" customHeight="1"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</row>
    <row r="686" ht="15.75" customHeight="1"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</row>
    <row r="687" ht="15.75" customHeight="1"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</row>
    <row r="688" ht="15.75" customHeight="1"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</row>
    <row r="689" ht="15.75" customHeight="1"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</row>
    <row r="690" ht="15.75" customHeight="1"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</row>
    <row r="691" ht="15.75" customHeight="1"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</row>
    <row r="692" ht="15.75" customHeight="1"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</row>
    <row r="693" ht="15.75" customHeight="1"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</row>
    <row r="694" ht="15.75" customHeight="1"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</row>
    <row r="695" ht="15.75" customHeight="1"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</row>
    <row r="696" ht="15.75" customHeight="1"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</row>
    <row r="697" ht="15.75" customHeight="1"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</row>
    <row r="698" ht="15.75" customHeight="1"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</row>
    <row r="699" ht="15.75" customHeight="1"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</row>
    <row r="700" ht="15.75" customHeight="1"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</row>
    <row r="701" ht="15.75" customHeight="1"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</row>
    <row r="702" ht="15.75" customHeight="1"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</row>
    <row r="703" ht="15.75" customHeight="1"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</row>
    <row r="704" ht="15.75" customHeight="1"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</row>
    <row r="705" ht="15.75" customHeight="1"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</row>
    <row r="706" ht="15.75" customHeight="1"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</row>
    <row r="707" ht="15.75" customHeight="1"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</row>
    <row r="708" ht="15.75" customHeight="1"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</row>
    <row r="709" ht="15.75" customHeight="1"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</row>
    <row r="710" ht="15.75" customHeight="1"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</row>
    <row r="711" ht="15.75" customHeight="1"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</row>
    <row r="712" ht="15.75" customHeight="1"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</row>
    <row r="713" ht="15.75" customHeight="1"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</row>
    <row r="714" ht="15.75" customHeight="1"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</row>
    <row r="715" ht="15.75" customHeight="1"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</row>
    <row r="716" ht="15.75" customHeight="1"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</row>
    <row r="717" ht="15.75" customHeight="1"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</row>
    <row r="718" ht="15.75" customHeight="1"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</row>
    <row r="719" ht="15.75" customHeight="1"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</row>
    <row r="720" ht="15.75" customHeight="1"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</row>
    <row r="721" ht="15.75" customHeight="1"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</row>
    <row r="722" ht="15.75" customHeight="1"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</row>
    <row r="723" ht="15.75" customHeight="1"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</row>
    <row r="724" ht="15.75" customHeight="1"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</row>
    <row r="725" ht="15.75" customHeight="1"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</row>
    <row r="726" ht="15.75" customHeight="1"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</row>
    <row r="727" ht="15.75" customHeight="1"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</row>
    <row r="728" ht="15.75" customHeight="1"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</row>
    <row r="729" ht="15.75" customHeight="1"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</row>
    <row r="730" ht="15.75" customHeight="1"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</row>
    <row r="731" ht="15.75" customHeight="1"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</row>
    <row r="732" ht="15.75" customHeight="1"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</row>
    <row r="733" ht="15.75" customHeight="1"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</row>
    <row r="734" ht="15.75" customHeight="1"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</row>
    <row r="735" ht="15.75" customHeight="1"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</row>
    <row r="736" ht="15.75" customHeight="1"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</row>
    <row r="737" ht="15.75" customHeight="1"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</row>
    <row r="738" ht="15.75" customHeight="1"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</row>
    <row r="739" ht="15.75" customHeight="1"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</row>
    <row r="740" ht="15.75" customHeight="1"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</row>
    <row r="741" ht="15.75" customHeight="1"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</row>
    <row r="742" ht="15.75" customHeight="1"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</row>
    <row r="743" ht="15.75" customHeight="1"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</row>
    <row r="744" ht="15.75" customHeight="1"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</row>
    <row r="745" ht="15.75" customHeight="1"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</row>
    <row r="746" ht="15.75" customHeight="1"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</row>
    <row r="747" ht="15.75" customHeight="1"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</row>
    <row r="748" ht="15.75" customHeight="1"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</row>
    <row r="749" ht="15.75" customHeight="1"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</row>
    <row r="750" ht="15.75" customHeight="1"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</row>
    <row r="751" ht="15.75" customHeight="1"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</row>
    <row r="752" ht="15.75" customHeight="1"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</row>
    <row r="753" ht="15.75" customHeight="1"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</row>
    <row r="754" ht="15.75" customHeight="1"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</row>
    <row r="755" ht="15.75" customHeight="1"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</row>
    <row r="756" ht="15.75" customHeight="1"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</row>
    <row r="757" ht="15.75" customHeight="1"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</row>
    <row r="758" ht="15.75" customHeight="1"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</row>
    <row r="759" ht="15.75" customHeight="1"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</row>
    <row r="760" ht="15.75" customHeight="1"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</row>
    <row r="761" ht="15.75" customHeight="1"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</row>
    <row r="762" ht="15.75" customHeight="1"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</row>
    <row r="763" ht="15.75" customHeight="1"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</row>
    <row r="764" ht="15.75" customHeight="1"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</row>
    <row r="765" ht="15.75" customHeight="1"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</row>
    <row r="766" ht="15.75" customHeight="1"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</row>
    <row r="767" ht="15.75" customHeight="1"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</row>
    <row r="768" ht="15.75" customHeight="1"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</row>
    <row r="769" ht="15.75" customHeight="1"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</row>
    <row r="770" ht="15.75" customHeight="1"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</row>
    <row r="771" ht="15.75" customHeight="1"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</row>
    <row r="772" ht="15.75" customHeight="1"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</row>
    <row r="773" ht="15.75" customHeight="1"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</row>
    <row r="774" ht="15.75" customHeight="1"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</row>
    <row r="775" ht="15.75" customHeight="1"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</row>
    <row r="776" ht="15.75" customHeight="1"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</row>
    <row r="777" ht="15.75" customHeight="1"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</row>
    <row r="778" ht="15.75" customHeight="1"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</row>
    <row r="779" ht="15.75" customHeight="1"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</row>
    <row r="780" ht="15.75" customHeight="1"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</row>
    <row r="781" ht="15.75" customHeight="1"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</row>
    <row r="782" ht="15.75" customHeight="1"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</row>
    <row r="783" ht="15.75" customHeight="1"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</row>
    <row r="784" ht="15.75" customHeight="1"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</row>
    <row r="785" ht="15.75" customHeight="1"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</row>
    <row r="786" ht="15.75" customHeight="1"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</row>
    <row r="787" ht="15.75" customHeight="1"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</row>
    <row r="788" ht="15.75" customHeight="1"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</row>
    <row r="789" ht="15.75" customHeight="1"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</row>
    <row r="790" ht="15.75" customHeight="1"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</row>
    <row r="791" ht="15.75" customHeight="1"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</row>
    <row r="792" ht="15.75" customHeight="1"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</row>
    <row r="793" ht="15.75" customHeight="1"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</row>
    <row r="794" ht="15.75" customHeight="1"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</row>
    <row r="795" ht="15.75" customHeight="1"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</row>
    <row r="796" ht="15.75" customHeight="1"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</row>
    <row r="797" ht="15.75" customHeight="1"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</row>
    <row r="798" ht="15.75" customHeight="1"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</row>
    <row r="799" ht="15.75" customHeight="1"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</row>
    <row r="800" ht="15.75" customHeight="1"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</row>
    <row r="801" ht="15.75" customHeight="1"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</row>
    <row r="802" ht="15.75" customHeight="1"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</row>
    <row r="803" ht="15.75" customHeight="1"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</row>
    <row r="804" ht="15.75" customHeight="1"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</row>
    <row r="805" ht="15.75" customHeight="1"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</row>
    <row r="806" ht="15.75" customHeight="1"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</row>
    <row r="807" ht="15.75" customHeight="1"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</row>
    <row r="808" ht="15.75" customHeight="1"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</row>
    <row r="809" ht="15.75" customHeight="1"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</row>
    <row r="810" ht="15.75" customHeight="1"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</row>
    <row r="811" ht="15.75" customHeight="1"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</row>
    <row r="812" ht="15.75" customHeight="1"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</row>
    <row r="813" ht="15.75" customHeight="1"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</row>
    <row r="814" ht="15.75" customHeight="1"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</row>
    <row r="815" ht="15.75" customHeight="1"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</row>
    <row r="816" ht="15.75" customHeight="1"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</row>
    <row r="817" ht="15.75" customHeight="1"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</row>
    <row r="818" ht="15.75" customHeight="1"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</row>
    <row r="819" ht="15.75" customHeight="1"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</row>
    <row r="820" ht="15.75" customHeight="1"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</row>
    <row r="821" ht="15.75" customHeight="1"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</row>
    <row r="822" ht="15.75" customHeight="1"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</row>
    <row r="823" ht="15.75" customHeight="1"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</row>
    <row r="824" ht="15.75" customHeight="1"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</row>
    <row r="825" ht="15.75" customHeight="1"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</row>
    <row r="826" ht="15.75" customHeight="1"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</row>
    <row r="827" ht="15.75" customHeight="1"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</row>
    <row r="828" ht="15.75" customHeight="1"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</row>
    <row r="829" ht="15.75" customHeight="1"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</row>
    <row r="830" ht="15.75" customHeight="1"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</row>
    <row r="831" ht="15.75" customHeight="1"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</row>
    <row r="832" ht="15.75" customHeight="1"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</row>
    <row r="833" ht="15.75" customHeight="1"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</row>
    <row r="834" ht="15.75" customHeight="1"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</row>
    <row r="835" ht="15.75" customHeight="1"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</row>
    <row r="836" ht="15.75" customHeight="1"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</row>
    <row r="837" ht="15.75" customHeight="1"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</row>
    <row r="838" ht="15.75" customHeight="1"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</row>
    <row r="839" ht="15.75" customHeight="1"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</row>
    <row r="840" ht="15.75" customHeight="1"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</row>
    <row r="841" ht="15.75" customHeight="1"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</row>
    <row r="842" ht="15.75" customHeight="1"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</row>
    <row r="843" ht="15.75" customHeight="1"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</row>
    <row r="844" ht="15.75" customHeight="1"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</row>
    <row r="845" ht="15.75" customHeight="1"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</row>
    <row r="846" ht="15.75" customHeight="1"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</row>
    <row r="847" ht="15.75" customHeight="1"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</row>
    <row r="848" ht="15.75" customHeight="1"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</row>
    <row r="849" ht="15.75" customHeight="1"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</row>
    <row r="850" ht="15.75" customHeight="1"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</row>
    <row r="851" ht="15.75" customHeight="1"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</row>
    <row r="852" ht="15.75" customHeight="1"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</row>
    <row r="853" ht="15.75" customHeight="1"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</row>
    <row r="854" ht="15.75" customHeight="1"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</row>
    <row r="855" ht="15.75" customHeight="1"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</row>
    <row r="856" ht="15.75" customHeight="1"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</row>
    <row r="857" ht="15.75" customHeight="1"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</row>
    <row r="858" ht="15.75" customHeight="1"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</row>
    <row r="859" ht="15.75" customHeight="1"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</row>
    <row r="860" ht="15.75" customHeight="1"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</row>
    <row r="861" ht="15.75" customHeight="1"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</row>
    <row r="862" ht="15.75" customHeight="1"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</row>
    <row r="863" ht="15.75" customHeight="1"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</row>
    <row r="864" ht="15.75" customHeight="1"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</row>
    <row r="865" ht="15.75" customHeight="1"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</row>
    <row r="866" ht="15.75" customHeight="1"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</row>
    <row r="867" ht="15.75" customHeight="1"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</row>
    <row r="868" ht="15.75" customHeight="1"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</row>
    <row r="869" ht="15.75" customHeight="1"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</row>
    <row r="870" ht="15.75" customHeight="1"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</row>
    <row r="871" ht="15.75" customHeight="1"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</row>
    <row r="872" ht="15.75" customHeight="1"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</row>
    <row r="873" ht="15.75" customHeight="1"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</row>
    <row r="874" ht="15.75" customHeight="1"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</row>
    <row r="875" ht="15.75" customHeight="1"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</row>
    <row r="876" ht="15.75" customHeight="1"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</row>
    <row r="877" ht="15.75" customHeight="1"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</row>
    <row r="878" ht="15.75" customHeight="1"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</row>
    <row r="879" ht="15.75" customHeight="1"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</row>
    <row r="880" ht="15.75" customHeight="1"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</row>
    <row r="881" ht="15.75" customHeight="1"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</row>
    <row r="882" ht="15.75" customHeight="1"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</row>
    <row r="883" ht="15.75" customHeight="1"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</row>
    <row r="884" ht="15.75" customHeight="1"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</row>
    <row r="885" ht="15.75" customHeight="1"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</row>
    <row r="886" ht="15.75" customHeight="1"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</row>
    <row r="887" ht="15.75" customHeight="1"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</row>
    <row r="888" ht="15.75" customHeight="1"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</row>
    <row r="889" ht="15.75" customHeight="1"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</row>
    <row r="890" ht="15.75" customHeight="1"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</row>
    <row r="891" ht="15.75" customHeight="1"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</row>
    <row r="892" ht="15.75" customHeight="1"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</row>
    <row r="893" ht="15.75" customHeight="1"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</row>
    <row r="894" ht="15.75" customHeight="1"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</row>
    <row r="895" ht="15.75" customHeight="1"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</row>
    <row r="896" ht="15.75" customHeight="1"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</row>
    <row r="897" ht="15.75" customHeight="1"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</row>
    <row r="898" ht="15.75" customHeight="1"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</row>
    <row r="899" ht="15.75" customHeight="1"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</row>
    <row r="900" ht="15.75" customHeight="1"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</row>
    <row r="901" ht="15.75" customHeight="1"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</row>
    <row r="902" ht="15.75" customHeight="1"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</row>
    <row r="903" ht="15.75" customHeight="1"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</row>
    <row r="904" ht="15.75" customHeight="1"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</row>
    <row r="905" ht="15.75" customHeight="1"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</row>
    <row r="906" ht="15.75" customHeight="1"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</row>
    <row r="907" ht="15.75" customHeight="1"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</row>
    <row r="908" ht="15.75" customHeight="1"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</row>
    <row r="909" ht="15.75" customHeight="1"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</row>
    <row r="910" ht="15.75" customHeight="1"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</row>
    <row r="911" ht="15.75" customHeight="1"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</row>
    <row r="912" ht="15.75" customHeight="1"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</row>
    <row r="913" ht="15.75" customHeight="1"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</row>
    <row r="914" ht="15.75" customHeight="1"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</row>
    <row r="915" ht="15.75" customHeight="1"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</row>
    <row r="916" ht="15.75" customHeight="1"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</row>
    <row r="917" ht="15.75" customHeight="1"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</row>
    <row r="918" ht="15.75" customHeight="1"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</row>
    <row r="919" ht="15.75" customHeight="1"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</row>
    <row r="920" ht="15.75" customHeight="1"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</row>
    <row r="921" ht="15.75" customHeight="1"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</row>
    <row r="922" ht="15.75" customHeight="1"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</row>
    <row r="923" ht="15.75" customHeight="1"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</row>
    <row r="924" ht="15.75" customHeight="1"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</row>
    <row r="925" ht="15.75" customHeight="1"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</row>
    <row r="926" ht="15.75" customHeight="1"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</row>
    <row r="927" ht="15.75" customHeight="1"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</row>
    <row r="928" ht="15.75" customHeight="1"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</row>
    <row r="929" ht="15.75" customHeight="1"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</row>
    <row r="930" ht="15.75" customHeight="1"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</row>
    <row r="931" ht="15.75" customHeight="1"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</row>
    <row r="932" ht="15.75" customHeight="1"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</row>
    <row r="933" ht="15.75" customHeight="1"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</row>
    <row r="934" ht="15.75" customHeight="1"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</row>
    <row r="935" ht="15.75" customHeight="1"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</row>
    <row r="936" ht="15.75" customHeight="1"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</row>
    <row r="937" ht="15.75" customHeight="1"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</row>
    <row r="938" ht="15.75" customHeight="1"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</row>
    <row r="939" ht="15.75" customHeight="1"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</row>
    <row r="940" ht="15.75" customHeight="1"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</row>
    <row r="941" ht="15.75" customHeight="1"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</row>
    <row r="942" ht="15.75" customHeight="1"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</row>
    <row r="943" ht="15.75" customHeight="1"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</row>
    <row r="944" ht="15.75" customHeight="1"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</row>
    <row r="945" ht="15.75" customHeight="1"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</row>
    <row r="946" ht="15.75" customHeight="1"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</row>
    <row r="947" ht="15.75" customHeight="1"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</row>
    <row r="948" ht="15.75" customHeight="1"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</row>
    <row r="949" ht="15.75" customHeight="1"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</row>
    <row r="950" ht="15.75" customHeight="1"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</row>
    <row r="951" ht="15.75" customHeight="1"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</row>
    <row r="952" ht="15.75" customHeight="1"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</row>
    <row r="953" ht="15.75" customHeight="1"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</row>
    <row r="954" ht="15.75" customHeight="1"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</row>
    <row r="955" ht="15.75" customHeight="1"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</row>
    <row r="956" ht="15.75" customHeight="1"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</row>
    <row r="957" ht="15.75" customHeight="1"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</row>
    <row r="958" ht="15.75" customHeight="1"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</row>
    <row r="959" ht="15.75" customHeight="1"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</row>
    <row r="960" ht="15.75" customHeight="1"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</row>
    <row r="961" ht="15.75" customHeight="1"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</row>
    <row r="962" ht="15.75" customHeight="1"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</row>
    <row r="963" ht="15.75" customHeight="1"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</row>
    <row r="964" ht="15.75" customHeight="1"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</row>
    <row r="965" ht="15.75" customHeight="1"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</row>
    <row r="966" ht="15.75" customHeight="1"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</row>
    <row r="967" ht="15.75" customHeight="1"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</row>
    <row r="968" ht="15.75" customHeight="1"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</row>
    <row r="969" ht="15.75" customHeight="1"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</row>
    <row r="970" ht="15.75" customHeight="1"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</row>
    <row r="971" ht="15.75" customHeight="1"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</row>
    <row r="972" ht="15.75" customHeight="1"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</row>
    <row r="973" ht="15.75" customHeight="1"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</row>
    <row r="974" ht="15.75" customHeight="1"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</row>
    <row r="975" ht="15.75" customHeight="1"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</row>
    <row r="976" ht="15.75" customHeight="1"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</row>
    <row r="977" ht="15.75" customHeight="1"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</row>
    <row r="978" ht="15.75" customHeight="1"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</row>
    <row r="979" ht="15.75" customHeight="1"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</row>
    <row r="980" ht="15.75" customHeight="1"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</row>
    <row r="981" ht="15.75" customHeight="1"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</row>
    <row r="982" ht="15.75" customHeight="1"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</row>
    <row r="983" ht="15.75" customHeight="1"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</row>
    <row r="984" ht="15.75" customHeight="1"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</row>
    <row r="985" ht="15.75" customHeight="1"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</row>
    <row r="986" ht="15.75" customHeight="1"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</row>
    <row r="987" ht="15.75" customHeight="1"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</row>
    <row r="988" ht="15.75" customHeight="1"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</row>
    <row r="989" ht="15.75" customHeight="1"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</row>
    <row r="990" ht="15.75" customHeight="1"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</row>
    <row r="991" ht="15.75" customHeight="1"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</row>
    <row r="992" ht="15.75" customHeight="1"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</row>
    <row r="993" ht="15.75" customHeight="1"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</row>
    <row r="994" ht="15.75" customHeight="1"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</row>
    <row r="995" ht="15.75" customHeight="1"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</row>
    <row r="996" ht="15.75" customHeight="1"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0"/>
      <c r="AL996" s="30"/>
      <c r="AM996" s="30"/>
      <c r="AN996" s="30"/>
      <c r="AO996" s="30"/>
    </row>
    <row r="997" ht="15.75" customHeight="1"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0"/>
      <c r="AL997" s="30"/>
      <c r="AM997" s="30"/>
      <c r="AN997" s="30"/>
      <c r="AO997" s="30"/>
    </row>
    <row r="998" ht="15.75" customHeight="1"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0"/>
      <c r="AL998" s="30"/>
      <c r="AM998" s="30"/>
      <c r="AN998" s="30"/>
      <c r="AO998" s="30"/>
    </row>
    <row r="999" ht="15.75" customHeight="1"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0"/>
      <c r="AL999" s="30"/>
      <c r="AM999" s="30"/>
      <c r="AN999" s="30"/>
      <c r="AO999" s="30"/>
    </row>
    <row r="1000" ht="15.75" customHeight="1"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0"/>
      <c r="AL1000" s="30"/>
      <c r="AM1000" s="30"/>
      <c r="AN1000" s="30"/>
      <c r="AO1000" s="30"/>
    </row>
    <row r="1001" ht="15.75" customHeight="1"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0"/>
      <c r="AL1001" s="30"/>
      <c r="AM1001" s="30"/>
      <c r="AN1001" s="30"/>
      <c r="AO1001" s="30"/>
    </row>
    <row r="1002" ht="15.75" customHeight="1"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0"/>
      <c r="AL1002" s="30"/>
      <c r="AM1002" s="30"/>
      <c r="AN1002" s="30"/>
      <c r="AO1002" s="30"/>
    </row>
    <row r="1003" ht="15.75" customHeight="1"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  <c r="AI1003" s="30"/>
      <c r="AJ1003" s="30"/>
      <c r="AK1003" s="30"/>
      <c r="AL1003" s="30"/>
      <c r="AM1003" s="30"/>
      <c r="AN1003" s="30"/>
      <c r="AO1003" s="30"/>
    </row>
    <row r="1004" ht="15.75" customHeight="1"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  <c r="AI1004" s="30"/>
      <c r="AJ1004" s="30"/>
      <c r="AK1004" s="30"/>
      <c r="AL1004" s="30"/>
      <c r="AM1004" s="30"/>
      <c r="AN1004" s="30"/>
      <c r="AO1004" s="30"/>
    </row>
    <row r="1005" ht="15.75" customHeight="1"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  <c r="AI1005" s="30"/>
      <c r="AJ1005" s="30"/>
      <c r="AK1005" s="30"/>
      <c r="AL1005" s="30"/>
      <c r="AM1005" s="30"/>
      <c r="AN1005" s="30"/>
      <c r="AO1005" s="30"/>
    </row>
    <row r="1006" ht="15.75" customHeight="1"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  <c r="AI1006" s="30"/>
      <c r="AJ1006" s="30"/>
      <c r="AK1006" s="30"/>
      <c r="AL1006" s="30"/>
      <c r="AM1006" s="30"/>
      <c r="AN1006" s="30"/>
      <c r="AO1006" s="30"/>
    </row>
    <row r="1007" ht="15.75" customHeight="1"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  <c r="AI1007" s="30"/>
      <c r="AJ1007" s="30"/>
      <c r="AK1007" s="30"/>
      <c r="AL1007" s="30"/>
      <c r="AM1007" s="30"/>
      <c r="AN1007" s="30"/>
      <c r="AO1007" s="30"/>
    </row>
    <row r="1008" ht="15.75" customHeight="1"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  <c r="AI1008" s="30"/>
      <c r="AJ1008" s="30"/>
      <c r="AK1008" s="30"/>
      <c r="AL1008" s="30"/>
      <c r="AM1008" s="30"/>
      <c r="AN1008" s="30"/>
      <c r="AO1008" s="30"/>
    </row>
  </sheetData>
  <printOptions/>
  <pageMargins bottom="0.75" footer="0.0" header="0.0" left="0.7" right="0.7" top="0.75"/>
  <pageSetup paperSize="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1.22" defaultRowHeight="15.0"/>
  <cols>
    <col customWidth="1" min="1" max="1" width="11.44"/>
    <col customWidth="1" min="2" max="2" width="23.78"/>
    <col customWidth="1" min="3" max="3" width="88.0"/>
    <col customWidth="1" min="4" max="4" width="60.67"/>
    <col customWidth="1" min="5" max="26" width="11.44"/>
  </cols>
  <sheetData>
    <row r="1" ht="15.75" customHeight="1"/>
    <row r="2" ht="15.75" customHeight="1">
      <c r="A2" s="107"/>
      <c r="B2" s="2" t="s">
        <v>73</v>
      </c>
      <c r="C2" s="107"/>
      <c r="D2" s="107"/>
    </row>
    <row r="3" ht="15.75" customHeight="1">
      <c r="A3" s="107"/>
      <c r="B3" s="107"/>
      <c r="C3" s="107"/>
      <c r="D3" s="107"/>
    </row>
    <row r="4">
      <c r="A4" s="107"/>
      <c r="B4" s="108" t="str">
        <f>CONCAT(ROUND('GRAFICO HISTORICO'!AU10,1),"x")</f>
        <v>7,8x</v>
      </c>
      <c r="C4" s="109" t="s">
        <v>74</v>
      </c>
      <c r="E4" s="110"/>
    </row>
    <row r="5">
      <c r="A5" s="107"/>
      <c r="E5" s="110"/>
    </row>
    <row r="6">
      <c r="A6" s="111"/>
      <c r="B6" s="112">
        <f>'DADOS COBERTURA PANTANAL'!E5+'DADOS COBERTURA PANTANAL'!E12+'DADOS COBERTURA PANTANAL'!E32</f>
        <v>0.8541672195</v>
      </c>
      <c r="C6" s="113" t="s">
        <v>75</v>
      </c>
      <c r="D6" s="2" t="s">
        <v>76</v>
      </c>
    </row>
    <row r="7" ht="25.5" customHeight="1">
      <c r="A7" s="107"/>
    </row>
    <row r="8" ht="25.5" customHeight="1">
      <c r="A8" s="107"/>
      <c r="B8" s="115">
        <f>'GRAFICO HISTORICO'!AU6</f>
        <v>-0.1299834217</v>
      </c>
      <c r="C8" s="113" t="s">
        <v>77</v>
      </c>
      <c r="D8" s="2" t="s">
        <v>76</v>
      </c>
    </row>
    <row r="9">
      <c r="A9" s="107"/>
      <c r="B9" s="116"/>
      <c r="C9" s="109"/>
      <c r="D9" s="107"/>
    </row>
    <row r="10" ht="15.75" customHeight="1">
      <c r="A10" s="107"/>
      <c r="B10" s="107"/>
      <c r="C10" s="107"/>
      <c r="D10" s="107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56"/>
    <col customWidth="1" min="2" max="2" width="24.11"/>
    <col customWidth="1" hidden="1" min="3" max="3" width="19.56"/>
    <col customWidth="1" hidden="1" min="4" max="4" width="20.56"/>
    <col customWidth="1" hidden="1" min="5" max="6" width="18.56"/>
    <col customWidth="1" hidden="1" min="7" max="7" width="19.56"/>
    <col customWidth="1" hidden="1" min="8" max="8" width="20.56"/>
    <col customWidth="1" hidden="1" min="9" max="9" width="19.56"/>
    <col customWidth="1" hidden="1" min="10" max="10" width="15.44"/>
    <col customWidth="1" hidden="1" min="11" max="11" width="24.11"/>
    <col customWidth="1" min="12" max="12" width="19.56"/>
    <col customWidth="1" hidden="1" min="13" max="13" width="18.56"/>
    <col customWidth="1" hidden="1" min="14" max="14" width="7.56"/>
    <col customWidth="1" hidden="1" min="15" max="15" width="15.44"/>
    <col customWidth="1" hidden="1" min="16" max="16" width="5.44"/>
    <col customWidth="1" hidden="1" min="17" max="17" width="18.56"/>
    <col customWidth="1" hidden="1" min="18" max="19" width="19.56"/>
    <col customWidth="1" hidden="1" min="20" max="20" width="13.11"/>
    <col customWidth="1" hidden="1" min="21" max="21" width="20.56"/>
    <col customWidth="1" hidden="1" min="22" max="24" width="8.56"/>
    <col customWidth="1" hidden="1" min="25" max="25" width="20.56"/>
    <col customWidth="1" hidden="1" min="26" max="26" width="8.56"/>
    <col customWidth="1" hidden="1" min="27" max="28" width="19.56"/>
    <col customWidth="1" hidden="1" min="29" max="29" width="11.0"/>
    <col customWidth="1" hidden="1" min="30" max="33" width="8.56"/>
    <col customWidth="1" hidden="1" min="34" max="34" width="19.56"/>
    <col customWidth="1" hidden="1" min="35" max="36" width="20.56"/>
    <col customWidth="1" hidden="1" min="37" max="37" width="16.44"/>
    <col customWidth="1" hidden="1" min="38" max="38" width="20.56"/>
  </cols>
  <sheetData>
    <row r="1" ht="15.75" customHeight="1">
      <c r="A1" s="117" t="s">
        <v>79</v>
      </c>
      <c r="B1" s="118" t="s">
        <v>79</v>
      </c>
      <c r="C1" s="119">
        <v>2017.0</v>
      </c>
      <c r="D1" s="119" t="s">
        <v>79</v>
      </c>
      <c r="E1" s="119" t="s">
        <v>79</v>
      </c>
      <c r="F1" s="119" t="s">
        <v>79</v>
      </c>
      <c r="G1" s="119" t="s">
        <v>79</v>
      </c>
      <c r="H1" s="119" t="s">
        <v>79</v>
      </c>
      <c r="I1" s="119" t="s">
        <v>79</v>
      </c>
      <c r="J1" s="119" t="s">
        <v>79</v>
      </c>
      <c r="K1" s="119" t="s">
        <v>79</v>
      </c>
      <c r="L1" s="119"/>
      <c r="M1" s="119" t="s">
        <v>79</v>
      </c>
      <c r="N1" s="119" t="s">
        <v>79</v>
      </c>
      <c r="O1" s="119" t="s">
        <v>79</v>
      </c>
      <c r="P1" s="119" t="s">
        <v>79</v>
      </c>
      <c r="Q1" s="119" t="s">
        <v>79</v>
      </c>
      <c r="R1" s="119" t="s">
        <v>79</v>
      </c>
      <c r="S1" s="119" t="s">
        <v>79</v>
      </c>
      <c r="T1" s="119" t="s">
        <v>79</v>
      </c>
      <c r="U1" s="119" t="s">
        <v>79</v>
      </c>
      <c r="Y1" s="119" t="s">
        <v>79</v>
      </c>
      <c r="Z1" s="119" t="s">
        <v>79</v>
      </c>
      <c r="AA1" s="119" t="s">
        <v>79</v>
      </c>
      <c r="AB1" s="119" t="s">
        <v>79</v>
      </c>
      <c r="AC1" s="119" t="s">
        <v>79</v>
      </c>
      <c r="AH1" s="119" t="s">
        <v>79</v>
      </c>
      <c r="AI1" s="119" t="s">
        <v>79</v>
      </c>
      <c r="AJ1" s="119" t="s">
        <v>79</v>
      </c>
      <c r="AK1" s="119" t="s">
        <v>79</v>
      </c>
      <c r="AL1" s="119" t="s">
        <v>79</v>
      </c>
    </row>
    <row r="2" ht="15.75" customHeight="1">
      <c r="A2" s="117" t="s">
        <v>79</v>
      </c>
      <c r="B2" s="118" t="s">
        <v>79</v>
      </c>
      <c r="C2" s="117" t="s">
        <v>81</v>
      </c>
      <c r="D2" s="117" t="s">
        <v>82</v>
      </c>
      <c r="E2" s="117" t="s">
        <v>83</v>
      </c>
      <c r="F2" s="117" t="s">
        <v>84</v>
      </c>
      <c r="G2" s="117" t="s">
        <v>85</v>
      </c>
      <c r="H2" s="117" t="s">
        <v>86</v>
      </c>
      <c r="I2" s="117" t="s">
        <v>87</v>
      </c>
      <c r="J2" s="117" t="s">
        <v>88</v>
      </c>
      <c r="K2" s="117" t="s">
        <v>89</v>
      </c>
      <c r="L2" s="117" t="s">
        <v>90</v>
      </c>
      <c r="M2" s="117" t="s">
        <v>91</v>
      </c>
      <c r="N2" s="117" t="s">
        <v>92</v>
      </c>
      <c r="O2" s="117" t="s">
        <v>93</v>
      </c>
      <c r="P2" s="117" t="s">
        <v>10</v>
      </c>
      <c r="Q2" s="117" t="s">
        <v>94</v>
      </c>
      <c r="R2" s="117" t="s">
        <v>95</v>
      </c>
      <c r="S2" s="117" t="s">
        <v>96</v>
      </c>
      <c r="T2" s="117" t="s">
        <v>97</v>
      </c>
      <c r="U2" s="117" t="s">
        <v>98</v>
      </c>
      <c r="Y2" s="117" t="s">
        <v>99</v>
      </c>
      <c r="Z2" s="117" t="s">
        <v>100</v>
      </c>
      <c r="AA2" s="117" t="s">
        <v>101</v>
      </c>
      <c r="AB2" s="117" t="s">
        <v>102</v>
      </c>
      <c r="AC2" s="117" t="s">
        <v>67</v>
      </c>
      <c r="AH2" s="117" t="s">
        <v>66</v>
      </c>
      <c r="AI2" s="117" t="s">
        <v>103</v>
      </c>
      <c r="AJ2" s="117" t="s">
        <v>104</v>
      </c>
      <c r="AK2" s="117" t="s">
        <v>68</v>
      </c>
      <c r="AL2" s="117" t="s">
        <v>105</v>
      </c>
    </row>
    <row r="3" ht="15.75" customHeight="1">
      <c r="A3" s="119">
        <v>1985.0</v>
      </c>
      <c r="B3" s="118" t="s">
        <v>83</v>
      </c>
      <c r="C3" s="122">
        <v>6640658.1234949</v>
      </c>
      <c r="D3" s="117">
        <v>334692.74956039</v>
      </c>
      <c r="E3" s="122">
        <v>3.2748752219218E7</v>
      </c>
      <c r="F3" s="122">
        <v>5911722.5038574</v>
      </c>
      <c r="G3" s="122">
        <v>595157.50959073</v>
      </c>
      <c r="H3" s="122">
        <v>1649613.8993811</v>
      </c>
      <c r="I3" s="122">
        <v>131117.94337042</v>
      </c>
      <c r="J3" s="122" t="s">
        <v>78</v>
      </c>
      <c r="K3" s="122">
        <v>1037177.9971152</v>
      </c>
      <c r="L3" s="122">
        <f t="shared" ref="L3:L7" si="1">SUM(M3:AL3)</f>
        <v>215147.6404</v>
      </c>
      <c r="M3" s="117">
        <v>1377.516026654</v>
      </c>
      <c r="N3" s="117" t="s">
        <v>78</v>
      </c>
      <c r="O3" s="117" t="s">
        <v>78</v>
      </c>
      <c r="P3" s="117" t="s">
        <v>78</v>
      </c>
      <c r="Q3" s="117">
        <v>6439.0295028015</v>
      </c>
      <c r="R3" s="117">
        <v>12937.489300226</v>
      </c>
      <c r="S3" s="117">
        <v>4.2081865722656</v>
      </c>
      <c r="T3" s="117" t="s">
        <v>78</v>
      </c>
      <c r="U3" s="117">
        <v>41.225391046143</v>
      </c>
      <c r="Y3" s="117">
        <v>30.271406915283</v>
      </c>
      <c r="Z3" s="117" t="s">
        <v>78</v>
      </c>
      <c r="AA3" s="117">
        <v>1841.7452289978</v>
      </c>
      <c r="AB3" s="117">
        <v>801.19511436768</v>
      </c>
      <c r="AC3" s="117" t="s">
        <v>78</v>
      </c>
      <c r="AH3" s="117" t="s">
        <v>78</v>
      </c>
      <c r="AI3" s="117">
        <v>0.93086105957031</v>
      </c>
      <c r="AJ3" s="117">
        <v>1.5183484558106</v>
      </c>
      <c r="AK3" s="117" t="s">
        <v>78</v>
      </c>
      <c r="AL3" s="117">
        <v>191672.51103137</v>
      </c>
    </row>
    <row r="4" ht="15.75" customHeight="1">
      <c r="A4" s="119">
        <v>1985.0</v>
      </c>
      <c r="B4" s="118" t="s">
        <v>84</v>
      </c>
      <c r="C4" s="122">
        <v>9182233.5997928</v>
      </c>
      <c r="D4" s="117">
        <v>3370551.7779101</v>
      </c>
      <c r="E4" s="122">
        <v>3181352.4987276</v>
      </c>
      <c r="F4" s="122">
        <v>4.0719446729897E7</v>
      </c>
      <c r="G4" s="122">
        <v>386646.90781805</v>
      </c>
      <c r="H4" s="122">
        <v>4461769.9338386</v>
      </c>
      <c r="I4" s="122">
        <v>89052.774382806</v>
      </c>
      <c r="J4" s="122" t="s">
        <v>78</v>
      </c>
      <c r="K4" s="122">
        <v>1369796.9039555</v>
      </c>
      <c r="L4" s="122">
        <f t="shared" si="1"/>
        <v>133641.0545</v>
      </c>
      <c r="M4" s="117">
        <v>2172.3169566773</v>
      </c>
      <c r="N4" s="117" t="s">
        <v>78</v>
      </c>
      <c r="O4" s="117" t="s">
        <v>78</v>
      </c>
      <c r="P4" s="117" t="s">
        <v>78</v>
      </c>
      <c r="Q4" s="117">
        <v>14.824047589111</v>
      </c>
      <c r="R4" s="117">
        <v>23307.9949513</v>
      </c>
      <c r="S4" s="117">
        <v>2.731044140625</v>
      </c>
      <c r="T4" s="117" t="s">
        <v>78</v>
      </c>
      <c r="U4" s="117">
        <v>41.22683994751</v>
      </c>
      <c r="Y4" s="117">
        <v>41.972004290771</v>
      </c>
      <c r="Z4" s="117" t="s">
        <v>78</v>
      </c>
      <c r="AA4" s="117">
        <v>2010.8362333435</v>
      </c>
      <c r="AB4" s="117">
        <v>1066.1409171204</v>
      </c>
      <c r="AC4" s="117" t="s">
        <v>78</v>
      </c>
      <c r="AH4" s="117" t="s">
        <v>78</v>
      </c>
      <c r="AI4" s="117" t="s">
        <v>78</v>
      </c>
      <c r="AJ4" s="117">
        <v>1.5948858581543</v>
      </c>
      <c r="AK4" s="117" t="s">
        <v>78</v>
      </c>
      <c r="AL4" s="117">
        <v>104981.41664799</v>
      </c>
    </row>
    <row r="5" ht="15.75" customHeight="1">
      <c r="A5" s="119">
        <v>1985.0</v>
      </c>
      <c r="B5" s="118" t="s">
        <v>66</v>
      </c>
      <c r="C5" s="122" t="s">
        <v>78</v>
      </c>
      <c r="D5" s="117" t="s">
        <v>78</v>
      </c>
      <c r="E5" s="122" t="s">
        <v>78</v>
      </c>
      <c r="F5" s="122" t="s">
        <v>78</v>
      </c>
      <c r="G5" s="122" t="s">
        <v>78</v>
      </c>
      <c r="H5" s="122" t="s">
        <v>78</v>
      </c>
      <c r="I5" s="122" t="s">
        <v>78</v>
      </c>
      <c r="J5" s="122" t="s">
        <v>78</v>
      </c>
      <c r="K5" s="122" t="s">
        <v>78</v>
      </c>
      <c r="L5" s="122">
        <f t="shared" si="1"/>
        <v>0.1784661011</v>
      </c>
      <c r="M5" s="117" t="s">
        <v>78</v>
      </c>
      <c r="N5" s="117" t="s">
        <v>78</v>
      </c>
      <c r="O5" s="117" t="s">
        <v>78</v>
      </c>
      <c r="P5" s="117" t="s">
        <v>78</v>
      </c>
      <c r="Q5" s="117" t="s">
        <v>78</v>
      </c>
      <c r="R5" s="117" t="s">
        <v>78</v>
      </c>
      <c r="S5" s="117" t="s">
        <v>78</v>
      </c>
      <c r="T5" s="117" t="s">
        <v>78</v>
      </c>
      <c r="U5" s="117" t="s">
        <v>78</v>
      </c>
      <c r="Y5" s="117" t="s">
        <v>78</v>
      </c>
      <c r="Z5" s="117" t="s">
        <v>78</v>
      </c>
      <c r="AA5" s="117" t="s">
        <v>78</v>
      </c>
      <c r="AB5" s="117" t="s">
        <v>78</v>
      </c>
      <c r="AC5" s="117" t="s">
        <v>78</v>
      </c>
      <c r="AH5" s="117">
        <v>0.17846610107422</v>
      </c>
      <c r="AI5" s="117" t="s">
        <v>78</v>
      </c>
      <c r="AJ5" s="117" t="s">
        <v>78</v>
      </c>
      <c r="AK5" s="117" t="s">
        <v>78</v>
      </c>
      <c r="AL5" s="117" t="s">
        <v>78</v>
      </c>
    </row>
    <row r="6" ht="15.75" customHeight="1">
      <c r="A6" s="119">
        <v>1985.0</v>
      </c>
      <c r="B6" s="118" t="s">
        <v>82</v>
      </c>
      <c r="C6" s="122">
        <v>1574487.064632</v>
      </c>
      <c r="D6" s="117">
        <v>1.7389606651641E7</v>
      </c>
      <c r="E6" s="122">
        <v>183642.82244149</v>
      </c>
      <c r="F6" s="122">
        <v>2489874.6527767</v>
      </c>
      <c r="G6" s="122">
        <v>91164.412490716</v>
      </c>
      <c r="H6" s="122">
        <v>1493830.2921135</v>
      </c>
      <c r="I6" s="122">
        <v>30597.917795227</v>
      </c>
      <c r="J6" s="122" t="s">
        <v>78</v>
      </c>
      <c r="K6" s="122">
        <v>501182.81692306</v>
      </c>
      <c r="L6" s="122">
        <f t="shared" si="1"/>
        <v>57095.97696</v>
      </c>
      <c r="M6" s="117">
        <v>2679.5681428955</v>
      </c>
      <c r="N6" s="117" t="s">
        <v>78</v>
      </c>
      <c r="O6" s="117" t="s">
        <v>78</v>
      </c>
      <c r="P6" s="117" t="s">
        <v>78</v>
      </c>
      <c r="Q6" s="117">
        <v>109.75527589111</v>
      </c>
      <c r="R6" s="117">
        <v>12949.911246466</v>
      </c>
      <c r="S6" s="117">
        <v>0.79891500854492</v>
      </c>
      <c r="T6" s="117" t="s">
        <v>78</v>
      </c>
      <c r="U6" s="117">
        <v>12.044716827393</v>
      </c>
      <c r="Y6" s="117">
        <v>55.015802917481</v>
      </c>
      <c r="Z6" s="117" t="s">
        <v>78</v>
      </c>
      <c r="AA6" s="117">
        <v>2870.7179434387</v>
      </c>
      <c r="AB6" s="117">
        <v>1214.7600950745</v>
      </c>
      <c r="AC6" s="117" t="s">
        <v>78</v>
      </c>
      <c r="AH6" s="117" t="s">
        <v>78</v>
      </c>
      <c r="AI6" s="117" t="s">
        <v>78</v>
      </c>
      <c r="AJ6" s="117">
        <v>39.439852233887</v>
      </c>
      <c r="AK6" s="117" t="s">
        <v>78</v>
      </c>
      <c r="AL6" s="117">
        <v>37163.964968427</v>
      </c>
    </row>
    <row r="7" ht="15.75" customHeight="1">
      <c r="A7" s="119">
        <v>1985.0</v>
      </c>
      <c r="B7" s="118" t="s">
        <v>85</v>
      </c>
      <c r="C7" s="122">
        <v>29622.562168249</v>
      </c>
      <c r="D7" s="117">
        <v>10957.498900287</v>
      </c>
      <c r="E7" s="122">
        <v>40012.079309082</v>
      </c>
      <c r="F7" s="122">
        <v>23430.796663062</v>
      </c>
      <c r="G7" s="122">
        <v>343438.9805044</v>
      </c>
      <c r="H7" s="122">
        <v>37236.433051282</v>
      </c>
      <c r="I7" s="122">
        <v>6697.3877895203</v>
      </c>
      <c r="J7" s="122" t="s">
        <v>78</v>
      </c>
      <c r="K7" s="122">
        <v>24046.344274878</v>
      </c>
      <c r="L7" s="122">
        <f t="shared" si="1"/>
        <v>195.0389346</v>
      </c>
      <c r="M7" s="117" t="s">
        <v>78</v>
      </c>
      <c r="N7" s="117" t="s">
        <v>78</v>
      </c>
      <c r="O7" s="117" t="s">
        <v>78</v>
      </c>
      <c r="P7" s="117" t="s">
        <v>78</v>
      </c>
      <c r="Q7" s="117" t="s">
        <v>78</v>
      </c>
      <c r="R7" s="117">
        <v>66.034490087891</v>
      </c>
      <c r="S7" s="117">
        <v>0.43017806396484</v>
      </c>
      <c r="T7" s="117" t="s">
        <v>78</v>
      </c>
      <c r="U7" s="117">
        <v>0.086067425537109</v>
      </c>
      <c r="Y7" s="117" t="s">
        <v>78</v>
      </c>
      <c r="Z7" s="117" t="s">
        <v>78</v>
      </c>
      <c r="AA7" s="117">
        <v>43.31562722168</v>
      </c>
      <c r="AB7" s="117">
        <v>19.233795544434</v>
      </c>
      <c r="AC7" s="117" t="s">
        <v>78</v>
      </c>
      <c r="AH7" s="117" t="s">
        <v>78</v>
      </c>
      <c r="AI7" s="117" t="s">
        <v>78</v>
      </c>
      <c r="AJ7" s="117" t="s">
        <v>78</v>
      </c>
      <c r="AK7" s="117" t="s">
        <v>78</v>
      </c>
      <c r="AL7" s="117">
        <v>65.938776306152</v>
      </c>
    </row>
    <row r="8" ht="15.75" customHeight="1">
      <c r="A8" s="119">
        <v>1985.0</v>
      </c>
      <c r="B8" s="123" t="s">
        <v>92</v>
      </c>
      <c r="C8" s="30">
        <f t="shared" ref="C8:L8" si="2">C9+C10</f>
        <v>238074.7503</v>
      </c>
      <c r="D8" s="2">
        <f t="shared" si="2"/>
        <v>69143.61933</v>
      </c>
      <c r="E8" s="30">
        <f t="shared" si="2"/>
        <v>13317.22729</v>
      </c>
      <c r="F8" s="30">
        <f t="shared" si="2"/>
        <v>8009.8403</v>
      </c>
      <c r="G8" s="30">
        <f t="shared" si="2"/>
        <v>16550.08094</v>
      </c>
      <c r="H8" s="30">
        <f t="shared" si="2"/>
        <v>3719079.86</v>
      </c>
      <c r="I8" s="30">
        <f t="shared" si="2"/>
        <v>1128412.956</v>
      </c>
      <c r="J8" s="30" t="str">
        <f t="shared" si="2"/>
        <v>#VALUE!</v>
      </c>
      <c r="K8" s="30">
        <f t="shared" si="2"/>
        <v>163736.2178</v>
      </c>
      <c r="L8" s="30">
        <f t="shared" si="2"/>
        <v>13732.08976</v>
      </c>
    </row>
    <row r="9" ht="15.75" customHeight="1">
      <c r="A9" s="119">
        <v>1985.0</v>
      </c>
      <c r="B9" s="118" t="s">
        <v>86</v>
      </c>
      <c r="C9" s="122">
        <v>233791.71676124</v>
      </c>
      <c r="D9" s="117">
        <v>68861.861245727</v>
      </c>
      <c r="E9" s="122">
        <v>10079.848300299</v>
      </c>
      <c r="F9" s="122">
        <v>7621.5840940857</v>
      </c>
      <c r="G9" s="122">
        <v>14513.611438965</v>
      </c>
      <c r="H9" s="122">
        <v>3683857.8563134</v>
      </c>
      <c r="I9" s="122">
        <v>318632.8852889</v>
      </c>
      <c r="J9" s="122" t="s">
        <v>78</v>
      </c>
      <c r="K9" s="122">
        <v>100235.02255435</v>
      </c>
      <c r="L9" s="122">
        <f t="shared" ref="L9:L37" si="3">SUM(M9:AL9)</f>
        <v>7849.992683</v>
      </c>
      <c r="M9" s="117" t="s">
        <v>78</v>
      </c>
      <c r="N9" s="117" t="s">
        <v>78</v>
      </c>
      <c r="O9" s="117" t="s">
        <v>78</v>
      </c>
      <c r="P9" s="117" t="s">
        <v>78</v>
      </c>
      <c r="Q9" s="117" t="s">
        <v>78</v>
      </c>
      <c r="R9" s="117">
        <v>7444.3826139526</v>
      </c>
      <c r="S9" s="117" t="s">
        <v>78</v>
      </c>
      <c r="T9" s="117" t="s">
        <v>78</v>
      </c>
      <c r="U9" s="117">
        <v>0.34357990722656</v>
      </c>
      <c r="Y9" s="117" t="s">
        <v>78</v>
      </c>
      <c r="Z9" s="117" t="s">
        <v>78</v>
      </c>
      <c r="AA9" s="117" t="s">
        <v>78</v>
      </c>
      <c r="AB9" s="117">
        <v>1.5908748840332</v>
      </c>
      <c r="AC9" s="117" t="s">
        <v>78</v>
      </c>
      <c r="AH9" s="117" t="s">
        <v>78</v>
      </c>
      <c r="AI9" s="117" t="s">
        <v>78</v>
      </c>
      <c r="AJ9" s="117" t="s">
        <v>78</v>
      </c>
      <c r="AK9" s="117" t="s">
        <v>78</v>
      </c>
      <c r="AL9" s="117">
        <v>403.67561425781</v>
      </c>
    </row>
    <row r="10" ht="15.75" customHeight="1">
      <c r="A10" s="119">
        <v>1985.0</v>
      </c>
      <c r="B10" s="118" t="s">
        <v>87</v>
      </c>
      <c r="C10" s="122">
        <v>4283.0335106689</v>
      </c>
      <c r="D10" s="117">
        <v>281.75808622437</v>
      </c>
      <c r="E10" s="122">
        <v>3237.3789908691</v>
      </c>
      <c r="F10" s="122">
        <v>388.25620634155</v>
      </c>
      <c r="G10" s="122">
        <v>2036.469503949</v>
      </c>
      <c r="H10" s="122">
        <v>35222.003454407</v>
      </c>
      <c r="I10" s="122">
        <v>809780.07061717</v>
      </c>
      <c r="J10" s="122" t="s">
        <v>78</v>
      </c>
      <c r="K10" s="122">
        <v>63501.195291827</v>
      </c>
      <c r="L10" s="122">
        <f t="shared" si="3"/>
        <v>5882.097082</v>
      </c>
      <c r="M10" s="117" t="s">
        <v>78</v>
      </c>
      <c r="N10" s="117" t="s">
        <v>78</v>
      </c>
      <c r="O10" s="117" t="s">
        <v>78</v>
      </c>
      <c r="P10" s="117" t="s">
        <v>78</v>
      </c>
      <c r="Q10" s="117" t="s">
        <v>78</v>
      </c>
      <c r="R10" s="117">
        <v>5521.7438858094</v>
      </c>
      <c r="S10" s="117" t="s">
        <v>78</v>
      </c>
      <c r="T10" s="117" t="s">
        <v>78</v>
      </c>
      <c r="U10" s="117">
        <v>0.083043383789063</v>
      </c>
      <c r="Y10" s="117" t="s">
        <v>78</v>
      </c>
      <c r="Z10" s="117" t="s">
        <v>78</v>
      </c>
      <c r="AA10" s="117" t="s">
        <v>78</v>
      </c>
      <c r="AB10" s="117">
        <v>0.82992174072266</v>
      </c>
      <c r="AC10" s="117" t="s">
        <v>78</v>
      </c>
      <c r="AH10" s="117" t="s">
        <v>78</v>
      </c>
      <c r="AI10" s="117" t="s">
        <v>78</v>
      </c>
      <c r="AJ10" s="117" t="s">
        <v>78</v>
      </c>
      <c r="AK10" s="117" t="s">
        <v>78</v>
      </c>
      <c r="AL10" s="117">
        <v>359.44023057251</v>
      </c>
    </row>
    <row r="11" ht="15.75" customHeight="1">
      <c r="A11" s="119">
        <v>1985.0</v>
      </c>
      <c r="B11" s="118" t="s">
        <v>89</v>
      </c>
      <c r="C11" s="122">
        <v>4896199.9227766</v>
      </c>
      <c r="D11" s="117">
        <v>1171056.9272399</v>
      </c>
      <c r="E11" s="122">
        <v>650071.80236093</v>
      </c>
      <c r="F11" s="122">
        <v>1930398.6037316</v>
      </c>
      <c r="G11" s="122">
        <v>225113.38422596</v>
      </c>
      <c r="H11" s="122">
        <v>3615675.672043</v>
      </c>
      <c r="I11" s="122">
        <v>1103003.5963613</v>
      </c>
      <c r="J11" s="122" t="s">
        <v>78</v>
      </c>
      <c r="K11" s="122">
        <v>8609340.823057</v>
      </c>
      <c r="L11" s="122">
        <f t="shared" si="3"/>
        <v>96767.9939</v>
      </c>
      <c r="M11" s="117">
        <v>1943.8012818787</v>
      </c>
      <c r="N11" s="117" t="s">
        <v>78</v>
      </c>
      <c r="O11" s="117" t="s">
        <v>78</v>
      </c>
      <c r="P11" s="117" t="s">
        <v>78</v>
      </c>
      <c r="Q11" s="117">
        <v>1.7862473693848</v>
      </c>
      <c r="R11" s="117">
        <v>56391.440836029</v>
      </c>
      <c r="S11" s="117">
        <v>1.6162308898926</v>
      </c>
      <c r="T11" s="117" t="s">
        <v>78</v>
      </c>
      <c r="U11" s="117">
        <v>12.733522717285</v>
      </c>
      <c r="Y11" s="117">
        <v>4.9105706848145</v>
      </c>
      <c r="Z11" s="117" t="s">
        <v>78</v>
      </c>
      <c r="AA11" s="117">
        <v>986.46983688965</v>
      </c>
      <c r="AB11" s="117">
        <v>776.13617723389</v>
      </c>
      <c r="AC11" s="117" t="s">
        <v>78</v>
      </c>
      <c r="AH11" s="117" t="s">
        <v>78</v>
      </c>
      <c r="AI11" s="117" t="s">
        <v>78</v>
      </c>
      <c r="AJ11" s="117">
        <v>0.76052543334961</v>
      </c>
      <c r="AK11" s="117" t="s">
        <v>78</v>
      </c>
      <c r="AL11" s="117">
        <v>36648.338673566</v>
      </c>
    </row>
    <row r="12" ht="15.75" customHeight="1">
      <c r="A12" s="119">
        <v>1985.0</v>
      </c>
      <c r="B12" s="118" t="s">
        <v>81</v>
      </c>
      <c r="C12" s="122">
        <v>2.4748194492475E7</v>
      </c>
      <c r="D12" s="117">
        <v>404439.37934474</v>
      </c>
      <c r="E12" s="122">
        <v>980917.70159404</v>
      </c>
      <c r="F12" s="122">
        <v>1295763.0108409</v>
      </c>
      <c r="G12" s="122">
        <v>721394.33885808</v>
      </c>
      <c r="H12" s="122">
        <v>4187180.2134543</v>
      </c>
      <c r="I12" s="122">
        <v>1618112.9598903</v>
      </c>
      <c r="J12" s="122" t="s">
        <v>78</v>
      </c>
      <c r="K12" s="122">
        <v>2910078.3662103</v>
      </c>
      <c r="L12" s="122">
        <f t="shared" si="3"/>
        <v>135742.3267</v>
      </c>
      <c r="M12" s="117" t="s">
        <v>78</v>
      </c>
      <c r="N12" s="117" t="s">
        <v>78</v>
      </c>
      <c r="O12" s="117" t="s">
        <v>78</v>
      </c>
      <c r="P12" s="117" t="s">
        <v>78</v>
      </c>
      <c r="Q12" s="117" t="s">
        <v>78</v>
      </c>
      <c r="R12" s="117">
        <v>80844.798397254</v>
      </c>
      <c r="S12" s="117">
        <v>1.0955579040527</v>
      </c>
      <c r="T12" s="117" t="s">
        <v>78</v>
      </c>
      <c r="U12" s="117">
        <v>10.349404425049</v>
      </c>
      <c r="Y12" s="117" t="s">
        <v>78</v>
      </c>
      <c r="Z12" s="117" t="s">
        <v>78</v>
      </c>
      <c r="AA12" s="117">
        <v>255.73134821167</v>
      </c>
      <c r="AB12" s="117">
        <v>1617.0579689819</v>
      </c>
      <c r="AC12" s="117" t="s">
        <v>78</v>
      </c>
      <c r="AH12" s="117" t="s">
        <v>78</v>
      </c>
      <c r="AI12" s="117" t="s">
        <v>78</v>
      </c>
      <c r="AJ12" s="117" t="s">
        <v>78</v>
      </c>
      <c r="AK12" s="117" t="s">
        <v>78</v>
      </c>
      <c r="AL12" s="117">
        <v>53013.294055768</v>
      </c>
    </row>
    <row r="13" ht="15.75" customHeight="1">
      <c r="B13" s="123" t="s">
        <v>90</v>
      </c>
      <c r="C13" s="30">
        <f t="shared" ref="C13:K13" si="4">SUM(C16:C37)</f>
        <v>54564.29832</v>
      </c>
      <c r="D13" s="2">
        <f t="shared" si="4"/>
        <v>41717.31036</v>
      </c>
      <c r="E13" s="30">
        <f t="shared" si="4"/>
        <v>31572.33643</v>
      </c>
      <c r="F13" s="30">
        <f t="shared" si="4"/>
        <v>41459.17322</v>
      </c>
      <c r="G13" s="30">
        <f t="shared" si="4"/>
        <v>537.1322658</v>
      </c>
      <c r="H13" s="30">
        <f t="shared" si="4"/>
        <v>7388.633919</v>
      </c>
      <c r="I13" s="30">
        <f t="shared" si="4"/>
        <v>209.5368407</v>
      </c>
      <c r="J13" s="30">
        <f t="shared" si="4"/>
        <v>0</v>
      </c>
      <c r="K13" s="30">
        <f t="shared" si="4"/>
        <v>41053.27986</v>
      </c>
      <c r="L13" s="122">
        <f t="shared" si="3"/>
        <v>1589927.576</v>
      </c>
      <c r="M13" s="2">
        <f t="shared" ref="M13:U13" si="5">SUM(M16:M37)</f>
        <v>91576.00193</v>
      </c>
      <c r="N13" s="2">
        <f t="shared" si="5"/>
        <v>0</v>
      </c>
      <c r="O13" s="2">
        <f t="shared" si="5"/>
        <v>0</v>
      </c>
      <c r="P13" s="2">
        <f t="shared" si="5"/>
        <v>0</v>
      </c>
      <c r="Q13" s="2">
        <f t="shared" si="5"/>
        <v>64070.85055</v>
      </c>
      <c r="R13" s="2">
        <f t="shared" si="5"/>
        <v>304355.4446</v>
      </c>
      <c r="S13" s="2">
        <f t="shared" si="5"/>
        <v>77.32971059</v>
      </c>
      <c r="T13" s="2">
        <f t="shared" si="5"/>
        <v>0</v>
      </c>
      <c r="U13" s="2">
        <f t="shared" si="5"/>
        <v>6601.387018</v>
      </c>
      <c r="Y13" s="2">
        <f t="shared" ref="Y13:AC13" si="6">SUM(Y16:Y37)</f>
        <v>1213.70379</v>
      </c>
      <c r="Z13" s="2">
        <f t="shared" si="6"/>
        <v>0</v>
      </c>
      <c r="AA13" s="2">
        <f t="shared" si="6"/>
        <v>61263.50278</v>
      </c>
      <c r="AB13" s="2">
        <f t="shared" si="6"/>
        <v>1065.554291</v>
      </c>
      <c r="AC13" s="2">
        <f t="shared" si="6"/>
        <v>0</v>
      </c>
      <c r="AH13" s="2">
        <f t="shared" ref="AH13:AL13" si="7">SUM(AH16:AH37)</f>
        <v>0</v>
      </c>
      <c r="AI13" s="2">
        <f t="shared" si="7"/>
        <v>14.58731304</v>
      </c>
      <c r="AJ13" s="2">
        <f t="shared" si="7"/>
        <v>34175.42335</v>
      </c>
      <c r="AK13" s="2">
        <f t="shared" si="7"/>
        <v>0</v>
      </c>
      <c r="AL13" s="2">
        <f t="shared" si="7"/>
        <v>1025513.791</v>
      </c>
    </row>
    <row r="14" ht="15.75" hidden="1" customHeight="1">
      <c r="B14" s="123"/>
      <c r="L14" s="117">
        <f t="shared" si="3"/>
        <v>0</v>
      </c>
    </row>
    <row r="15" ht="15.75" hidden="1" customHeight="1">
      <c r="B15" s="123"/>
      <c r="L15" s="117">
        <f t="shared" si="3"/>
        <v>0</v>
      </c>
    </row>
    <row r="16" ht="15.75" hidden="1" customHeight="1">
      <c r="A16" s="119">
        <v>1985.0</v>
      </c>
      <c r="B16" s="118" t="s">
        <v>91</v>
      </c>
      <c r="C16" s="117">
        <v>306.19951082764</v>
      </c>
      <c r="D16" s="117">
        <v>357.54226670532</v>
      </c>
      <c r="E16" s="117">
        <v>41.430357757568</v>
      </c>
      <c r="F16" s="117">
        <v>1536.1573718933</v>
      </c>
      <c r="G16" s="117" t="s">
        <v>78</v>
      </c>
      <c r="H16" s="117" t="s">
        <v>78</v>
      </c>
      <c r="I16" s="117" t="s">
        <v>78</v>
      </c>
      <c r="J16" s="117" t="s">
        <v>78</v>
      </c>
      <c r="K16" s="117">
        <v>637.89745943604</v>
      </c>
      <c r="L16" s="117">
        <f t="shared" si="3"/>
        <v>85433.10549</v>
      </c>
      <c r="M16" s="117">
        <v>78805.298009576</v>
      </c>
      <c r="N16" s="117" t="s">
        <v>78</v>
      </c>
      <c r="O16" s="117" t="s">
        <v>78</v>
      </c>
      <c r="P16" s="117" t="s">
        <v>78</v>
      </c>
      <c r="Q16" s="117">
        <v>69.309059106445</v>
      </c>
      <c r="R16" s="117">
        <v>30.714671801758</v>
      </c>
      <c r="S16" s="117" t="s">
        <v>78</v>
      </c>
      <c r="T16" s="117" t="s">
        <v>78</v>
      </c>
      <c r="U16" s="117">
        <v>70.823418670654</v>
      </c>
      <c r="Y16" s="117">
        <v>14.200304937744</v>
      </c>
      <c r="Z16" s="117" t="s">
        <v>78</v>
      </c>
      <c r="AA16" s="117" t="s">
        <v>78</v>
      </c>
      <c r="AB16" s="117" t="s">
        <v>78</v>
      </c>
      <c r="AC16" s="117" t="s">
        <v>78</v>
      </c>
      <c r="AH16" s="117" t="s">
        <v>78</v>
      </c>
      <c r="AI16" s="117" t="s">
        <v>78</v>
      </c>
      <c r="AJ16" s="117" t="s">
        <v>78</v>
      </c>
      <c r="AK16" s="117" t="s">
        <v>78</v>
      </c>
      <c r="AL16" s="117">
        <v>6442.7600242798</v>
      </c>
    </row>
    <row r="17" ht="15.75" hidden="1" customHeight="1">
      <c r="A17" s="119">
        <v>1985.0</v>
      </c>
      <c r="B17" s="118" t="s">
        <v>92</v>
      </c>
      <c r="C17" s="117" t="s">
        <v>78</v>
      </c>
      <c r="D17" s="117" t="s">
        <v>78</v>
      </c>
      <c r="E17" s="117" t="s">
        <v>78</v>
      </c>
      <c r="F17" s="117" t="s">
        <v>78</v>
      </c>
      <c r="G17" s="117" t="s">
        <v>78</v>
      </c>
      <c r="H17" s="117" t="s">
        <v>78</v>
      </c>
      <c r="I17" s="117" t="s">
        <v>78</v>
      </c>
      <c r="J17" s="117" t="s">
        <v>78</v>
      </c>
      <c r="K17" s="117" t="s">
        <v>78</v>
      </c>
      <c r="L17" s="117">
        <f t="shared" si="3"/>
        <v>0</v>
      </c>
      <c r="M17" s="117" t="s">
        <v>78</v>
      </c>
      <c r="N17" s="117" t="s">
        <v>78</v>
      </c>
      <c r="O17" s="117" t="s">
        <v>78</v>
      </c>
      <c r="P17" s="117" t="s">
        <v>78</v>
      </c>
      <c r="Q17" s="117" t="s">
        <v>78</v>
      </c>
      <c r="R17" s="117" t="s">
        <v>78</v>
      </c>
      <c r="S17" s="117" t="s">
        <v>78</v>
      </c>
      <c r="T17" s="117" t="s">
        <v>78</v>
      </c>
      <c r="U17" s="117" t="s">
        <v>78</v>
      </c>
      <c r="Y17" s="117" t="s">
        <v>78</v>
      </c>
      <c r="Z17" s="117" t="s">
        <v>78</v>
      </c>
      <c r="AA17" s="117" t="s">
        <v>78</v>
      </c>
      <c r="AB17" s="117" t="s">
        <v>78</v>
      </c>
      <c r="AC17" s="117" t="s">
        <v>78</v>
      </c>
      <c r="AH17" s="117" t="s">
        <v>78</v>
      </c>
      <c r="AI17" s="117" t="s">
        <v>78</v>
      </c>
      <c r="AJ17" s="117" t="s">
        <v>78</v>
      </c>
      <c r="AK17" s="117" t="s">
        <v>78</v>
      </c>
      <c r="AL17" s="117" t="s">
        <v>78</v>
      </c>
    </row>
    <row r="18" ht="15.75" hidden="1" customHeight="1">
      <c r="A18" s="119">
        <v>1985.0</v>
      </c>
      <c r="B18" s="118" t="s">
        <v>93</v>
      </c>
      <c r="C18" s="117" t="s">
        <v>78</v>
      </c>
      <c r="D18" s="117" t="s">
        <v>78</v>
      </c>
      <c r="E18" s="117" t="s">
        <v>78</v>
      </c>
      <c r="F18" s="117" t="s">
        <v>78</v>
      </c>
      <c r="G18" s="117" t="s">
        <v>78</v>
      </c>
      <c r="H18" s="117" t="s">
        <v>78</v>
      </c>
      <c r="I18" s="117" t="s">
        <v>78</v>
      </c>
      <c r="J18" s="117" t="s">
        <v>78</v>
      </c>
      <c r="K18" s="117" t="s">
        <v>78</v>
      </c>
      <c r="L18" s="117">
        <f t="shared" si="3"/>
        <v>0</v>
      </c>
      <c r="M18" s="117" t="s">
        <v>78</v>
      </c>
      <c r="N18" s="117" t="s">
        <v>78</v>
      </c>
      <c r="O18" s="117" t="s">
        <v>78</v>
      </c>
      <c r="P18" s="117" t="s">
        <v>78</v>
      </c>
      <c r="Q18" s="117" t="s">
        <v>78</v>
      </c>
      <c r="R18" s="117" t="s">
        <v>78</v>
      </c>
      <c r="S18" s="117" t="s">
        <v>78</v>
      </c>
      <c r="T18" s="117" t="s">
        <v>78</v>
      </c>
      <c r="U18" s="117" t="s">
        <v>78</v>
      </c>
      <c r="Y18" s="117" t="s">
        <v>78</v>
      </c>
      <c r="Z18" s="117" t="s">
        <v>78</v>
      </c>
      <c r="AA18" s="117" t="s">
        <v>78</v>
      </c>
      <c r="AB18" s="117" t="s">
        <v>78</v>
      </c>
      <c r="AC18" s="117" t="s">
        <v>78</v>
      </c>
      <c r="AH18" s="117" t="s">
        <v>78</v>
      </c>
      <c r="AI18" s="117" t="s">
        <v>78</v>
      </c>
      <c r="AJ18" s="117" t="s">
        <v>78</v>
      </c>
      <c r="AK18" s="117" t="s">
        <v>78</v>
      </c>
      <c r="AL18" s="117" t="s">
        <v>78</v>
      </c>
    </row>
    <row r="19" ht="15.75" hidden="1" customHeight="1">
      <c r="A19" s="119">
        <v>1985.0</v>
      </c>
      <c r="B19" s="118" t="s">
        <v>10</v>
      </c>
      <c r="C19" s="117" t="s">
        <v>78</v>
      </c>
      <c r="D19" s="117" t="s">
        <v>78</v>
      </c>
      <c r="E19" s="117" t="s">
        <v>78</v>
      </c>
      <c r="F19" s="117" t="s">
        <v>78</v>
      </c>
      <c r="G19" s="117" t="s">
        <v>78</v>
      </c>
      <c r="H19" s="117" t="s">
        <v>78</v>
      </c>
      <c r="I19" s="117" t="s">
        <v>78</v>
      </c>
      <c r="J19" s="117" t="s">
        <v>78</v>
      </c>
      <c r="K19" s="117" t="s">
        <v>78</v>
      </c>
      <c r="L19" s="117">
        <f t="shared" si="3"/>
        <v>0</v>
      </c>
      <c r="M19" s="117" t="s">
        <v>78</v>
      </c>
      <c r="N19" s="117" t="s">
        <v>78</v>
      </c>
      <c r="O19" s="117" t="s">
        <v>78</v>
      </c>
      <c r="P19" s="117" t="s">
        <v>78</v>
      </c>
      <c r="Q19" s="117" t="s">
        <v>78</v>
      </c>
      <c r="R19" s="117" t="s">
        <v>78</v>
      </c>
      <c r="S19" s="117" t="s">
        <v>78</v>
      </c>
      <c r="T19" s="117" t="s">
        <v>78</v>
      </c>
      <c r="U19" s="117" t="s">
        <v>78</v>
      </c>
      <c r="Y19" s="117" t="s">
        <v>78</v>
      </c>
      <c r="Z19" s="117" t="s">
        <v>78</v>
      </c>
      <c r="AA19" s="117" t="s">
        <v>78</v>
      </c>
      <c r="AB19" s="117" t="s">
        <v>78</v>
      </c>
      <c r="AC19" s="117" t="s">
        <v>78</v>
      </c>
      <c r="AH19" s="117" t="s">
        <v>78</v>
      </c>
      <c r="AI19" s="117" t="s">
        <v>78</v>
      </c>
      <c r="AJ19" s="117" t="s">
        <v>78</v>
      </c>
      <c r="AK19" s="117" t="s">
        <v>78</v>
      </c>
      <c r="AL19" s="117" t="s">
        <v>78</v>
      </c>
    </row>
    <row r="20" ht="15.75" hidden="1" customHeight="1">
      <c r="A20" s="119">
        <v>1985.0</v>
      </c>
      <c r="B20" s="118" t="s">
        <v>94</v>
      </c>
      <c r="C20" s="117">
        <v>8.3931282592773</v>
      </c>
      <c r="D20" s="117">
        <v>27.951086395264</v>
      </c>
      <c r="E20" s="117">
        <v>1245.6445475342</v>
      </c>
      <c r="F20" s="117">
        <v>113.41277747192</v>
      </c>
      <c r="G20" s="117" t="s">
        <v>78</v>
      </c>
      <c r="H20" s="117" t="s">
        <v>78</v>
      </c>
      <c r="I20" s="117" t="s">
        <v>78</v>
      </c>
      <c r="J20" s="117" t="s">
        <v>78</v>
      </c>
      <c r="K20" s="117">
        <v>0.98226637573242</v>
      </c>
      <c r="L20" s="117">
        <f t="shared" si="3"/>
        <v>62370.16771</v>
      </c>
      <c r="M20" s="117">
        <v>395.72673418579</v>
      </c>
      <c r="N20" s="117" t="s">
        <v>78</v>
      </c>
      <c r="O20" s="117" t="s">
        <v>78</v>
      </c>
      <c r="P20" s="117" t="s">
        <v>78</v>
      </c>
      <c r="Q20" s="117">
        <v>61054.762810486</v>
      </c>
      <c r="R20" s="117" t="s">
        <v>78</v>
      </c>
      <c r="S20" s="117" t="s">
        <v>78</v>
      </c>
      <c r="T20" s="117" t="s">
        <v>78</v>
      </c>
      <c r="U20" s="117">
        <v>0.80376389160156</v>
      </c>
      <c r="Y20" s="117">
        <v>7.9476601135254</v>
      </c>
      <c r="Z20" s="117" t="s">
        <v>78</v>
      </c>
      <c r="AA20" s="117" t="s">
        <v>78</v>
      </c>
      <c r="AB20" s="117" t="s">
        <v>78</v>
      </c>
      <c r="AC20" s="117" t="s">
        <v>78</v>
      </c>
      <c r="AH20" s="117" t="s">
        <v>78</v>
      </c>
      <c r="AI20" s="117" t="s">
        <v>78</v>
      </c>
      <c r="AJ20" s="117" t="s">
        <v>78</v>
      </c>
      <c r="AK20" s="117" t="s">
        <v>78</v>
      </c>
      <c r="AL20" s="117">
        <v>910.92673995361</v>
      </c>
    </row>
    <row r="21" ht="15.75" hidden="1" customHeight="1">
      <c r="A21" s="119">
        <v>1985.0</v>
      </c>
      <c r="B21" s="118" t="s">
        <v>95</v>
      </c>
      <c r="C21" s="117">
        <v>2727.2912579529</v>
      </c>
      <c r="D21" s="117">
        <v>1283.9443811707</v>
      </c>
      <c r="E21" s="117">
        <v>168.27292617187</v>
      </c>
      <c r="F21" s="117">
        <v>636.83931484375</v>
      </c>
      <c r="G21" s="117">
        <v>8.6294963867188</v>
      </c>
      <c r="H21" s="117">
        <v>364.50515925903</v>
      </c>
      <c r="I21" s="117">
        <v>27.69199107666</v>
      </c>
      <c r="J21" s="117" t="s">
        <v>78</v>
      </c>
      <c r="K21" s="117">
        <v>2779.5284360718</v>
      </c>
      <c r="L21" s="117">
        <f t="shared" si="3"/>
        <v>304383.5075</v>
      </c>
      <c r="M21" s="117">
        <v>4.3755710693359</v>
      </c>
      <c r="N21" s="117" t="s">
        <v>78</v>
      </c>
      <c r="O21" s="117" t="s">
        <v>78</v>
      </c>
      <c r="P21" s="117" t="s">
        <v>78</v>
      </c>
      <c r="Q21" s="117" t="s">
        <v>78</v>
      </c>
      <c r="R21" s="117">
        <v>304197.3713355</v>
      </c>
      <c r="S21" s="117" t="s">
        <v>78</v>
      </c>
      <c r="T21" s="117" t="s">
        <v>78</v>
      </c>
      <c r="U21" s="117">
        <v>0.082761181640625</v>
      </c>
      <c r="Y21" s="117" t="s">
        <v>78</v>
      </c>
      <c r="Z21" s="117" t="s">
        <v>78</v>
      </c>
      <c r="AA21" s="117">
        <v>1.112934967041</v>
      </c>
      <c r="AB21" s="117">
        <v>42.374251617432</v>
      </c>
      <c r="AC21" s="117" t="s">
        <v>78</v>
      </c>
      <c r="AH21" s="117" t="s">
        <v>78</v>
      </c>
      <c r="AI21" s="117" t="s">
        <v>78</v>
      </c>
      <c r="AJ21" s="117" t="s">
        <v>78</v>
      </c>
      <c r="AK21" s="117" t="s">
        <v>78</v>
      </c>
      <c r="AL21" s="117">
        <v>138.19065088501</v>
      </c>
    </row>
    <row r="22" ht="15.75" hidden="1" customHeight="1">
      <c r="A22" s="119">
        <v>1985.0</v>
      </c>
      <c r="B22" s="118" t="s">
        <v>96</v>
      </c>
      <c r="C22" s="117">
        <v>1.9776513305664</v>
      </c>
      <c r="D22" s="117">
        <v>1.2106197265625</v>
      </c>
      <c r="E22" s="117">
        <v>6.3556592590332</v>
      </c>
      <c r="F22" s="117">
        <v>1.7457490783691</v>
      </c>
      <c r="G22" s="117">
        <v>3.4993496704102</v>
      </c>
      <c r="H22" s="117">
        <v>1.0285165527344</v>
      </c>
      <c r="I22" s="117">
        <v>1.0935747436523</v>
      </c>
      <c r="J22" s="117" t="s">
        <v>78</v>
      </c>
      <c r="K22" s="117">
        <v>10.620119726562</v>
      </c>
      <c r="L22" s="117">
        <f t="shared" si="3"/>
        <v>75.75272722</v>
      </c>
      <c r="M22" s="117" t="s">
        <v>78</v>
      </c>
      <c r="N22" s="117" t="s">
        <v>78</v>
      </c>
      <c r="O22" s="117" t="s">
        <v>78</v>
      </c>
      <c r="P22" s="117" t="s">
        <v>78</v>
      </c>
      <c r="Q22" s="117" t="s">
        <v>78</v>
      </c>
      <c r="R22" s="117">
        <v>0.41979450073242</v>
      </c>
      <c r="S22" s="117">
        <v>74.216838201904</v>
      </c>
      <c r="T22" s="117" t="s">
        <v>78</v>
      </c>
      <c r="U22" s="117" t="s">
        <v>78</v>
      </c>
      <c r="Y22" s="117">
        <v>0.089314642333984</v>
      </c>
      <c r="Z22" s="117" t="s">
        <v>78</v>
      </c>
      <c r="AA22" s="117">
        <v>0.16841737060547</v>
      </c>
      <c r="AB22" s="117" t="s">
        <v>78</v>
      </c>
      <c r="AC22" s="117" t="s">
        <v>78</v>
      </c>
      <c r="AH22" s="117" t="s">
        <v>78</v>
      </c>
      <c r="AI22" s="117" t="s">
        <v>78</v>
      </c>
      <c r="AJ22" s="117" t="s">
        <v>78</v>
      </c>
      <c r="AK22" s="117" t="s">
        <v>78</v>
      </c>
      <c r="AL22" s="117">
        <v>0.8583625</v>
      </c>
    </row>
    <row r="23" ht="15.75" hidden="1" customHeight="1">
      <c r="A23" s="119">
        <v>1985.0</v>
      </c>
      <c r="B23" s="118" t="s">
        <v>97</v>
      </c>
      <c r="C23" s="117" t="s">
        <v>78</v>
      </c>
      <c r="D23" s="117" t="s">
        <v>78</v>
      </c>
      <c r="E23" s="117" t="s">
        <v>78</v>
      </c>
      <c r="F23" s="117" t="s">
        <v>78</v>
      </c>
      <c r="G23" s="117" t="s">
        <v>78</v>
      </c>
      <c r="H23" s="117" t="s">
        <v>78</v>
      </c>
      <c r="I23" s="117" t="s">
        <v>78</v>
      </c>
      <c r="J23" s="117" t="s">
        <v>78</v>
      </c>
      <c r="K23" s="117" t="s">
        <v>78</v>
      </c>
      <c r="L23" s="117">
        <f t="shared" si="3"/>
        <v>0</v>
      </c>
      <c r="M23" s="117" t="s">
        <v>78</v>
      </c>
      <c r="N23" s="117" t="s">
        <v>78</v>
      </c>
      <c r="O23" s="117" t="s">
        <v>78</v>
      </c>
      <c r="P23" s="117" t="s">
        <v>78</v>
      </c>
      <c r="Q23" s="117" t="s">
        <v>78</v>
      </c>
      <c r="R23" s="117" t="s">
        <v>78</v>
      </c>
      <c r="S23" s="117" t="s">
        <v>78</v>
      </c>
      <c r="T23" s="117" t="s">
        <v>78</v>
      </c>
      <c r="U23" s="117" t="s">
        <v>78</v>
      </c>
      <c r="Y23" s="117" t="s">
        <v>78</v>
      </c>
      <c r="Z23" s="117" t="s">
        <v>78</v>
      </c>
      <c r="AA23" s="117" t="s">
        <v>78</v>
      </c>
      <c r="AB23" s="117" t="s">
        <v>78</v>
      </c>
      <c r="AC23" s="117" t="s">
        <v>78</v>
      </c>
      <c r="AH23" s="117" t="s">
        <v>78</v>
      </c>
      <c r="AI23" s="117" t="s">
        <v>78</v>
      </c>
      <c r="AJ23" s="117" t="s">
        <v>78</v>
      </c>
      <c r="AK23" s="117" t="s">
        <v>78</v>
      </c>
      <c r="AL23" s="117" t="s">
        <v>78</v>
      </c>
    </row>
    <row r="24" ht="15.75" hidden="1" customHeight="1">
      <c r="A24" s="119">
        <v>1985.0</v>
      </c>
      <c r="B24" s="118" t="s">
        <v>98</v>
      </c>
      <c r="C24" s="117">
        <v>17.135784692383</v>
      </c>
      <c r="D24" s="117">
        <v>6.1694493652344</v>
      </c>
      <c r="E24" s="117">
        <v>15.76759911499</v>
      </c>
      <c r="F24" s="117">
        <v>18.21709185791</v>
      </c>
      <c r="G24" s="117">
        <v>0.93146700439453</v>
      </c>
      <c r="H24" s="117">
        <v>5.3424885375977</v>
      </c>
      <c r="I24" s="117">
        <v>0.50488153076172</v>
      </c>
      <c r="J24" s="117" t="s">
        <v>78</v>
      </c>
      <c r="K24" s="117">
        <v>8.9157261352539</v>
      </c>
      <c r="L24" s="117">
        <f t="shared" si="3"/>
        <v>6551.095769</v>
      </c>
      <c r="M24" s="117">
        <v>13.931154608154</v>
      </c>
      <c r="N24" s="117" t="s">
        <v>78</v>
      </c>
      <c r="O24" s="117" t="s">
        <v>78</v>
      </c>
      <c r="P24" s="117" t="s">
        <v>78</v>
      </c>
      <c r="Q24" s="117">
        <v>1.6074542175293</v>
      </c>
      <c r="R24" s="117">
        <v>1.1661789428711</v>
      </c>
      <c r="S24" s="117" t="s">
        <v>78</v>
      </c>
      <c r="T24" s="117" t="s">
        <v>78</v>
      </c>
      <c r="U24" s="117">
        <v>6516.5005418639</v>
      </c>
      <c r="Y24" s="117" t="s">
        <v>78</v>
      </c>
      <c r="Z24" s="117" t="s">
        <v>78</v>
      </c>
      <c r="AA24" s="117">
        <v>0.59658809204102</v>
      </c>
      <c r="AB24" s="117" t="s">
        <v>78</v>
      </c>
      <c r="AC24" s="117" t="s">
        <v>78</v>
      </c>
      <c r="AH24" s="117" t="s">
        <v>78</v>
      </c>
      <c r="AI24" s="117" t="s">
        <v>78</v>
      </c>
      <c r="AJ24" s="117" t="s">
        <v>78</v>
      </c>
      <c r="AK24" s="117" t="s">
        <v>78</v>
      </c>
      <c r="AL24" s="117">
        <v>17.293851043701</v>
      </c>
    </row>
    <row r="25" ht="15.75" hidden="1" customHeight="1">
      <c r="B25" s="123"/>
      <c r="L25" s="117">
        <f t="shared" si="3"/>
        <v>0</v>
      </c>
    </row>
    <row r="26" ht="15.75" hidden="1" customHeight="1">
      <c r="B26" s="123"/>
      <c r="L26" s="117">
        <f t="shared" si="3"/>
        <v>0</v>
      </c>
    </row>
    <row r="27" ht="15.75" hidden="1" customHeight="1">
      <c r="B27" s="123"/>
      <c r="L27" s="117">
        <f t="shared" si="3"/>
        <v>0</v>
      </c>
    </row>
    <row r="28" ht="15.75" hidden="1" customHeight="1">
      <c r="A28" s="119">
        <v>1985.0</v>
      </c>
      <c r="B28" s="118" t="s">
        <v>99</v>
      </c>
      <c r="C28" s="117">
        <v>0.44644481201172</v>
      </c>
      <c r="D28" s="117">
        <v>4.0176643981934</v>
      </c>
      <c r="E28" s="117">
        <v>40.181766033936</v>
      </c>
      <c r="F28" s="117">
        <v>2.5896733337402</v>
      </c>
      <c r="G28" s="117" t="s">
        <v>78</v>
      </c>
      <c r="H28" s="117" t="s">
        <v>78</v>
      </c>
      <c r="I28" s="117" t="s">
        <v>78</v>
      </c>
      <c r="J28" s="117" t="s">
        <v>78</v>
      </c>
      <c r="K28" s="117">
        <v>4.6426349426269</v>
      </c>
      <c r="L28" s="117">
        <f t="shared" si="3"/>
        <v>1681.510769</v>
      </c>
      <c r="M28" s="117">
        <v>3.0359594604492</v>
      </c>
      <c r="N28" s="117" t="s">
        <v>78</v>
      </c>
      <c r="O28" s="117" t="s">
        <v>78</v>
      </c>
      <c r="P28" s="117" t="s">
        <v>78</v>
      </c>
      <c r="Q28" s="117">
        <v>374.6912645874</v>
      </c>
      <c r="R28" s="117" t="s">
        <v>78</v>
      </c>
      <c r="S28" s="117">
        <v>0.26783817138672</v>
      </c>
      <c r="T28" s="117" t="s">
        <v>78</v>
      </c>
      <c r="U28" s="117" t="s">
        <v>78</v>
      </c>
      <c r="Y28" s="117">
        <v>1035.7092937744</v>
      </c>
      <c r="Z28" s="117" t="s">
        <v>78</v>
      </c>
      <c r="AA28" s="117" t="s">
        <v>78</v>
      </c>
      <c r="AB28" s="117" t="s">
        <v>78</v>
      </c>
      <c r="AC28" s="117" t="s">
        <v>78</v>
      </c>
      <c r="AH28" s="117" t="s">
        <v>78</v>
      </c>
      <c r="AI28" s="117" t="s">
        <v>78</v>
      </c>
      <c r="AJ28" s="117" t="s">
        <v>78</v>
      </c>
      <c r="AK28" s="117" t="s">
        <v>78</v>
      </c>
      <c r="AL28" s="117">
        <v>267.8064130127</v>
      </c>
    </row>
    <row r="29" ht="15.75" hidden="1" customHeight="1">
      <c r="A29" s="119">
        <v>1985.0</v>
      </c>
      <c r="B29" s="118" t="s">
        <v>100</v>
      </c>
      <c r="C29" s="117" t="s">
        <v>78</v>
      </c>
      <c r="D29" s="117" t="s">
        <v>78</v>
      </c>
      <c r="E29" s="117" t="s">
        <v>78</v>
      </c>
      <c r="F29" s="117" t="s">
        <v>78</v>
      </c>
      <c r="G29" s="117" t="s">
        <v>78</v>
      </c>
      <c r="H29" s="117" t="s">
        <v>78</v>
      </c>
      <c r="I29" s="117" t="s">
        <v>78</v>
      </c>
      <c r="J29" s="117" t="s">
        <v>78</v>
      </c>
      <c r="K29" s="117" t="s">
        <v>78</v>
      </c>
      <c r="L29" s="117">
        <f t="shared" si="3"/>
        <v>0</v>
      </c>
      <c r="M29" s="117" t="s">
        <v>78</v>
      </c>
      <c r="N29" s="117" t="s">
        <v>78</v>
      </c>
      <c r="O29" s="117" t="s">
        <v>78</v>
      </c>
      <c r="P29" s="117" t="s">
        <v>78</v>
      </c>
      <c r="Q29" s="117" t="s">
        <v>78</v>
      </c>
      <c r="R29" s="117" t="s">
        <v>78</v>
      </c>
      <c r="S29" s="117" t="s">
        <v>78</v>
      </c>
      <c r="T29" s="117" t="s">
        <v>78</v>
      </c>
      <c r="U29" s="117" t="s">
        <v>78</v>
      </c>
      <c r="Y29" s="117" t="s">
        <v>78</v>
      </c>
      <c r="Z29" s="117" t="s">
        <v>78</v>
      </c>
      <c r="AA29" s="117" t="s">
        <v>78</v>
      </c>
      <c r="AB29" s="117" t="s">
        <v>78</v>
      </c>
      <c r="AC29" s="117" t="s">
        <v>78</v>
      </c>
      <c r="AH29" s="117" t="s">
        <v>78</v>
      </c>
      <c r="AI29" s="117" t="s">
        <v>78</v>
      </c>
      <c r="AJ29" s="117" t="s">
        <v>78</v>
      </c>
      <c r="AK29" s="117" t="s">
        <v>78</v>
      </c>
      <c r="AL29" s="117" t="s">
        <v>78</v>
      </c>
    </row>
    <row r="30" ht="15.75" hidden="1" customHeight="1">
      <c r="A30" s="119">
        <v>1985.0</v>
      </c>
      <c r="B30" s="118" t="s">
        <v>101</v>
      </c>
      <c r="C30" s="117">
        <v>154.58323530273</v>
      </c>
      <c r="D30" s="117">
        <v>2457.0916808777</v>
      </c>
      <c r="E30" s="117">
        <v>709.84377518311</v>
      </c>
      <c r="F30" s="117">
        <v>690.59415067139</v>
      </c>
      <c r="G30" s="117">
        <v>234.87001072998</v>
      </c>
      <c r="H30" s="117">
        <v>238.54976090698</v>
      </c>
      <c r="I30" s="117" t="s">
        <v>78</v>
      </c>
      <c r="J30" s="117" t="s">
        <v>78</v>
      </c>
      <c r="K30" s="117">
        <v>143.83244417114</v>
      </c>
      <c r="L30" s="117">
        <f t="shared" si="3"/>
        <v>61257.65009</v>
      </c>
      <c r="M30" s="117" t="s">
        <v>78</v>
      </c>
      <c r="N30" s="117" t="s">
        <v>78</v>
      </c>
      <c r="O30" s="117" t="s">
        <v>78</v>
      </c>
      <c r="P30" s="117" t="s">
        <v>78</v>
      </c>
      <c r="Q30" s="117" t="s">
        <v>78</v>
      </c>
      <c r="R30" s="117">
        <v>0.76644965209961</v>
      </c>
      <c r="S30" s="117" t="s">
        <v>78</v>
      </c>
      <c r="T30" s="117" t="s">
        <v>78</v>
      </c>
      <c r="U30" s="117">
        <v>0.17194060668945</v>
      </c>
      <c r="Y30" s="117" t="s">
        <v>78</v>
      </c>
      <c r="Z30" s="117" t="s">
        <v>78</v>
      </c>
      <c r="AA30" s="117">
        <v>61254.729498334</v>
      </c>
      <c r="AB30" s="117">
        <v>0.3405138671875</v>
      </c>
      <c r="AC30" s="117" t="s">
        <v>78</v>
      </c>
      <c r="AH30" s="117" t="s">
        <v>78</v>
      </c>
      <c r="AI30" s="117" t="s">
        <v>78</v>
      </c>
      <c r="AJ30" s="117">
        <v>0.085048388671875</v>
      </c>
      <c r="AK30" s="117" t="s">
        <v>78</v>
      </c>
      <c r="AL30" s="117">
        <v>1.5566366271973</v>
      </c>
    </row>
    <row r="31" ht="15.75" hidden="1" customHeight="1">
      <c r="A31" s="119">
        <v>1985.0</v>
      </c>
      <c r="B31" s="118" t="s">
        <v>102</v>
      </c>
      <c r="C31" s="117">
        <v>59.947013970947</v>
      </c>
      <c r="D31" s="117">
        <v>136.61953113403</v>
      </c>
      <c r="E31" s="117">
        <v>159.91890279541</v>
      </c>
      <c r="F31" s="117">
        <v>19.494807171631</v>
      </c>
      <c r="G31" s="117">
        <v>9.7375924072266</v>
      </c>
      <c r="H31" s="117">
        <v>128.72843704834</v>
      </c>
      <c r="I31" s="117">
        <v>97.755948345947</v>
      </c>
      <c r="J31" s="117" t="s">
        <v>78</v>
      </c>
      <c r="K31" s="117">
        <v>280.46670019531</v>
      </c>
      <c r="L31" s="117">
        <f t="shared" si="3"/>
        <v>1101.680496</v>
      </c>
      <c r="M31" s="117" t="s">
        <v>78</v>
      </c>
      <c r="N31" s="117" t="s">
        <v>78</v>
      </c>
      <c r="O31" s="117" t="s">
        <v>78</v>
      </c>
      <c r="P31" s="117" t="s">
        <v>78</v>
      </c>
      <c r="Q31" s="117" t="s">
        <v>78</v>
      </c>
      <c r="R31" s="117">
        <v>33.302368249512</v>
      </c>
      <c r="S31" s="117" t="s">
        <v>78</v>
      </c>
      <c r="T31" s="117" t="s">
        <v>78</v>
      </c>
      <c r="U31" s="117" t="s">
        <v>78</v>
      </c>
      <c r="Y31" s="117" t="s">
        <v>78</v>
      </c>
      <c r="Z31" s="117" t="s">
        <v>78</v>
      </c>
      <c r="AA31" s="117" t="s">
        <v>78</v>
      </c>
      <c r="AB31" s="117">
        <v>998.87881295166</v>
      </c>
      <c r="AC31" s="117" t="s">
        <v>78</v>
      </c>
      <c r="AH31" s="117" t="s">
        <v>78</v>
      </c>
      <c r="AI31" s="117" t="s">
        <v>78</v>
      </c>
      <c r="AJ31" s="117" t="s">
        <v>78</v>
      </c>
      <c r="AK31" s="117" t="s">
        <v>78</v>
      </c>
      <c r="AL31" s="117">
        <v>69.499314440918</v>
      </c>
    </row>
    <row r="32" ht="15.75" hidden="1" customHeight="1">
      <c r="A32" s="119">
        <v>1985.0</v>
      </c>
      <c r="B32" s="118" t="s">
        <v>67</v>
      </c>
      <c r="C32" s="117" t="s">
        <v>78</v>
      </c>
      <c r="D32" s="117" t="s">
        <v>78</v>
      </c>
      <c r="E32" s="117" t="s">
        <v>78</v>
      </c>
      <c r="F32" s="117" t="s">
        <v>78</v>
      </c>
      <c r="G32" s="117" t="s">
        <v>78</v>
      </c>
      <c r="H32" s="117" t="s">
        <v>78</v>
      </c>
      <c r="I32" s="117" t="s">
        <v>78</v>
      </c>
      <c r="J32" s="117" t="s">
        <v>78</v>
      </c>
      <c r="K32" s="117" t="s">
        <v>78</v>
      </c>
      <c r="L32" s="117">
        <f t="shared" si="3"/>
        <v>0</v>
      </c>
      <c r="M32" s="117" t="s">
        <v>78</v>
      </c>
      <c r="N32" s="117" t="s">
        <v>78</v>
      </c>
      <c r="O32" s="117" t="s">
        <v>78</v>
      </c>
      <c r="P32" s="117" t="s">
        <v>78</v>
      </c>
      <c r="Q32" s="117" t="s">
        <v>78</v>
      </c>
      <c r="R32" s="117" t="s">
        <v>78</v>
      </c>
      <c r="S32" s="117" t="s">
        <v>78</v>
      </c>
      <c r="T32" s="117" t="s">
        <v>78</v>
      </c>
      <c r="U32" s="117" t="s">
        <v>78</v>
      </c>
      <c r="Y32" s="117" t="s">
        <v>78</v>
      </c>
      <c r="Z32" s="117" t="s">
        <v>78</v>
      </c>
      <c r="AA32" s="117" t="s">
        <v>78</v>
      </c>
      <c r="AB32" s="117" t="s">
        <v>78</v>
      </c>
      <c r="AC32" s="117" t="s">
        <v>78</v>
      </c>
      <c r="AH32" s="117" t="s">
        <v>78</v>
      </c>
      <c r="AI32" s="117" t="s">
        <v>78</v>
      </c>
      <c r="AJ32" s="117" t="s">
        <v>78</v>
      </c>
      <c r="AK32" s="117" t="s">
        <v>78</v>
      </c>
      <c r="AL32" s="117" t="s">
        <v>78</v>
      </c>
    </row>
    <row r="33" ht="15.75" hidden="1" customHeight="1">
      <c r="A33" s="119">
        <v>1985.0</v>
      </c>
      <c r="B33" s="118" t="s">
        <v>88</v>
      </c>
      <c r="C33" s="117" t="s">
        <v>78</v>
      </c>
      <c r="D33" s="117" t="s">
        <v>78</v>
      </c>
      <c r="E33" s="117" t="s">
        <v>78</v>
      </c>
      <c r="F33" s="117" t="s">
        <v>78</v>
      </c>
      <c r="G33" s="117" t="s">
        <v>78</v>
      </c>
      <c r="H33" s="117" t="s">
        <v>78</v>
      </c>
      <c r="I33" s="117" t="s">
        <v>78</v>
      </c>
      <c r="J33" s="117" t="s">
        <v>78</v>
      </c>
      <c r="K33" s="117" t="s">
        <v>78</v>
      </c>
      <c r="L33" s="117">
        <f t="shared" si="3"/>
        <v>0</v>
      </c>
      <c r="M33" s="117" t="s">
        <v>78</v>
      </c>
      <c r="N33" s="117" t="s">
        <v>78</v>
      </c>
      <c r="O33" s="117" t="s">
        <v>78</v>
      </c>
      <c r="P33" s="117" t="s">
        <v>78</v>
      </c>
      <c r="Q33" s="117" t="s">
        <v>78</v>
      </c>
      <c r="R33" s="117" t="s">
        <v>78</v>
      </c>
      <c r="S33" s="117" t="s">
        <v>78</v>
      </c>
      <c r="T33" s="117" t="s">
        <v>78</v>
      </c>
      <c r="U33" s="117" t="s">
        <v>78</v>
      </c>
      <c r="Y33" s="117" t="s">
        <v>78</v>
      </c>
      <c r="Z33" s="117" t="s">
        <v>78</v>
      </c>
      <c r="AA33" s="117" t="s">
        <v>78</v>
      </c>
      <c r="AB33" s="117" t="s">
        <v>78</v>
      </c>
      <c r="AC33" s="117" t="s">
        <v>78</v>
      </c>
      <c r="AH33" s="117" t="s">
        <v>78</v>
      </c>
      <c r="AI33" s="117" t="s">
        <v>78</v>
      </c>
      <c r="AJ33" s="117" t="s">
        <v>78</v>
      </c>
      <c r="AK33" s="117" t="s">
        <v>78</v>
      </c>
      <c r="AL33" s="117" t="s">
        <v>78</v>
      </c>
    </row>
    <row r="34" ht="15.75" hidden="1" customHeight="1">
      <c r="A34" s="119">
        <v>1985.0</v>
      </c>
      <c r="B34" s="118" t="s">
        <v>103</v>
      </c>
      <c r="C34" s="117">
        <v>1.4326721374512</v>
      </c>
      <c r="D34" s="117">
        <v>5.7882294128418</v>
      </c>
      <c r="E34" s="117">
        <v>1.0085448120117</v>
      </c>
      <c r="F34" s="117">
        <v>0.4225151550293</v>
      </c>
      <c r="G34" s="117" t="s">
        <v>78</v>
      </c>
      <c r="H34" s="117" t="s">
        <v>78</v>
      </c>
      <c r="I34" s="117" t="s">
        <v>78</v>
      </c>
      <c r="J34" s="117" t="s">
        <v>78</v>
      </c>
      <c r="K34" s="117" t="s">
        <v>78</v>
      </c>
      <c r="L34" s="117">
        <f t="shared" si="3"/>
        <v>14.25121698</v>
      </c>
      <c r="M34" s="117" t="s">
        <v>78</v>
      </c>
      <c r="N34" s="117" t="s">
        <v>78</v>
      </c>
      <c r="O34" s="117" t="s">
        <v>78</v>
      </c>
      <c r="P34" s="117" t="s">
        <v>78</v>
      </c>
      <c r="Q34" s="117" t="s">
        <v>78</v>
      </c>
      <c r="R34" s="117" t="s">
        <v>78</v>
      </c>
      <c r="S34" s="117" t="s">
        <v>78</v>
      </c>
      <c r="T34" s="117" t="s">
        <v>78</v>
      </c>
      <c r="U34" s="117" t="s">
        <v>78</v>
      </c>
      <c r="Y34" s="117" t="s">
        <v>78</v>
      </c>
      <c r="Z34" s="117" t="s">
        <v>78</v>
      </c>
      <c r="AA34" s="117" t="s">
        <v>78</v>
      </c>
      <c r="AB34" s="117" t="s">
        <v>78</v>
      </c>
      <c r="AC34" s="117" t="s">
        <v>78</v>
      </c>
      <c r="AH34" s="117" t="s">
        <v>78</v>
      </c>
      <c r="AI34" s="117">
        <v>14.167244091797</v>
      </c>
      <c r="AJ34" s="117" t="s">
        <v>78</v>
      </c>
      <c r="AK34" s="117" t="s">
        <v>78</v>
      </c>
      <c r="AL34" s="117">
        <v>0.083972888183594</v>
      </c>
    </row>
    <row r="35" ht="15.75" hidden="1" customHeight="1">
      <c r="A35" s="119">
        <v>1985.0</v>
      </c>
      <c r="B35" s="118" t="s">
        <v>104</v>
      </c>
      <c r="C35" s="117">
        <v>2094.9722244324</v>
      </c>
      <c r="D35" s="117">
        <v>17881.118360315</v>
      </c>
      <c r="E35" s="117">
        <v>559.48525883179</v>
      </c>
      <c r="F35" s="117">
        <v>15325.981583032</v>
      </c>
      <c r="G35" s="117">
        <v>239.00361136475</v>
      </c>
      <c r="H35" s="117">
        <v>5961.2433390197</v>
      </c>
      <c r="I35" s="117" t="s">
        <v>78</v>
      </c>
      <c r="J35" s="117" t="s">
        <v>78</v>
      </c>
      <c r="K35" s="117">
        <v>783.30930079346</v>
      </c>
      <c r="L35" s="117">
        <f t="shared" si="3"/>
        <v>34317.9116</v>
      </c>
      <c r="M35" s="117">
        <v>24.024197955322</v>
      </c>
      <c r="N35" s="117" t="s">
        <v>78</v>
      </c>
      <c r="O35" s="117" t="s">
        <v>78</v>
      </c>
      <c r="P35" s="117" t="s">
        <v>78</v>
      </c>
      <c r="Q35" s="117" t="s">
        <v>78</v>
      </c>
      <c r="R35" s="117">
        <v>20.712885455322</v>
      </c>
      <c r="S35" s="117" t="s">
        <v>78</v>
      </c>
      <c r="T35" s="117" t="s">
        <v>78</v>
      </c>
      <c r="U35" s="117" t="s">
        <v>78</v>
      </c>
      <c r="Y35" s="117">
        <v>0.089314965820313</v>
      </c>
      <c r="Z35" s="117" t="s">
        <v>78</v>
      </c>
      <c r="AA35" s="117">
        <v>1.2734732055664</v>
      </c>
      <c r="AB35" s="117">
        <v>0.25544219970703</v>
      </c>
      <c r="AC35" s="117" t="s">
        <v>78</v>
      </c>
      <c r="AH35" s="117" t="s">
        <v>78</v>
      </c>
      <c r="AI35" s="117" t="s">
        <v>78</v>
      </c>
      <c r="AJ35" s="117">
        <v>34175.248983435</v>
      </c>
      <c r="AK35" s="117" t="s">
        <v>78</v>
      </c>
      <c r="AL35" s="117">
        <v>96.307304345703</v>
      </c>
    </row>
    <row r="36" ht="15.75" hidden="1" customHeight="1">
      <c r="A36" s="119">
        <v>1985.0</v>
      </c>
      <c r="B36" s="118" t="s">
        <v>68</v>
      </c>
      <c r="C36" s="117" t="s">
        <v>78</v>
      </c>
      <c r="D36" s="117" t="s">
        <v>78</v>
      </c>
      <c r="E36" s="117" t="s">
        <v>78</v>
      </c>
      <c r="F36" s="117" t="s">
        <v>78</v>
      </c>
      <c r="G36" s="117" t="s">
        <v>78</v>
      </c>
      <c r="H36" s="117" t="s">
        <v>78</v>
      </c>
      <c r="I36" s="117" t="s">
        <v>78</v>
      </c>
      <c r="J36" s="117" t="s">
        <v>78</v>
      </c>
      <c r="K36" s="117" t="s">
        <v>78</v>
      </c>
      <c r="L36" s="117">
        <f t="shared" si="3"/>
        <v>0</v>
      </c>
      <c r="M36" s="117" t="s">
        <v>78</v>
      </c>
      <c r="N36" s="117" t="s">
        <v>78</v>
      </c>
      <c r="O36" s="117" t="s">
        <v>78</v>
      </c>
      <c r="P36" s="117" t="s">
        <v>78</v>
      </c>
      <c r="Q36" s="117" t="s">
        <v>78</v>
      </c>
      <c r="R36" s="117" t="s">
        <v>78</v>
      </c>
      <c r="S36" s="117" t="s">
        <v>78</v>
      </c>
      <c r="T36" s="117" t="s">
        <v>78</v>
      </c>
      <c r="U36" s="117" t="s">
        <v>78</v>
      </c>
      <c r="Y36" s="117" t="s">
        <v>78</v>
      </c>
      <c r="Z36" s="117" t="s">
        <v>78</v>
      </c>
      <c r="AA36" s="117" t="s">
        <v>78</v>
      </c>
      <c r="AB36" s="117" t="s">
        <v>78</v>
      </c>
      <c r="AC36" s="117" t="s">
        <v>78</v>
      </c>
      <c r="AH36" s="117" t="s">
        <v>78</v>
      </c>
      <c r="AI36" s="117" t="s">
        <v>78</v>
      </c>
      <c r="AJ36" s="117" t="s">
        <v>78</v>
      </c>
      <c r="AK36" s="117" t="s">
        <v>78</v>
      </c>
      <c r="AL36" s="117" t="s">
        <v>78</v>
      </c>
    </row>
    <row r="37" ht="15.75" hidden="1" customHeight="1">
      <c r="A37" s="119">
        <v>1985.0</v>
      </c>
      <c r="B37" s="118" t="s">
        <v>105</v>
      </c>
      <c r="C37" s="117">
        <v>49191.919394092</v>
      </c>
      <c r="D37" s="117">
        <v>19555.857091998</v>
      </c>
      <c r="E37" s="117">
        <v>28624.427094342</v>
      </c>
      <c r="F37" s="117">
        <v>23113.718183282</v>
      </c>
      <c r="G37" s="117">
        <v>40.460738195801</v>
      </c>
      <c r="H37" s="117">
        <v>689.23621785278</v>
      </c>
      <c r="I37" s="117">
        <v>82.490445013428</v>
      </c>
      <c r="J37" s="117" t="s">
        <v>78</v>
      </c>
      <c r="K37" s="117">
        <v>36403.084773444</v>
      </c>
      <c r="L37" s="117">
        <f t="shared" si="3"/>
        <v>1032740.943</v>
      </c>
      <c r="M37" s="117">
        <v>12329.610302411</v>
      </c>
      <c r="N37" s="117" t="s">
        <v>78</v>
      </c>
      <c r="O37" s="117" t="s">
        <v>78</v>
      </c>
      <c r="P37" s="117" t="s">
        <v>78</v>
      </c>
      <c r="Q37" s="117">
        <v>2570.4799628052</v>
      </c>
      <c r="R37" s="117">
        <v>70.990914251709</v>
      </c>
      <c r="S37" s="117">
        <v>2.8450342163086</v>
      </c>
      <c r="T37" s="117" t="s">
        <v>78</v>
      </c>
      <c r="U37" s="117">
        <v>13.004591461182</v>
      </c>
      <c r="Y37" s="117">
        <v>155.66790116577</v>
      </c>
      <c r="Z37" s="117" t="s">
        <v>78</v>
      </c>
      <c r="AA37" s="117">
        <v>5.6218707702637</v>
      </c>
      <c r="AB37" s="117">
        <v>23.705270056152</v>
      </c>
      <c r="AC37" s="117" t="s">
        <v>78</v>
      </c>
      <c r="AH37" s="117" t="s">
        <v>78</v>
      </c>
      <c r="AI37" s="117">
        <v>0.4200689453125</v>
      </c>
      <c r="AJ37" s="117">
        <v>0.089316455078125</v>
      </c>
      <c r="AK37" s="117" t="s">
        <v>78</v>
      </c>
      <c r="AL37" s="117">
        <v>1017568.5075453</v>
      </c>
    </row>
    <row r="38" ht="15.75" hidden="1" customHeight="1">
      <c r="B38" s="123"/>
    </row>
    <row r="39" ht="15.75" hidden="1" customHeight="1">
      <c r="B39" s="123"/>
    </row>
    <row r="40" ht="15.75" hidden="1" customHeight="1">
      <c r="B40" s="123"/>
    </row>
    <row r="41" ht="15.75" hidden="1" customHeight="1">
      <c r="B41" s="123"/>
    </row>
    <row r="42" ht="15.75" hidden="1" customHeight="1">
      <c r="B42" s="123"/>
    </row>
    <row r="43" ht="15.75" customHeight="1">
      <c r="B43" s="123"/>
    </row>
    <row r="44" ht="15.75" customHeight="1">
      <c r="B44" s="123"/>
    </row>
    <row r="45" ht="15.75" customHeight="1">
      <c r="B45" s="123"/>
    </row>
    <row r="46" ht="15.75" customHeight="1">
      <c r="B46" s="123"/>
    </row>
    <row r="47" ht="15.75" customHeight="1">
      <c r="B47" s="123"/>
    </row>
    <row r="48" ht="15.75" customHeight="1">
      <c r="B48" s="123"/>
    </row>
    <row r="49" ht="15.75" customHeight="1">
      <c r="B49" s="123"/>
    </row>
    <row r="50" ht="15.75" customHeight="1">
      <c r="B50" s="123"/>
    </row>
    <row r="51" ht="15.75" customHeight="1">
      <c r="B51" s="123"/>
    </row>
    <row r="52" ht="15.75" customHeight="1">
      <c r="B52" s="123"/>
    </row>
    <row r="53" ht="15.75" customHeight="1">
      <c r="B53" s="123"/>
    </row>
    <row r="54" ht="15.75" customHeight="1">
      <c r="B54" s="123"/>
    </row>
    <row r="55" ht="15.75" customHeight="1">
      <c r="B55" s="123"/>
    </row>
    <row r="56" ht="15.75" customHeight="1">
      <c r="B56" s="123"/>
    </row>
    <row r="57" ht="15.75" customHeight="1">
      <c r="B57" s="123"/>
    </row>
    <row r="58" ht="15.75" customHeight="1">
      <c r="B58" s="123"/>
    </row>
    <row r="59" ht="15.75" customHeight="1">
      <c r="B59" s="123"/>
    </row>
    <row r="60" ht="15.75" customHeight="1">
      <c r="B60" s="123"/>
    </row>
    <row r="61" ht="15.75" customHeight="1">
      <c r="B61" s="123"/>
    </row>
    <row r="62" ht="15.75" customHeight="1">
      <c r="B62" s="123"/>
    </row>
    <row r="63" ht="15.75" customHeight="1">
      <c r="B63" s="123"/>
    </row>
    <row r="64" ht="15.75" customHeight="1">
      <c r="B64" s="123"/>
    </row>
    <row r="65" ht="15.75" customHeight="1">
      <c r="B65" s="123"/>
    </row>
    <row r="66" ht="15.75" customHeight="1">
      <c r="B66" s="123"/>
    </row>
    <row r="67" ht="15.75" customHeight="1">
      <c r="B67" s="123"/>
    </row>
    <row r="68" ht="15.75" customHeight="1">
      <c r="B68" s="123"/>
    </row>
    <row r="69" ht="15.75" customHeight="1">
      <c r="B69" s="123"/>
    </row>
    <row r="70" ht="15.75" customHeight="1">
      <c r="B70" s="123"/>
    </row>
    <row r="71" ht="15.75" customHeight="1">
      <c r="B71" s="123"/>
    </row>
    <row r="72" ht="15.75" customHeight="1">
      <c r="B72" s="123"/>
    </row>
    <row r="73" ht="15.75" customHeight="1">
      <c r="B73" s="123"/>
    </row>
    <row r="74" ht="15.75" customHeight="1">
      <c r="B74" s="123"/>
    </row>
    <row r="75" ht="15.75" customHeight="1">
      <c r="B75" s="123"/>
    </row>
    <row r="76" ht="15.75" customHeight="1">
      <c r="B76" s="123"/>
    </row>
    <row r="77" ht="15.75" customHeight="1">
      <c r="B77" s="123"/>
    </row>
    <row r="78" ht="15.75" customHeight="1">
      <c r="B78" s="123"/>
    </row>
    <row r="79" ht="15.75" customHeight="1">
      <c r="B79" s="123"/>
    </row>
    <row r="80" ht="15.75" customHeight="1">
      <c r="B80" s="123"/>
    </row>
    <row r="81" ht="15.75" customHeight="1">
      <c r="B81" s="123"/>
    </row>
    <row r="82" ht="15.75" customHeight="1">
      <c r="B82" s="123"/>
    </row>
    <row r="83" ht="15.75" customHeight="1">
      <c r="B83" s="123"/>
    </row>
    <row r="84" ht="15.75" customHeight="1">
      <c r="B84" s="123"/>
    </row>
    <row r="85" ht="15.75" customHeight="1">
      <c r="B85" s="123"/>
    </row>
    <row r="86" ht="15.75" customHeight="1">
      <c r="B86" s="123"/>
    </row>
    <row r="87" ht="15.75" customHeight="1">
      <c r="B87" s="123"/>
    </row>
    <row r="88" ht="15.75" customHeight="1">
      <c r="B88" s="123"/>
    </row>
    <row r="89" ht="15.75" customHeight="1">
      <c r="B89" s="123"/>
    </row>
    <row r="90" ht="15.75" customHeight="1">
      <c r="B90" s="123"/>
    </row>
    <row r="91" ht="15.75" customHeight="1">
      <c r="B91" s="123"/>
    </row>
    <row r="92" ht="15.75" customHeight="1">
      <c r="B92" s="123"/>
    </row>
    <row r="93" ht="15.75" customHeight="1">
      <c r="B93" s="123"/>
    </row>
    <row r="94" ht="15.75" customHeight="1">
      <c r="B94" s="123"/>
    </row>
    <row r="95" ht="15.75" customHeight="1">
      <c r="B95" s="123"/>
    </row>
    <row r="96" ht="15.75" customHeight="1">
      <c r="B96" s="123"/>
    </row>
    <row r="97" ht="15.75" customHeight="1">
      <c r="B97" s="123"/>
    </row>
    <row r="98" ht="15.75" customHeight="1">
      <c r="B98" s="123"/>
    </row>
    <row r="99" ht="15.75" customHeight="1">
      <c r="B99" s="123"/>
    </row>
    <row r="100" ht="15.75" customHeight="1">
      <c r="B100" s="123"/>
    </row>
    <row r="101" ht="15.75" customHeight="1">
      <c r="B101" s="123"/>
    </row>
    <row r="102" ht="15.75" customHeight="1">
      <c r="B102" s="123"/>
    </row>
    <row r="103" ht="15.75" customHeight="1">
      <c r="B103" s="123"/>
    </row>
    <row r="104" ht="15.75" customHeight="1">
      <c r="B104" s="123"/>
    </row>
    <row r="105" ht="15.75" customHeight="1">
      <c r="B105" s="123"/>
    </row>
    <row r="106" ht="15.75" customHeight="1">
      <c r="B106" s="123"/>
    </row>
    <row r="107" ht="15.75" customHeight="1">
      <c r="B107" s="123"/>
    </row>
    <row r="108" ht="15.75" customHeight="1">
      <c r="B108" s="123"/>
    </row>
    <row r="109" ht="15.75" customHeight="1">
      <c r="B109" s="123"/>
    </row>
    <row r="110" ht="15.75" customHeight="1">
      <c r="B110" s="123"/>
    </row>
    <row r="111" ht="15.75" customHeight="1">
      <c r="B111" s="123"/>
    </row>
    <row r="112" ht="15.75" customHeight="1">
      <c r="B112" s="123"/>
    </row>
    <row r="113" ht="15.75" customHeight="1">
      <c r="B113" s="123"/>
    </row>
    <row r="114" ht="15.75" customHeight="1">
      <c r="B114" s="123"/>
    </row>
    <row r="115" ht="15.75" customHeight="1">
      <c r="B115" s="123"/>
    </row>
    <row r="116" ht="15.75" customHeight="1">
      <c r="B116" s="123"/>
    </row>
    <row r="117" ht="15.75" customHeight="1">
      <c r="B117" s="123"/>
    </row>
    <row r="118" ht="15.75" customHeight="1">
      <c r="B118" s="123"/>
    </row>
    <row r="119" ht="15.75" customHeight="1">
      <c r="B119" s="123"/>
    </row>
    <row r="120" ht="15.75" customHeight="1">
      <c r="B120" s="123"/>
    </row>
    <row r="121" ht="15.75" customHeight="1">
      <c r="B121" s="123"/>
    </row>
    <row r="122" ht="15.75" customHeight="1">
      <c r="B122" s="123"/>
    </row>
    <row r="123" ht="15.75" customHeight="1">
      <c r="B123" s="123"/>
    </row>
    <row r="124" ht="15.75" customHeight="1">
      <c r="B124" s="123"/>
    </row>
    <row r="125" ht="15.75" customHeight="1">
      <c r="B125" s="123"/>
    </row>
    <row r="126" ht="15.75" customHeight="1">
      <c r="B126" s="123"/>
    </row>
    <row r="127" ht="15.75" customHeight="1">
      <c r="B127" s="123"/>
    </row>
    <row r="128" ht="15.75" customHeight="1">
      <c r="B128" s="123"/>
    </row>
    <row r="129" ht="15.75" customHeight="1">
      <c r="B129" s="123"/>
    </row>
    <row r="130" ht="15.75" customHeight="1">
      <c r="B130" s="123"/>
    </row>
    <row r="131" ht="15.75" customHeight="1">
      <c r="B131" s="123"/>
    </row>
    <row r="132" ht="15.75" customHeight="1">
      <c r="B132" s="123"/>
    </row>
    <row r="133" ht="15.75" customHeight="1">
      <c r="B133" s="123"/>
    </row>
    <row r="134" ht="15.75" customHeight="1">
      <c r="B134" s="123"/>
    </row>
    <row r="135" ht="15.75" customHeight="1">
      <c r="B135" s="123"/>
    </row>
    <row r="136" ht="15.75" customHeight="1">
      <c r="B136" s="123"/>
    </row>
    <row r="137" ht="15.75" customHeight="1">
      <c r="B137" s="123"/>
    </row>
    <row r="138" ht="15.75" customHeight="1">
      <c r="B138" s="123"/>
    </row>
    <row r="139" ht="15.75" customHeight="1">
      <c r="B139" s="123"/>
    </row>
    <row r="140" ht="15.75" customHeight="1">
      <c r="B140" s="123"/>
    </row>
    <row r="141" ht="15.75" customHeight="1">
      <c r="B141" s="123"/>
    </row>
    <row r="142" ht="15.75" customHeight="1">
      <c r="B142" s="123"/>
    </row>
    <row r="143" ht="15.75" customHeight="1">
      <c r="B143" s="123"/>
    </row>
    <row r="144" ht="15.75" customHeight="1">
      <c r="B144" s="123"/>
    </row>
    <row r="145" ht="15.75" customHeight="1">
      <c r="B145" s="123"/>
    </row>
    <row r="146" ht="15.75" customHeight="1">
      <c r="B146" s="123"/>
    </row>
    <row r="147" ht="15.75" customHeight="1">
      <c r="B147" s="123"/>
    </row>
    <row r="148" ht="15.75" customHeight="1">
      <c r="B148" s="123"/>
    </row>
    <row r="149" ht="15.75" customHeight="1">
      <c r="B149" s="123"/>
    </row>
    <row r="150" ht="15.75" customHeight="1">
      <c r="B150" s="123"/>
    </row>
    <row r="151" ht="15.75" customHeight="1">
      <c r="B151" s="123"/>
    </row>
    <row r="152" ht="15.75" customHeight="1">
      <c r="B152" s="123"/>
    </row>
    <row r="153" ht="15.75" customHeight="1">
      <c r="B153" s="123"/>
    </row>
    <row r="154" ht="15.75" customHeight="1">
      <c r="B154" s="123"/>
    </row>
    <row r="155" ht="15.75" customHeight="1">
      <c r="B155" s="123"/>
    </row>
    <row r="156" ht="15.75" customHeight="1">
      <c r="B156" s="123"/>
    </row>
    <row r="157" ht="15.75" customHeight="1">
      <c r="B157" s="123"/>
    </row>
    <row r="158" ht="15.75" customHeight="1">
      <c r="B158" s="123"/>
    </row>
    <row r="159" ht="15.75" customHeight="1">
      <c r="B159" s="123"/>
    </row>
    <row r="160" ht="15.75" customHeight="1">
      <c r="B160" s="123"/>
    </row>
    <row r="161" ht="15.75" customHeight="1">
      <c r="B161" s="123"/>
    </row>
    <row r="162" ht="15.75" customHeight="1">
      <c r="B162" s="123"/>
    </row>
    <row r="163" ht="15.75" customHeight="1">
      <c r="B163" s="123"/>
    </row>
    <row r="164" ht="15.75" customHeight="1">
      <c r="B164" s="123"/>
    </row>
    <row r="165" ht="15.75" customHeight="1">
      <c r="B165" s="123"/>
    </row>
    <row r="166" ht="15.75" customHeight="1">
      <c r="B166" s="123"/>
    </row>
    <row r="167" ht="15.75" customHeight="1">
      <c r="B167" s="123"/>
    </row>
    <row r="168" ht="15.75" customHeight="1">
      <c r="B168" s="123"/>
    </row>
    <row r="169" ht="15.75" customHeight="1">
      <c r="B169" s="123"/>
    </row>
    <row r="170" ht="15.75" customHeight="1">
      <c r="B170" s="123"/>
    </row>
    <row r="171" ht="15.75" customHeight="1">
      <c r="B171" s="123"/>
    </row>
    <row r="172" ht="15.75" customHeight="1">
      <c r="B172" s="123"/>
    </row>
    <row r="173" ht="15.75" customHeight="1">
      <c r="B173" s="123"/>
    </row>
    <row r="174" ht="15.75" customHeight="1">
      <c r="B174" s="123"/>
    </row>
    <row r="175" ht="15.75" customHeight="1">
      <c r="B175" s="123"/>
    </row>
    <row r="176" ht="15.75" customHeight="1">
      <c r="B176" s="123"/>
    </row>
    <row r="177" ht="15.75" customHeight="1">
      <c r="B177" s="123"/>
    </row>
    <row r="178" ht="15.75" customHeight="1">
      <c r="B178" s="123"/>
    </row>
    <row r="179" ht="15.75" customHeight="1">
      <c r="B179" s="123"/>
    </row>
    <row r="180" ht="15.75" customHeight="1">
      <c r="B180" s="123"/>
    </row>
    <row r="181" ht="15.75" customHeight="1">
      <c r="B181" s="123"/>
    </row>
    <row r="182" ht="15.75" customHeight="1">
      <c r="B182" s="123"/>
    </row>
    <row r="183" ht="15.75" customHeight="1">
      <c r="B183" s="123"/>
    </row>
    <row r="184" ht="15.75" customHeight="1">
      <c r="B184" s="123"/>
    </row>
    <row r="185" ht="15.75" customHeight="1">
      <c r="B185" s="123"/>
    </row>
    <row r="186" ht="15.75" customHeight="1">
      <c r="B186" s="123"/>
    </row>
    <row r="187" ht="15.75" customHeight="1">
      <c r="B187" s="123"/>
    </row>
    <row r="188" ht="15.75" customHeight="1">
      <c r="B188" s="123"/>
    </row>
    <row r="189" ht="15.75" customHeight="1">
      <c r="B189" s="123"/>
    </row>
    <row r="190" ht="15.75" customHeight="1">
      <c r="B190" s="123"/>
    </row>
    <row r="191" ht="15.75" customHeight="1">
      <c r="B191" s="123"/>
    </row>
    <row r="192" ht="15.75" customHeight="1">
      <c r="B192" s="123"/>
    </row>
    <row r="193" ht="15.75" customHeight="1">
      <c r="B193" s="123"/>
    </row>
    <row r="194" ht="15.75" customHeight="1">
      <c r="B194" s="123"/>
    </row>
    <row r="195" ht="15.75" customHeight="1">
      <c r="B195" s="123"/>
    </row>
    <row r="196" ht="15.75" customHeight="1">
      <c r="B196" s="123"/>
    </row>
    <row r="197" ht="15.75" customHeight="1">
      <c r="B197" s="123"/>
    </row>
    <row r="198" ht="15.75" customHeight="1">
      <c r="B198" s="123"/>
    </row>
    <row r="199" ht="15.75" customHeight="1">
      <c r="B199" s="123"/>
    </row>
    <row r="200" ht="15.75" customHeight="1">
      <c r="B200" s="123"/>
    </row>
    <row r="201" ht="15.75" customHeight="1">
      <c r="B201" s="123"/>
    </row>
    <row r="202" ht="15.75" customHeight="1">
      <c r="B202" s="123"/>
    </row>
    <row r="203" ht="15.75" customHeight="1">
      <c r="B203" s="123"/>
    </row>
    <row r="204" ht="15.75" customHeight="1">
      <c r="B204" s="123"/>
    </row>
    <row r="205" ht="15.75" customHeight="1">
      <c r="B205" s="123"/>
    </row>
    <row r="206" ht="15.75" customHeight="1">
      <c r="B206" s="123"/>
    </row>
    <row r="207" ht="15.75" customHeight="1">
      <c r="B207" s="123"/>
    </row>
    <row r="208" ht="15.75" customHeight="1">
      <c r="B208" s="123"/>
    </row>
    <row r="209" ht="15.75" customHeight="1">
      <c r="B209" s="123"/>
    </row>
    <row r="210" ht="15.75" customHeight="1">
      <c r="B210" s="123"/>
    </row>
    <row r="211" ht="15.75" customHeight="1">
      <c r="B211" s="123"/>
    </row>
    <row r="212" ht="15.75" customHeight="1">
      <c r="B212" s="123"/>
    </row>
    <row r="213" ht="15.75" customHeight="1">
      <c r="B213" s="123"/>
    </row>
    <row r="214" ht="15.75" customHeight="1">
      <c r="B214" s="123"/>
    </row>
    <row r="215" ht="15.75" customHeight="1">
      <c r="B215" s="123"/>
    </row>
    <row r="216" ht="15.75" customHeight="1">
      <c r="B216" s="123"/>
    </row>
    <row r="217" ht="15.75" customHeight="1">
      <c r="B217" s="123"/>
    </row>
    <row r="218" ht="15.75" customHeight="1">
      <c r="B218" s="123"/>
    </row>
    <row r="219" ht="15.75" customHeight="1">
      <c r="B219" s="123"/>
    </row>
    <row r="220" ht="15.75" customHeight="1">
      <c r="B220" s="123"/>
    </row>
    <row r="221" ht="15.75" customHeight="1">
      <c r="B221" s="123"/>
    </row>
    <row r="222" ht="15.75" customHeight="1">
      <c r="B222" s="123"/>
    </row>
    <row r="223" ht="15.75" customHeight="1">
      <c r="B223" s="123"/>
    </row>
    <row r="224" ht="15.75" customHeight="1">
      <c r="B224" s="123"/>
    </row>
    <row r="225" ht="15.75" customHeight="1">
      <c r="B225" s="123"/>
    </row>
    <row r="226" ht="15.75" customHeight="1">
      <c r="B226" s="123"/>
    </row>
    <row r="227" ht="15.75" customHeight="1">
      <c r="B227" s="123"/>
    </row>
    <row r="228" ht="15.75" customHeight="1">
      <c r="B228" s="123"/>
    </row>
    <row r="229" ht="15.75" customHeight="1">
      <c r="B229" s="123"/>
    </row>
    <row r="230" ht="15.75" customHeight="1">
      <c r="B230" s="123"/>
    </row>
    <row r="231" ht="15.75" customHeight="1">
      <c r="B231" s="123"/>
    </row>
    <row r="232" ht="15.75" customHeight="1">
      <c r="B232" s="123"/>
    </row>
    <row r="233" ht="15.75" customHeight="1">
      <c r="B233" s="123"/>
    </row>
    <row r="234" ht="15.75" customHeight="1">
      <c r="B234" s="123"/>
    </row>
    <row r="235" ht="15.75" customHeight="1">
      <c r="B235" s="123"/>
    </row>
    <row r="236" ht="15.75" customHeight="1">
      <c r="B236" s="123"/>
    </row>
    <row r="237" ht="15.75" customHeight="1">
      <c r="B237" s="123"/>
    </row>
    <row r="238" ht="15.75" customHeight="1">
      <c r="B238" s="123"/>
    </row>
    <row r="239" ht="15.75" customHeight="1">
      <c r="B239" s="123"/>
    </row>
    <row r="240" ht="15.75" customHeight="1">
      <c r="B240" s="123"/>
    </row>
    <row r="241" ht="15.75" customHeight="1">
      <c r="B241" s="123"/>
    </row>
    <row r="242" ht="15.75" customHeight="1">
      <c r="B242" s="123"/>
    </row>
    <row r="243" ht="15.75" customHeight="1">
      <c r="B243" s="123"/>
    </row>
    <row r="244" ht="15.75" customHeight="1">
      <c r="B244" s="123"/>
    </row>
    <row r="245" ht="15.75" customHeight="1">
      <c r="B245" s="123"/>
    </row>
    <row r="246" ht="15.75" customHeight="1">
      <c r="B246" s="123"/>
    </row>
    <row r="247" ht="15.75" customHeight="1">
      <c r="B247" s="123"/>
    </row>
    <row r="248" ht="15.75" customHeight="1">
      <c r="B248" s="123"/>
    </row>
    <row r="249" ht="15.75" customHeight="1">
      <c r="B249" s="123"/>
    </row>
    <row r="250" ht="15.75" customHeight="1">
      <c r="B250" s="123"/>
    </row>
    <row r="251" ht="15.75" customHeight="1">
      <c r="B251" s="123"/>
    </row>
    <row r="252" ht="15.75" customHeight="1">
      <c r="B252" s="123"/>
    </row>
    <row r="253" ht="15.75" customHeight="1">
      <c r="B253" s="123"/>
    </row>
    <row r="254" ht="15.75" customHeight="1">
      <c r="B254" s="123"/>
    </row>
    <row r="255" ht="15.75" customHeight="1">
      <c r="B255" s="123"/>
    </row>
    <row r="256" ht="15.75" customHeight="1">
      <c r="B256" s="123"/>
    </row>
    <row r="257" ht="15.75" customHeight="1">
      <c r="B257" s="123"/>
    </row>
    <row r="258" ht="15.75" customHeight="1">
      <c r="B258" s="123"/>
    </row>
    <row r="259" ht="15.75" customHeight="1">
      <c r="B259" s="123"/>
    </row>
    <row r="260" ht="15.75" customHeight="1">
      <c r="B260" s="123"/>
    </row>
    <row r="261" ht="15.75" customHeight="1">
      <c r="B261" s="123"/>
    </row>
    <row r="262" ht="15.75" customHeight="1">
      <c r="B262" s="123"/>
    </row>
    <row r="263" ht="15.75" customHeight="1">
      <c r="B263" s="123"/>
    </row>
    <row r="264" ht="15.75" customHeight="1">
      <c r="B264" s="123"/>
    </row>
    <row r="265" ht="15.75" customHeight="1">
      <c r="B265" s="123"/>
    </row>
    <row r="266" ht="15.75" customHeight="1">
      <c r="B266" s="123"/>
    </row>
    <row r="267" ht="15.75" customHeight="1">
      <c r="B267" s="123"/>
    </row>
    <row r="268" ht="15.75" customHeight="1">
      <c r="B268" s="123"/>
    </row>
    <row r="269" ht="15.75" customHeight="1">
      <c r="B269" s="123"/>
    </row>
    <row r="270" ht="15.75" customHeight="1">
      <c r="B270" s="123"/>
    </row>
    <row r="271" ht="15.75" customHeight="1">
      <c r="B271" s="123"/>
    </row>
    <row r="272" ht="15.75" customHeight="1">
      <c r="B272" s="123"/>
    </row>
    <row r="273" ht="15.75" customHeight="1">
      <c r="B273" s="123"/>
    </row>
    <row r="274" ht="15.75" customHeight="1">
      <c r="B274" s="123"/>
    </row>
    <row r="275" ht="15.75" customHeight="1">
      <c r="B275" s="123"/>
    </row>
    <row r="276" ht="15.75" customHeight="1">
      <c r="B276" s="123"/>
    </row>
    <row r="277" ht="15.75" customHeight="1">
      <c r="B277" s="123"/>
    </row>
    <row r="278" ht="15.75" customHeight="1">
      <c r="B278" s="123"/>
    </row>
    <row r="279" ht="15.75" customHeight="1">
      <c r="B279" s="123"/>
    </row>
    <row r="280" ht="15.75" customHeight="1">
      <c r="B280" s="123"/>
    </row>
    <row r="281" ht="15.75" customHeight="1">
      <c r="B281" s="123"/>
    </row>
    <row r="282" ht="15.75" customHeight="1">
      <c r="B282" s="123"/>
    </row>
    <row r="283" ht="15.75" customHeight="1">
      <c r="B283" s="123"/>
    </row>
    <row r="284" ht="15.75" customHeight="1">
      <c r="B284" s="123"/>
    </row>
    <row r="285" ht="15.75" customHeight="1">
      <c r="B285" s="123"/>
    </row>
    <row r="286" ht="15.75" customHeight="1">
      <c r="B286" s="123"/>
    </row>
    <row r="287" ht="15.75" customHeight="1">
      <c r="B287" s="123"/>
    </row>
    <row r="288" ht="15.75" customHeight="1">
      <c r="B288" s="123"/>
    </row>
    <row r="289" ht="15.75" customHeight="1">
      <c r="B289" s="123"/>
    </row>
    <row r="290" ht="15.75" customHeight="1">
      <c r="B290" s="123"/>
    </row>
    <row r="291" ht="15.75" customHeight="1">
      <c r="B291" s="123"/>
    </row>
    <row r="292" ht="15.75" customHeight="1">
      <c r="B292" s="123"/>
    </row>
    <row r="293" ht="15.75" customHeight="1">
      <c r="B293" s="123"/>
    </row>
    <row r="294" ht="15.75" customHeight="1">
      <c r="B294" s="123"/>
    </row>
    <row r="295" ht="15.75" customHeight="1">
      <c r="B295" s="123"/>
    </row>
    <row r="296" ht="15.75" customHeight="1">
      <c r="B296" s="123"/>
    </row>
    <row r="297" ht="15.75" customHeight="1">
      <c r="B297" s="123"/>
    </row>
    <row r="298" ht="15.75" customHeight="1">
      <c r="B298" s="123"/>
    </row>
    <row r="299" ht="15.75" customHeight="1">
      <c r="B299" s="123"/>
    </row>
    <row r="300" ht="15.75" customHeight="1">
      <c r="B300" s="123"/>
    </row>
    <row r="301" ht="15.75" customHeight="1">
      <c r="B301" s="123"/>
    </row>
    <row r="302" ht="15.75" customHeight="1">
      <c r="B302" s="123"/>
    </row>
    <row r="303" ht="15.75" customHeight="1">
      <c r="B303" s="123"/>
    </row>
    <row r="304" ht="15.75" customHeight="1">
      <c r="B304" s="123"/>
    </row>
    <row r="305" ht="15.75" customHeight="1">
      <c r="B305" s="123"/>
    </row>
    <row r="306" ht="15.75" customHeight="1">
      <c r="B306" s="123"/>
    </row>
    <row r="307" ht="15.75" customHeight="1">
      <c r="B307" s="123"/>
    </row>
    <row r="308" ht="15.75" customHeight="1">
      <c r="B308" s="123"/>
    </row>
    <row r="309" ht="15.75" customHeight="1">
      <c r="B309" s="123"/>
    </row>
    <row r="310" ht="15.75" customHeight="1">
      <c r="B310" s="123"/>
    </row>
    <row r="311" ht="15.75" customHeight="1">
      <c r="B311" s="123"/>
    </row>
    <row r="312" ht="15.75" customHeight="1">
      <c r="B312" s="123"/>
    </row>
    <row r="313" ht="15.75" customHeight="1">
      <c r="B313" s="123"/>
    </row>
    <row r="314" ht="15.75" customHeight="1">
      <c r="B314" s="123"/>
    </row>
    <row r="315" ht="15.75" customHeight="1">
      <c r="B315" s="123"/>
    </row>
    <row r="316" ht="15.75" customHeight="1">
      <c r="B316" s="123"/>
    </row>
    <row r="317" ht="15.75" customHeight="1">
      <c r="B317" s="123"/>
    </row>
    <row r="318" ht="15.75" customHeight="1">
      <c r="B318" s="123"/>
    </row>
    <row r="319" ht="15.75" customHeight="1">
      <c r="B319" s="123"/>
    </row>
    <row r="320" ht="15.75" customHeight="1">
      <c r="B320" s="123"/>
    </row>
    <row r="321" ht="15.75" customHeight="1">
      <c r="B321" s="123"/>
    </row>
    <row r="322" ht="15.75" customHeight="1">
      <c r="B322" s="123"/>
    </row>
    <row r="323" ht="15.75" customHeight="1">
      <c r="B323" s="123"/>
    </row>
    <row r="324" ht="15.75" customHeight="1">
      <c r="B324" s="123"/>
    </row>
    <row r="325" ht="15.75" customHeight="1">
      <c r="B325" s="123"/>
    </row>
    <row r="326" ht="15.75" customHeight="1">
      <c r="B326" s="123"/>
    </row>
    <row r="327" ht="15.75" customHeight="1">
      <c r="B327" s="123"/>
    </row>
    <row r="328" ht="15.75" customHeight="1">
      <c r="B328" s="123"/>
    </row>
    <row r="329" ht="15.75" customHeight="1">
      <c r="B329" s="123"/>
    </row>
    <row r="330" ht="15.75" customHeight="1">
      <c r="B330" s="123"/>
    </row>
    <row r="331" ht="15.75" customHeight="1">
      <c r="B331" s="123"/>
    </row>
    <row r="332" ht="15.75" customHeight="1">
      <c r="B332" s="123"/>
    </row>
    <row r="333" ht="15.75" customHeight="1">
      <c r="B333" s="123"/>
    </row>
    <row r="334" ht="15.75" customHeight="1">
      <c r="B334" s="123"/>
    </row>
    <row r="335" ht="15.75" customHeight="1">
      <c r="B335" s="123"/>
    </row>
    <row r="336" ht="15.75" customHeight="1">
      <c r="B336" s="123"/>
    </row>
    <row r="337" ht="15.75" customHeight="1">
      <c r="B337" s="123"/>
    </row>
    <row r="338" ht="15.75" customHeight="1">
      <c r="B338" s="123"/>
    </row>
    <row r="339" ht="15.75" customHeight="1">
      <c r="B339" s="123"/>
    </row>
    <row r="340" ht="15.75" customHeight="1">
      <c r="B340" s="123"/>
    </row>
    <row r="341" ht="15.75" customHeight="1">
      <c r="B341" s="123"/>
    </row>
    <row r="342" ht="15.75" customHeight="1">
      <c r="B342" s="123"/>
    </row>
    <row r="343" ht="15.75" customHeight="1">
      <c r="B343" s="123"/>
    </row>
    <row r="344" ht="15.75" customHeight="1">
      <c r="B344" s="123"/>
    </row>
    <row r="345" ht="15.75" customHeight="1">
      <c r="B345" s="123"/>
    </row>
    <row r="346" ht="15.75" customHeight="1">
      <c r="B346" s="123"/>
    </row>
    <row r="347" ht="15.75" customHeight="1">
      <c r="B347" s="123"/>
    </row>
    <row r="348" ht="15.75" customHeight="1">
      <c r="B348" s="123"/>
    </row>
    <row r="349" ht="15.75" customHeight="1">
      <c r="B349" s="123"/>
    </row>
    <row r="350" ht="15.75" customHeight="1">
      <c r="B350" s="123"/>
    </row>
    <row r="351" ht="15.75" customHeight="1">
      <c r="B351" s="123"/>
    </row>
    <row r="352" ht="15.75" customHeight="1">
      <c r="B352" s="123"/>
    </row>
    <row r="353" ht="15.75" customHeight="1">
      <c r="B353" s="123"/>
    </row>
    <row r="354" ht="15.75" customHeight="1">
      <c r="B354" s="123"/>
    </row>
    <row r="355" ht="15.75" customHeight="1">
      <c r="B355" s="123"/>
    </row>
    <row r="356" ht="15.75" customHeight="1">
      <c r="B356" s="123"/>
    </row>
    <row r="357" ht="15.75" customHeight="1">
      <c r="B357" s="123"/>
    </row>
    <row r="358" ht="15.75" customHeight="1">
      <c r="B358" s="123"/>
    </row>
    <row r="359" ht="15.75" customHeight="1">
      <c r="B359" s="123"/>
    </row>
    <row r="360" ht="15.75" customHeight="1">
      <c r="B360" s="123"/>
    </row>
    <row r="361" ht="15.75" customHeight="1">
      <c r="B361" s="123"/>
    </row>
    <row r="362" ht="15.75" customHeight="1">
      <c r="B362" s="123"/>
    </row>
    <row r="363" ht="15.75" customHeight="1">
      <c r="B363" s="123"/>
    </row>
    <row r="364" ht="15.75" customHeight="1">
      <c r="B364" s="123"/>
    </row>
    <row r="365" ht="15.75" customHeight="1">
      <c r="B365" s="123"/>
    </row>
    <row r="366" ht="15.75" customHeight="1">
      <c r="B366" s="123"/>
    </row>
    <row r="367" ht="15.75" customHeight="1">
      <c r="B367" s="123"/>
    </row>
    <row r="368" ht="15.75" customHeight="1">
      <c r="B368" s="123"/>
    </row>
    <row r="369" ht="15.75" customHeight="1">
      <c r="B369" s="123"/>
    </row>
    <row r="370" ht="15.75" customHeight="1">
      <c r="B370" s="123"/>
    </row>
    <row r="371" ht="15.75" customHeight="1">
      <c r="B371" s="123"/>
    </row>
    <row r="372" ht="15.75" customHeight="1">
      <c r="B372" s="123"/>
    </row>
    <row r="373" ht="15.75" customHeight="1">
      <c r="B373" s="123"/>
    </row>
    <row r="374" ht="15.75" customHeight="1">
      <c r="B374" s="123"/>
    </row>
    <row r="375" ht="15.75" customHeight="1">
      <c r="B375" s="123"/>
    </row>
    <row r="376" ht="15.75" customHeight="1">
      <c r="B376" s="123"/>
    </row>
    <row r="377" ht="15.75" customHeight="1">
      <c r="B377" s="123"/>
    </row>
    <row r="378" ht="15.75" customHeight="1">
      <c r="B378" s="123"/>
    </row>
    <row r="379" ht="15.75" customHeight="1">
      <c r="B379" s="123"/>
    </row>
    <row r="380" ht="15.75" customHeight="1">
      <c r="B380" s="123"/>
    </row>
    <row r="381" ht="15.75" customHeight="1">
      <c r="B381" s="123"/>
    </row>
    <row r="382" ht="15.75" customHeight="1">
      <c r="B382" s="123"/>
    </row>
    <row r="383" ht="15.75" customHeight="1">
      <c r="B383" s="123"/>
    </row>
    <row r="384" ht="15.75" customHeight="1">
      <c r="B384" s="123"/>
    </row>
    <row r="385" ht="15.75" customHeight="1">
      <c r="B385" s="123"/>
    </row>
    <row r="386" ht="15.75" customHeight="1">
      <c r="B386" s="123"/>
    </row>
    <row r="387" ht="15.75" customHeight="1">
      <c r="B387" s="123"/>
    </row>
    <row r="388" ht="15.75" customHeight="1">
      <c r="B388" s="123"/>
    </row>
    <row r="389" ht="15.75" customHeight="1">
      <c r="B389" s="123"/>
    </row>
    <row r="390" ht="15.75" customHeight="1">
      <c r="B390" s="123"/>
    </row>
    <row r="391" ht="15.75" customHeight="1">
      <c r="B391" s="123"/>
    </row>
    <row r="392" ht="15.75" customHeight="1">
      <c r="B392" s="123"/>
    </row>
    <row r="393" ht="15.75" customHeight="1">
      <c r="B393" s="123"/>
    </row>
    <row r="394" ht="15.75" customHeight="1">
      <c r="B394" s="123"/>
    </row>
    <row r="395" ht="15.75" customHeight="1">
      <c r="B395" s="123"/>
    </row>
    <row r="396" ht="15.75" customHeight="1">
      <c r="B396" s="123"/>
    </row>
    <row r="397" ht="15.75" customHeight="1">
      <c r="B397" s="123"/>
    </row>
    <row r="398" ht="15.75" customHeight="1">
      <c r="B398" s="123"/>
    </row>
    <row r="399" ht="15.75" customHeight="1">
      <c r="B399" s="123"/>
    </row>
    <row r="400" ht="15.75" customHeight="1">
      <c r="B400" s="123"/>
    </row>
    <row r="401" ht="15.75" customHeight="1">
      <c r="B401" s="123"/>
    </row>
    <row r="402" ht="15.75" customHeight="1">
      <c r="B402" s="123"/>
    </row>
    <row r="403" ht="15.75" customHeight="1">
      <c r="B403" s="123"/>
    </row>
    <row r="404" ht="15.75" customHeight="1">
      <c r="B404" s="123"/>
    </row>
    <row r="405" ht="15.75" customHeight="1">
      <c r="B405" s="123"/>
    </row>
    <row r="406" ht="15.75" customHeight="1">
      <c r="B406" s="123"/>
    </row>
    <row r="407" ht="15.75" customHeight="1">
      <c r="B407" s="123"/>
    </row>
    <row r="408" ht="15.75" customHeight="1">
      <c r="B408" s="123"/>
    </row>
    <row r="409" ht="15.75" customHeight="1">
      <c r="B409" s="123"/>
    </row>
    <row r="410" ht="15.75" customHeight="1">
      <c r="B410" s="123"/>
    </row>
    <row r="411" ht="15.75" customHeight="1">
      <c r="B411" s="123"/>
    </row>
    <row r="412" ht="15.75" customHeight="1">
      <c r="B412" s="123"/>
    </row>
    <row r="413" ht="15.75" customHeight="1">
      <c r="B413" s="123"/>
    </row>
    <row r="414" ht="15.75" customHeight="1">
      <c r="B414" s="123"/>
    </row>
    <row r="415" ht="15.75" customHeight="1">
      <c r="B415" s="123"/>
    </row>
    <row r="416" ht="15.75" customHeight="1">
      <c r="B416" s="123"/>
    </row>
    <row r="417" ht="15.75" customHeight="1">
      <c r="B417" s="123"/>
    </row>
    <row r="418" ht="15.75" customHeight="1">
      <c r="B418" s="123"/>
    </row>
    <row r="419" ht="15.75" customHeight="1">
      <c r="B419" s="123"/>
    </row>
    <row r="420" ht="15.75" customHeight="1">
      <c r="B420" s="123"/>
    </row>
    <row r="421" ht="15.75" customHeight="1">
      <c r="B421" s="123"/>
    </row>
    <row r="422" ht="15.75" customHeight="1">
      <c r="B422" s="123"/>
    </row>
    <row r="423" ht="15.75" customHeight="1">
      <c r="B423" s="123"/>
    </row>
    <row r="424" ht="15.75" customHeight="1">
      <c r="B424" s="123"/>
    </row>
    <row r="425" ht="15.75" customHeight="1">
      <c r="B425" s="123"/>
    </row>
    <row r="426" ht="15.75" customHeight="1">
      <c r="B426" s="123"/>
    </row>
    <row r="427" ht="15.75" customHeight="1">
      <c r="B427" s="123"/>
    </row>
    <row r="428" ht="15.75" customHeight="1">
      <c r="B428" s="123"/>
    </row>
    <row r="429" ht="15.75" customHeight="1">
      <c r="B429" s="123"/>
    </row>
    <row r="430" ht="15.75" customHeight="1">
      <c r="B430" s="123"/>
    </row>
    <row r="431" ht="15.75" customHeight="1">
      <c r="B431" s="123"/>
    </row>
    <row r="432" ht="15.75" customHeight="1">
      <c r="B432" s="123"/>
    </row>
    <row r="433" ht="15.75" customHeight="1">
      <c r="B433" s="123"/>
    </row>
    <row r="434" ht="15.75" customHeight="1">
      <c r="B434" s="123"/>
    </row>
    <row r="435" ht="15.75" customHeight="1">
      <c r="B435" s="123"/>
    </row>
    <row r="436" ht="15.75" customHeight="1">
      <c r="B436" s="123"/>
    </row>
    <row r="437" ht="15.75" customHeight="1">
      <c r="B437" s="123"/>
    </row>
    <row r="438" ht="15.75" customHeight="1">
      <c r="B438" s="123"/>
    </row>
    <row r="439" ht="15.75" customHeight="1">
      <c r="B439" s="123"/>
    </row>
    <row r="440" ht="15.75" customHeight="1">
      <c r="B440" s="123"/>
    </row>
    <row r="441" ht="15.75" customHeight="1">
      <c r="B441" s="123"/>
    </row>
    <row r="442" ht="15.75" customHeight="1">
      <c r="B442" s="123"/>
    </row>
    <row r="443" ht="15.75" customHeight="1">
      <c r="B443" s="123"/>
    </row>
    <row r="444" ht="15.75" customHeight="1">
      <c r="B444" s="123"/>
    </row>
    <row r="445" ht="15.75" customHeight="1">
      <c r="B445" s="123"/>
    </row>
    <row r="446" ht="15.75" customHeight="1">
      <c r="B446" s="123"/>
    </row>
    <row r="447" ht="15.75" customHeight="1">
      <c r="B447" s="123"/>
    </row>
    <row r="448" ht="15.75" customHeight="1">
      <c r="B448" s="123"/>
    </row>
    <row r="449" ht="15.75" customHeight="1">
      <c r="B449" s="123"/>
    </row>
    <row r="450" ht="15.75" customHeight="1">
      <c r="B450" s="123"/>
    </row>
    <row r="451" ht="15.75" customHeight="1">
      <c r="B451" s="123"/>
    </row>
    <row r="452" ht="15.75" customHeight="1">
      <c r="B452" s="123"/>
    </row>
    <row r="453" ht="15.75" customHeight="1">
      <c r="B453" s="123"/>
    </row>
    <row r="454" ht="15.75" customHeight="1">
      <c r="B454" s="123"/>
    </row>
    <row r="455" ht="15.75" customHeight="1">
      <c r="B455" s="123"/>
    </row>
    <row r="456" ht="15.75" customHeight="1">
      <c r="B456" s="123"/>
    </row>
    <row r="457" ht="15.75" customHeight="1">
      <c r="B457" s="123"/>
    </row>
    <row r="458" ht="15.75" customHeight="1">
      <c r="B458" s="123"/>
    </row>
    <row r="459" ht="15.75" customHeight="1">
      <c r="B459" s="123"/>
    </row>
    <row r="460" ht="15.75" customHeight="1">
      <c r="B460" s="123"/>
    </row>
    <row r="461" ht="15.75" customHeight="1">
      <c r="B461" s="123"/>
    </row>
    <row r="462" ht="15.75" customHeight="1">
      <c r="B462" s="123"/>
    </row>
    <row r="463" ht="15.75" customHeight="1">
      <c r="B463" s="123"/>
    </row>
    <row r="464" ht="15.75" customHeight="1">
      <c r="B464" s="123"/>
    </row>
    <row r="465" ht="15.75" customHeight="1">
      <c r="B465" s="123"/>
    </row>
    <row r="466" ht="15.75" customHeight="1">
      <c r="B466" s="123"/>
    </row>
    <row r="467" ht="15.75" customHeight="1">
      <c r="B467" s="123"/>
    </row>
    <row r="468" ht="15.75" customHeight="1">
      <c r="B468" s="123"/>
    </row>
    <row r="469" ht="15.75" customHeight="1">
      <c r="B469" s="123"/>
    </row>
    <row r="470" ht="15.75" customHeight="1">
      <c r="B470" s="123"/>
    </row>
    <row r="471" ht="15.75" customHeight="1">
      <c r="B471" s="123"/>
    </row>
    <row r="472" ht="15.75" customHeight="1">
      <c r="B472" s="123"/>
    </row>
    <row r="473" ht="15.75" customHeight="1">
      <c r="B473" s="123"/>
    </row>
    <row r="474" ht="15.75" customHeight="1">
      <c r="B474" s="123"/>
    </row>
    <row r="475" ht="15.75" customHeight="1">
      <c r="B475" s="123"/>
    </row>
    <row r="476" ht="15.75" customHeight="1">
      <c r="B476" s="123"/>
    </row>
    <row r="477" ht="15.75" customHeight="1">
      <c r="B477" s="123"/>
    </row>
    <row r="478" ht="15.75" customHeight="1">
      <c r="B478" s="123"/>
    </row>
    <row r="479" ht="15.75" customHeight="1">
      <c r="B479" s="123"/>
    </row>
    <row r="480" ht="15.75" customHeight="1">
      <c r="B480" s="123"/>
    </row>
    <row r="481" ht="15.75" customHeight="1">
      <c r="B481" s="123"/>
    </row>
    <row r="482" ht="15.75" customHeight="1">
      <c r="B482" s="123"/>
    </row>
    <row r="483" ht="15.75" customHeight="1">
      <c r="B483" s="123"/>
    </row>
    <row r="484" ht="15.75" customHeight="1">
      <c r="B484" s="123"/>
    </row>
    <row r="485" ht="15.75" customHeight="1">
      <c r="B485" s="123"/>
    </row>
    <row r="486" ht="15.75" customHeight="1">
      <c r="B486" s="123"/>
    </row>
    <row r="487" ht="15.75" customHeight="1">
      <c r="B487" s="123"/>
    </row>
    <row r="488" ht="15.75" customHeight="1">
      <c r="B488" s="123"/>
    </row>
    <row r="489" ht="15.75" customHeight="1">
      <c r="B489" s="123"/>
    </row>
    <row r="490" ht="15.75" customHeight="1">
      <c r="B490" s="123"/>
    </row>
    <row r="491" ht="15.75" customHeight="1">
      <c r="B491" s="123"/>
    </row>
    <row r="492" ht="15.75" customHeight="1">
      <c r="B492" s="123"/>
    </row>
    <row r="493" ht="15.75" customHeight="1">
      <c r="B493" s="123"/>
    </row>
    <row r="494" ht="15.75" customHeight="1">
      <c r="B494" s="123"/>
    </row>
    <row r="495" ht="15.75" customHeight="1">
      <c r="B495" s="123"/>
    </row>
    <row r="496" ht="15.75" customHeight="1">
      <c r="B496" s="123"/>
    </row>
    <row r="497" ht="15.75" customHeight="1">
      <c r="B497" s="123"/>
    </row>
    <row r="498" ht="15.75" customHeight="1">
      <c r="B498" s="123"/>
    </row>
    <row r="499" ht="15.75" customHeight="1">
      <c r="B499" s="123"/>
    </row>
    <row r="500" ht="15.75" customHeight="1">
      <c r="B500" s="123"/>
    </row>
    <row r="501" ht="15.75" customHeight="1">
      <c r="B501" s="123"/>
    </row>
    <row r="502" ht="15.75" customHeight="1">
      <c r="B502" s="123"/>
    </row>
    <row r="503" ht="15.75" customHeight="1">
      <c r="B503" s="123"/>
    </row>
    <row r="504" ht="15.75" customHeight="1">
      <c r="B504" s="123"/>
    </row>
    <row r="505" ht="15.75" customHeight="1">
      <c r="B505" s="123"/>
    </row>
    <row r="506" ht="15.75" customHeight="1">
      <c r="B506" s="123"/>
    </row>
    <row r="507" ht="15.75" customHeight="1">
      <c r="B507" s="123"/>
    </row>
    <row r="508" ht="15.75" customHeight="1">
      <c r="B508" s="123"/>
    </row>
    <row r="509" ht="15.75" customHeight="1">
      <c r="B509" s="123"/>
    </row>
    <row r="510" ht="15.75" customHeight="1">
      <c r="B510" s="123"/>
    </row>
    <row r="511" ht="15.75" customHeight="1">
      <c r="B511" s="123"/>
    </row>
    <row r="512" ht="15.75" customHeight="1">
      <c r="B512" s="123"/>
    </row>
    <row r="513" ht="15.75" customHeight="1">
      <c r="B513" s="123"/>
    </row>
    <row r="514" ht="15.75" customHeight="1">
      <c r="B514" s="123"/>
    </row>
    <row r="515" ht="15.75" customHeight="1">
      <c r="B515" s="123"/>
    </row>
    <row r="516" ht="15.75" customHeight="1">
      <c r="B516" s="123"/>
    </row>
    <row r="517" ht="15.75" customHeight="1">
      <c r="B517" s="123"/>
    </row>
    <row r="518" ht="15.75" customHeight="1">
      <c r="B518" s="123"/>
    </row>
    <row r="519" ht="15.75" customHeight="1">
      <c r="B519" s="123"/>
    </row>
    <row r="520" ht="15.75" customHeight="1">
      <c r="B520" s="123"/>
    </row>
    <row r="521" ht="15.75" customHeight="1">
      <c r="B521" s="123"/>
    </row>
    <row r="522" ht="15.75" customHeight="1">
      <c r="B522" s="123"/>
    </row>
    <row r="523" ht="15.75" customHeight="1">
      <c r="B523" s="123"/>
    </row>
    <row r="524" ht="15.75" customHeight="1">
      <c r="B524" s="123"/>
    </row>
    <row r="525" ht="15.75" customHeight="1">
      <c r="B525" s="123"/>
    </row>
    <row r="526" ht="15.75" customHeight="1">
      <c r="B526" s="123"/>
    </row>
    <row r="527" ht="15.75" customHeight="1">
      <c r="B527" s="123"/>
    </row>
    <row r="528" ht="15.75" customHeight="1">
      <c r="B528" s="123"/>
    </row>
    <row r="529" ht="15.75" customHeight="1">
      <c r="B529" s="123"/>
    </row>
    <row r="530" ht="15.75" customHeight="1">
      <c r="B530" s="123"/>
    </row>
    <row r="531" ht="15.75" customHeight="1">
      <c r="B531" s="123"/>
    </row>
    <row r="532" ht="15.75" customHeight="1">
      <c r="B532" s="123"/>
    </row>
    <row r="533" ht="15.75" customHeight="1">
      <c r="B533" s="123"/>
    </row>
    <row r="534" ht="15.75" customHeight="1">
      <c r="B534" s="123"/>
    </row>
    <row r="535" ht="15.75" customHeight="1">
      <c r="B535" s="123"/>
    </row>
    <row r="536" ht="15.75" customHeight="1">
      <c r="B536" s="123"/>
    </row>
    <row r="537" ht="15.75" customHeight="1">
      <c r="B537" s="123"/>
    </row>
    <row r="538" ht="15.75" customHeight="1">
      <c r="B538" s="123"/>
    </row>
    <row r="539" ht="15.75" customHeight="1">
      <c r="B539" s="123"/>
    </row>
    <row r="540" ht="15.75" customHeight="1">
      <c r="B540" s="123"/>
    </row>
    <row r="541" ht="15.75" customHeight="1">
      <c r="B541" s="123"/>
    </row>
    <row r="542" ht="15.75" customHeight="1">
      <c r="B542" s="123"/>
    </row>
    <row r="543" ht="15.75" customHeight="1">
      <c r="B543" s="123"/>
    </row>
    <row r="544" ht="15.75" customHeight="1">
      <c r="B544" s="123"/>
    </row>
    <row r="545" ht="15.75" customHeight="1">
      <c r="B545" s="123"/>
    </row>
    <row r="546" ht="15.75" customHeight="1">
      <c r="B546" s="123"/>
    </row>
    <row r="547" ht="15.75" customHeight="1">
      <c r="B547" s="123"/>
    </row>
    <row r="548" ht="15.75" customHeight="1">
      <c r="B548" s="123"/>
    </row>
    <row r="549" ht="15.75" customHeight="1">
      <c r="B549" s="123"/>
    </row>
    <row r="550" ht="15.75" customHeight="1">
      <c r="B550" s="123"/>
    </row>
    <row r="551" ht="15.75" customHeight="1">
      <c r="B551" s="123"/>
    </row>
    <row r="552" ht="15.75" customHeight="1">
      <c r="B552" s="123"/>
    </row>
    <row r="553" ht="15.75" customHeight="1">
      <c r="B553" s="123"/>
    </row>
    <row r="554" ht="15.75" customHeight="1">
      <c r="B554" s="123"/>
    </row>
    <row r="555" ht="15.75" customHeight="1">
      <c r="B555" s="123"/>
    </row>
    <row r="556" ht="15.75" customHeight="1">
      <c r="B556" s="123"/>
    </row>
    <row r="557" ht="15.75" customHeight="1">
      <c r="B557" s="123"/>
    </row>
    <row r="558" ht="15.75" customHeight="1">
      <c r="B558" s="123"/>
    </row>
    <row r="559" ht="15.75" customHeight="1">
      <c r="B559" s="123"/>
    </row>
    <row r="560" ht="15.75" customHeight="1">
      <c r="B560" s="123"/>
    </row>
    <row r="561" ht="15.75" customHeight="1">
      <c r="B561" s="123"/>
    </row>
    <row r="562" ht="15.75" customHeight="1">
      <c r="B562" s="123"/>
    </row>
    <row r="563" ht="15.75" customHeight="1">
      <c r="B563" s="123"/>
    </row>
    <row r="564" ht="15.75" customHeight="1">
      <c r="B564" s="123"/>
    </row>
    <row r="565" ht="15.75" customHeight="1">
      <c r="B565" s="123"/>
    </row>
    <row r="566" ht="15.75" customHeight="1">
      <c r="B566" s="123"/>
    </row>
    <row r="567" ht="15.75" customHeight="1">
      <c r="B567" s="123"/>
    </row>
    <row r="568" ht="15.75" customHeight="1">
      <c r="B568" s="123"/>
    </row>
    <row r="569" ht="15.75" customHeight="1">
      <c r="B569" s="123"/>
    </row>
    <row r="570" ht="15.75" customHeight="1">
      <c r="B570" s="123"/>
    </row>
    <row r="571" ht="15.75" customHeight="1">
      <c r="B571" s="123"/>
    </row>
    <row r="572" ht="15.75" customHeight="1">
      <c r="B572" s="123"/>
    </row>
    <row r="573" ht="15.75" customHeight="1">
      <c r="B573" s="123"/>
    </row>
    <row r="574" ht="15.75" customHeight="1">
      <c r="B574" s="123"/>
    </row>
    <row r="575" ht="15.75" customHeight="1">
      <c r="B575" s="123"/>
    </row>
    <row r="576" ht="15.75" customHeight="1">
      <c r="B576" s="123"/>
    </row>
    <row r="577" ht="15.75" customHeight="1">
      <c r="B577" s="123"/>
    </row>
    <row r="578" ht="15.75" customHeight="1">
      <c r="B578" s="123"/>
    </row>
    <row r="579" ht="15.75" customHeight="1">
      <c r="B579" s="123"/>
    </row>
    <row r="580" ht="15.75" customHeight="1">
      <c r="B580" s="123"/>
    </row>
    <row r="581" ht="15.75" customHeight="1">
      <c r="B581" s="123"/>
    </row>
    <row r="582" ht="15.75" customHeight="1">
      <c r="B582" s="123"/>
    </row>
    <row r="583" ht="15.75" customHeight="1">
      <c r="B583" s="123"/>
    </row>
    <row r="584" ht="15.75" customHeight="1">
      <c r="B584" s="123"/>
    </row>
    <row r="585" ht="15.75" customHeight="1">
      <c r="B585" s="123"/>
    </row>
    <row r="586" ht="15.75" customHeight="1">
      <c r="B586" s="123"/>
    </row>
    <row r="587" ht="15.75" customHeight="1">
      <c r="B587" s="123"/>
    </row>
    <row r="588" ht="15.75" customHeight="1">
      <c r="B588" s="123"/>
    </row>
    <row r="589" ht="15.75" customHeight="1">
      <c r="B589" s="123"/>
    </row>
    <row r="590" ht="15.75" customHeight="1">
      <c r="B590" s="123"/>
    </row>
    <row r="591" ht="15.75" customHeight="1">
      <c r="B591" s="123"/>
    </row>
    <row r="592" ht="15.75" customHeight="1">
      <c r="B592" s="123"/>
    </row>
    <row r="593" ht="15.75" customHeight="1">
      <c r="B593" s="123"/>
    </row>
    <row r="594" ht="15.75" customHeight="1">
      <c r="B594" s="123"/>
    </row>
    <row r="595" ht="15.75" customHeight="1">
      <c r="B595" s="123"/>
    </row>
    <row r="596" ht="15.75" customHeight="1">
      <c r="B596" s="123"/>
    </row>
    <row r="597" ht="15.75" customHeight="1">
      <c r="B597" s="123"/>
    </row>
    <row r="598" ht="15.75" customHeight="1">
      <c r="B598" s="123"/>
    </row>
    <row r="599" ht="15.75" customHeight="1">
      <c r="B599" s="123"/>
    </row>
    <row r="600" ht="15.75" customHeight="1">
      <c r="B600" s="123"/>
    </row>
    <row r="601" ht="15.75" customHeight="1">
      <c r="B601" s="123"/>
    </row>
    <row r="602" ht="15.75" customHeight="1">
      <c r="B602" s="123"/>
    </row>
    <row r="603" ht="15.75" customHeight="1">
      <c r="B603" s="123"/>
    </row>
    <row r="604" ht="15.75" customHeight="1">
      <c r="B604" s="123"/>
    </row>
    <row r="605" ht="15.75" customHeight="1">
      <c r="B605" s="123"/>
    </row>
    <row r="606" ht="15.75" customHeight="1">
      <c r="B606" s="123"/>
    </row>
    <row r="607" ht="15.75" customHeight="1">
      <c r="B607" s="123"/>
    </row>
    <row r="608" ht="15.75" customHeight="1">
      <c r="B608" s="123"/>
    </row>
    <row r="609" ht="15.75" customHeight="1">
      <c r="B609" s="123"/>
    </row>
    <row r="610" ht="15.75" customHeight="1">
      <c r="B610" s="123"/>
    </row>
    <row r="611" ht="15.75" customHeight="1">
      <c r="B611" s="123"/>
    </row>
    <row r="612" ht="15.75" customHeight="1">
      <c r="B612" s="123"/>
    </row>
    <row r="613" ht="15.75" customHeight="1">
      <c r="B613" s="123"/>
    </row>
    <row r="614" ht="15.75" customHeight="1">
      <c r="B614" s="123"/>
    </row>
    <row r="615" ht="15.75" customHeight="1">
      <c r="B615" s="123"/>
    </row>
    <row r="616" ht="15.75" customHeight="1">
      <c r="B616" s="123"/>
    </row>
    <row r="617" ht="15.75" customHeight="1">
      <c r="B617" s="123"/>
    </row>
    <row r="618" ht="15.75" customHeight="1">
      <c r="B618" s="123"/>
    </row>
    <row r="619" ht="15.75" customHeight="1">
      <c r="B619" s="123"/>
    </row>
    <row r="620" ht="15.75" customHeight="1">
      <c r="B620" s="123"/>
    </row>
    <row r="621" ht="15.75" customHeight="1">
      <c r="B621" s="123"/>
    </row>
    <row r="622" ht="15.75" customHeight="1">
      <c r="B622" s="123"/>
    </row>
    <row r="623" ht="15.75" customHeight="1">
      <c r="B623" s="123"/>
    </row>
    <row r="624" ht="15.75" customHeight="1">
      <c r="B624" s="123"/>
    </row>
    <row r="625" ht="15.75" customHeight="1">
      <c r="B625" s="123"/>
    </row>
    <row r="626" ht="15.75" customHeight="1">
      <c r="B626" s="123"/>
    </row>
    <row r="627" ht="15.75" customHeight="1">
      <c r="B627" s="123"/>
    </row>
    <row r="628" ht="15.75" customHeight="1">
      <c r="B628" s="123"/>
    </row>
    <row r="629" ht="15.75" customHeight="1">
      <c r="B629" s="123"/>
    </row>
    <row r="630" ht="15.75" customHeight="1">
      <c r="B630" s="123"/>
    </row>
    <row r="631" ht="15.75" customHeight="1">
      <c r="B631" s="123"/>
    </row>
    <row r="632" ht="15.75" customHeight="1">
      <c r="B632" s="123"/>
    </row>
    <row r="633" ht="15.75" customHeight="1">
      <c r="B633" s="123"/>
    </row>
    <row r="634" ht="15.75" customHeight="1">
      <c r="B634" s="123"/>
    </row>
    <row r="635" ht="15.75" customHeight="1">
      <c r="B635" s="123"/>
    </row>
    <row r="636" ht="15.75" customHeight="1">
      <c r="B636" s="123"/>
    </row>
    <row r="637" ht="15.75" customHeight="1">
      <c r="B637" s="123"/>
    </row>
    <row r="638" ht="15.75" customHeight="1">
      <c r="B638" s="123"/>
    </row>
    <row r="639" ht="15.75" customHeight="1">
      <c r="B639" s="123"/>
    </row>
    <row r="640" ht="15.75" customHeight="1">
      <c r="B640" s="123"/>
    </row>
    <row r="641" ht="15.75" customHeight="1">
      <c r="B641" s="123"/>
    </row>
    <row r="642" ht="15.75" customHeight="1">
      <c r="B642" s="123"/>
    </row>
    <row r="643" ht="15.75" customHeight="1">
      <c r="B643" s="123"/>
    </row>
    <row r="644" ht="15.75" customHeight="1">
      <c r="B644" s="123"/>
    </row>
    <row r="645" ht="15.75" customHeight="1">
      <c r="B645" s="123"/>
    </row>
    <row r="646" ht="15.75" customHeight="1">
      <c r="B646" s="123"/>
    </row>
    <row r="647" ht="15.75" customHeight="1">
      <c r="B647" s="123"/>
    </row>
    <row r="648" ht="15.75" customHeight="1">
      <c r="B648" s="123"/>
    </row>
    <row r="649" ht="15.75" customHeight="1">
      <c r="B649" s="123"/>
    </row>
    <row r="650" ht="15.75" customHeight="1">
      <c r="B650" s="123"/>
    </row>
    <row r="651" ht="15.75" customHeight="1">
      <c r="B651" s="123"/>
    </row>
    <row r="652" ht="15.75" customHeight="1">
      <c r="B652" s="123"/>
    </row>
    <row r="653" ht="15.75" customHeight="1">
      <c r="B653" s="123"/>
    </row>
    <row r="654" ht="15.75" customHeight="1">
      <c r="B654" s="123"/>
    </row>
    <row r="655" ht="15.75" customHeight="1">
      <c r="B655" s="123"/>
    </row>
    <row r="656" ht="15.75" customHeight="1">
      <c r="B656" s="123"/>
    </row>
    <row r="657" ht="15.75" customHeight="1">
      <c r="B657" s="123"/>
    </row>
    <row r="658" ht="15.75" customHeight="1">
      <c r="B658" s="123"/>
    </row>
    <row r="659" ht="15.75" customHeight="1">
      <c r="B659" s="123"/>
    </row>
    <row r="660" ht="15.75" customHeight="1">
      <c r="B660" s="123"/>
    </row>
    <row r="661" ht="15.75" customHeight="1">
      <c r="B661" s="123"/>
    </row>
    <row r="662" ht="15.75" customHeight="1">
      <c r="B662" s="123"/>
    </row>
    <row r="663" ht="15.75" customHeight="1">
      <c r="B663" s="123"/>
    </row>
    <row r="664" ht="15.75" customHeight="1">
      <c r="B664" s="123"/>
    </row>
    <row r="665" ht="15.75" customHeight="1">
      <c r="B665" s="123"/>
    </row>
    <row r="666" ht="15.75" customHeight="1">
      <c r="B666" s="123"/>
    </row>
    <row r="667" ht="15.75" customHeight="1">
      <c r="B667" s="123"/>
    </row>
    <row r="668" ht="15.75" customHeight="1">
      <c r="B668" s="123"/>
    </row>
    <row r="669" ht="15.75" customHeight="1">
      <c r="B669" s="123"/>
    </row>
    <row r="670" ht="15.75" customHeight="1">
      <c r="B670" s="123"/>
    </row>
    <row r="671" ht="15.75" customHeight="1">
      <c r="B671" s="123"/>
    </row>
    <row r="672" ht="15.75" customHeight="1">
      <c r="B672" s="123"/>
    </row>
    <row r="673" ht="15.75" customHeight="1">
      <c r="B673" s="123"/>
    </row>
    <row r="674" ht="15.75" customHeight="1">
      <c r="B674" s="123"/>
    </row>
    <row r="675" ht="15.75" customHeight="1">
      <c r="B675" s="123"/>
    </row>
    <row r="676" ht="15.75" customHeight="1">
      <c r="B676" s="123"/>
    </row>
    <row r="677" ht="15.75" customHeight="1">
      <c r="B677" s="123"/>
    </row>
    <row r="678" ht="15.75" customHeight="1">
      <c r="B678" s="123"/>
    </row>
    <row r="679" ht="15.75" customHeight="1">
      <c r="B679" s="123"/>
    </row>
    <row r="680" ht="15.75" customHeight="1">
      <c r="B680" s="123"/>
    </row>
    <row r="681" ht="15.75" customHeight="1">
      <c r="B681" s="123"/>
    </row>
    <row r="682" ht="15.75" customHeight="1">
      <c r="B682" s="123"/>
    </row>
    <row r="683" ht="15.75" customHeight="1">
      <c r="B683" s="123"/>
    </row>
    <row r="684" ht="15.75" customHeight="1">
      <c r="B684" s="123"/>
    </row>
    <row r="685" ht="15.75" customHeight="1">
      <c r="B685" s="123"/>
    </row>
    <row r="686" ht="15.75" customHeight="1">
      <c r="B686" s="123"/>
    </row>
    <row r="687" ht="15.75" customHeight="1">
      <c r="B687" s="123"/>
    </row>
    <row r="688" ht="15.75" customHeight="1">
      <c r="B688" s="123"/>
    </row>
    <row r="689" ht="15.75" customHeight="1">
      <c r="B689" s="123"/>
    </row>
    <row r="690" ht="15.75" customHeight="1">
      <c r="B690" s="123"/>
    </row>
    <row r="691" ht="15.75" customHeight="1">
      <c r="B691" s="123"/>
    </row>
    <row r="692" ht="15.75" customHeight="1">
      <c r="B692" s="123"/>
    </row>
    <row r="693" ht="15.75" customHeight="1">
      <c r="B693" s="123"/>
    </row>
    <row r="694" ht="15.75" customHeight="1">
      <c r="B694" s="123"/>
    </row>
    <row r="695" ht="15.75" customHeight="1">
      <c r="B695" s="123"/>
    </row>
    <row r="696" ht="15.75" customHeight="1">
      <c r="B696" s="123"/>
    </row>
    <row r="697" ht="15.75" customHeight="1">
      <c r="B697" s="123"/>
    </row>
    <row r="698" ht="15.75" customHeight="1">
      <c r="B698" s="123"/>
    </row>
    <row r="699" ht="15.75" customHeight="1">
      <c r="B699" s="123"/>
    </row>
    <row r="700" ht="15.75" customHeight="1">
      <c r="B700" s="123"/>
    </row>
    <row r="701" ht="15.75" customHeight="1">
      <c r="B701" s="123"/>
    </row>
    <row r="702" ht="15.75" customHeight="1">
      <c r="B702" s="123"/>
    </row>
    <row r="703" ht="15.75" customHeight="1">
      <c r="B703" s="123"/>
    </row>
    <row r="704" ht="15.75" customHeight="1">
      <c r="B704" s="123"/>
    </row>
    <row r="705" ht="15.75" customHeight="1">
      <c r="B705" s="123"/>
    </row>
    <row r="706" ht="15.75" customHeight="1">
      <c r="B706" s="123"/>
    </row>
    <row r="707" ht="15.75" customHeight="1">
      <c r="B707" s="123"/>
    </row>
    <row r="708" ht="15.75" customHeight="1">
      <c r="B708" s="123"/>
    </row>
    <row r="709" ht="15.75" customHeight="1">
      <c r="B709" s="123"/>
    </row>
    <row r="710" ht="15.75" customHeight="1">
      <c r="B710" s="123"/>
    </row>
    <row r="711" ht="15.75" customHeight="1">
      <c r="B711" s="123"/>
    </row>
    <row r="712" ht="15.75" customHeight="1">
      <c r="B712" s="123"/>
    </row>
    <row r="713" ht="15.75" customHeight="1">
      <c r="B713" s="123"/>
    </row>
    <row r="714" ht="15.75" customHeight="1">
      <c r="B714" s="123"/>
    </row>
    <row r="715" ht="15.75" customHeight="1">
      <c r="B715" s="123"/>
    </row>
    <row r="716" ht="15.75" customHeight="1">
      <c r="B716" s="123"/>
    </row>
    <row r="717" ht="15.75" customHeight="1">
      <c r="B717" s="123"/>
    </row>
    <row r="718" ht="15.75" customHeight="1">
      <c r="B718" s="123"/>
    </row>
    <row r="719" ht="15.75" customHeight="1">
      <c r="B719" s="123"/>
    </row>
    <row r="720" ht="15.75" customHeight="1">
      <c r="B720" s="123"/>
    </row>
    <row r="721" ht="15.75" customHeight="1">
      <c r="B721" s="123"/>
    </row>
    <row r="722" ht="15.75" customHeight="1">
      <c r="B722" s="123"/>
    </row>
    <row r="723" ht="15.75" customHeight="1">
      <c r="B723" s="123"/>
    </row>
    <row r="724" ht="15.75" customHeight="1">
      <c r="B724" s="123"/>
    </row>
    <row r="725" ht="15.75" customHeight="1">
      <c r="B725" s="123"/>
    </row>
    <row r="726" ht="15.75" customHeight="1">
      <c r="B726" s="123"/>
    </row>
    <row r="727" ht="15.75" customHeight="1">
      <c r="B727" s="123"/>
    </row>
    <row r="728" ht="15.75" customHeight="1">
      <c r="B728" s="123"/>
    </row>
    <row r="729" ht="15.75" customHeight="1">
      <c r="B729" s="123"/>
    </row>
    <row r="730" ht="15.75" customHeight="1">
      <c r="B730" s="123"/>
    </row>
    <row r="731" ht="15.75" customHeight="1">
      <c r="B731" s="123"/>
    </row>
    <row r="732" ht="15.75" customHeight="1">
      <c r="B732" s="123"/>
    </row>
    <row r="733" ht="15.75" customHeight="1">
      <c r="B733" s="123"/>
    </row>
    <row r="734" ht="15.75" customHeight="1">
      <c r="B734" s="123"/>
    </row>
    <row r="735" ht="15.75" customHeight="1">
      <c r="B735" s="123"/>
    </row>
    <row r="736" ht="15.75" customHeight="1">
      <c r="B736" s="123"/>
    </row>
    <row r="737" ht="15.75" customHeight="1">
      <c r="B737" s="123"/>
    </row>
    <row r="738" ht="15.75" customHeight="1">
      <c r="B738" s="123"/>
    </row>
    <row r="739" ht="15.75" customHeight="1">
      <c r="B739" s="123"/>
    </row>
    <row r="740" ht="15.75" customHeight="1">
      <c r="B740" s="123"/>
    </row>
    <row r="741" ht="15.75" customHeight="1">
      <c r="B741" s="123"/>
    </row>
    <row r="742" ht="15.75" customHeight="1">
      <c r="B742" s="123"/>
    </row>
    <row r="743" ht="15.75" customHeight="1">
      <c r="B743" s="123"/>
    </row>
    <row r="744" ht="15.75" customHeight="1">
      <c r="B744" s="123"/>
    </row>
    <row r="745" ht="15.75" customHeight="1">
      <c r="B745" s="123"/>
    </row>
    <row r="746" ht="15.75" customHeight="1">
      <c r="B746" s="123"/>
    </row>
    <row r="747" ht="15.75" customHeight="1">
      <c r="B747" s="123"/>
    </row>
    <row r="748" ht="15.75" customHeight="1">
      <c r="B748" s="123"/>
    </row>
    <row r="749" ht="15.75" customHeight="1">
      <c r="B749" s="123"/>
    </row>
    <row r="750" ht="15.75" customHeight="1">
      <c r="B750" s="123"/>
    </row>
    <row r="751" ht="15.75" customHeight="1">
      <c r="B751" s="123"/>
    </row>
    <row r="752" ht="15.75" customHeight="1">
      <c r="B752" s="123"/>
    </row>
    <row r="753" ht="15.75" customHeight="1">
      <c r="B753" s="123"/>
    </row>
    <row r="754" ht="15.75" customHeight="1">
      <c r="B754" s="123"/>
    </row>
    <row r="755" ht="15.75" customHeight="1">
      <c r="B755" s="123"/>
    </row>
    <row r="756" ht="15.75" customHeight="1">
      <c r="B756" s="123"/>
    </row>
    <row r="757" ht="15.75" customHeight="1">
      <c r="B757" s="123"/>
    </row>
    <row r="758" ht="15.75" customHeight="1">
      <c r="B758" s="123"/>
    </row>
    <row r="759" ht="15.75" customHeight="1">
      <c r="B759" s="123"/>
    </row>
    <row r="760" ht="15.75" customHeight="1">
      <c r="B760" s="123"/>
    </row>
    <row r="761" ht="15.75" customHeight="1">
      <c r="B761" s="123"/>
    </row>
    <row r="762" ht="15.75" customHeight="1">
      <c r="B762" s="123"/>
    </row>
    <row r="763" ht="15.75" customHeight="1">
      <c r="B763" s="123"/>
    </row>
    <row r="764" ht="15.75" customHeight="1">
      <c r="B764" s="123"/>
    </row>
    <row r="765" ht="15.75" customHeight="1">
      <c r="B765" s="123"/>
    </row>
    <row r="766" ht="15.75" customHeight="1">
      <c r="B766" s="123"/>
    </row>
    <row r="767" ht="15.75" customHeight="1">
      <c r="B767" s="123"/>
    </row>
    <row r="768" ht="15.75" customHeight="1">
      <c r="B768" s="123"/>
    </row>
    <row r="769" ht="15.75" customHeight="1">
      <c r="B769" s="123"/>
    </row>
    <row r="770" ht="15.75" customHeight="1">
      <c r="B770" s="123"/>
    </row>
    <row r="771" ht="15.75" customHeight="1">
      <c r="B771" s="123"/>
    </row>
    <row r="772" ht="15.75" customHeight="1">
      <c r="B772" s="123"/>
    </row>
    <row r="773" ht="15.75" customHeight="1">
      <c r="B773" s="123"/>
    </row>
    <row r="774" ht="15.75" customHeight="1">
      <c r="B774" s="123"/>
    </row>
    <row r="775" ht="15.75" customHeight="1">
      <c r="B775" s="123"/>
    </row>
    <row r="776" ht="15.75" customHeight="1">
      <c r="B776" s="123"/>
    </row>
    <row r="777" ht="15.75" customHeight="1">
      <c r="B777" s="123"/>
    </row>
    <row r="778" ht="15.75" customHeight="1">
      <c r="B778" s="123"/>
    </row>
    <row r="779" ht="15.75" customHeight="1">
      <c r="B779" s="123"/>
    </row>
    <row r="780" ht="15.75" customHeight="1">
      <c r="B780" s="123"/>
    </row>
    <row r="781" ht="15.75" customHeight="1">
      <c r="B781" s="123"/>
    </row>
    <row r="782" ht="15.75" customHeight="1">
      <c r="B782" s="123"/>
    </row>
    <row r="783" ht="15.75" customHeight="1">
      <c r="B783" s="123"/>
    </row>
    <row r="784" ht="15.75" customHeight="1">
      <c r="B784" s="123"/>
    </row>
    <row r="785" ht="15.75" customHeight="1">
      <c r="B785" s="123"/>
    </row>
    <row r="786" ht="15.75" customHeight="1">
      <c r="B786" s="123"/>
    </row>
    <row r="787" ht="15.75" customHeight="1">
      <c r="B787" s="123"/>
    </row>
    <row r="788" ht="15.75" customHeight="1">
      <c r="B788" s="123"/>
    </row>
    <row r="789" ht="15.75" customHeight="1">
      <c r="B789" s="123"/>
    </row>
    <row r="790" ht="15.75" customHeight="1">
      <c r="B790" s="123"/>
    </row>
    <row r="791" ht="15.75" customHeight="1">
      <c r="B791" s="123"/>
    </row>
    <row r="792" ht="15.75" customHeight="1">
      <c r="B792" s="123"/>
    </row>
    <row r="793" ht="15.75" customHeight="1">
      <c r="B793" s="123"/>
    </row>
    <row r="794" ht="15.75" customHeight="1">
      <c r="B794" s="123"/>
    </row>
    <row r="795" ht="15.75" customHeight="1">
      <c r="B795" s="123"/>
    </row>
    <row r="796" ht="15.75" customHeight="1">
      <c r="B796" s="123"/>
    </row>
    <row r="797" ht="15.75" customHeight="1">
      <c r="B797" s="123"/>
    </row>
    <row r="798" ht="15.75" customHeight="1">
      <c r="B798" s="123"/>
    </row>
    <row r="799" ht="15.75" customHeight="1">
      <c r="B799" s="123"/>
    </row>
    <row r="800" ht="15.75" customHeight="1">
      <c r="B800" s="123"/>
    </row>
    <row r="801" ht="15.75" customHeight="1">
      <c r="B801" s="123"/>
    </row>
    <row r="802" ht="15.75" customHeight="1">
      <c r="B802" s="123"/>
    </row>
    <row r="803" ht="15.75" customHeight="1">
      <c r="B803" s="123"/>
    </row>
    <row r="804" ht="15.75" customHeight="1">
      <c r="B804" s="123"/>
    </row>
    <row r="805" ht="15.75" customHeight="1">
      <c r="B805" s="123"/>
    </row>
    <row r="806" ht="15.75" customHeight="1">
      <c r="B806" s="123"/>
    </row>
    <row r="807" ht="15.75" customHeight="1">
      <c r="B807" s="123"/>
    </row>
    <row r="808" ht="15.75" customHeight="1">
      <c r="B808" s="123"/>
    </row>
    <row r="809" ht="15.75" customHeight="1">
      <c r="B809" s="123"/>
    </row>
    <row r="810" ht="15.75" customHeight="1">
      <c r="B810" s="123"/>
    </row>
    <row r="811" ht="15.75" customHeight="1">
      <c r="B811" s="123"/>
    </row>
    <row r="812" ht="15.75" customHeight="1">
      <c r="B812" s="123"/>
    </row>
    <row r="813" ht="15.75" customHeight="1">
      <c r="B813" s="123"/>
    </row>
    <row r="814" ht="15.75" customHeight="1">
      <c r="B814" s="123"/>
    </row>
    <row r="815" ht="15.75" customHeight="1">
      <c r="B815" s="123"/>
    </row>
    <row r="816" ht="15.75" customHeight="1">
      <c r="B816" s="123"/>
    </row>
    <row r="817" ht="15.75" customHeight="1">
      <c r="B817" s="123"/>
    </row>
    <row r="818" ht="15.75" customHeight="1">
      <c r="B818" s="123"/>
    </row>
    <row r="819" ht="15.75" customHeight="1">
      <c r="B819" s="123"/>
    </row>
    <row r="820" ht="15.75" customHeight="1">
      <c r="B820" s="123"/>
    </row>
    <row r="821" ht="15.75" customHeight="1">
      <c r="B821" s="123"/>
    </row>
    <row r="822" ht="15.75" customHeight="1">
      <c r="B822" s="123"/>
    </row>
    <row r="823" ht="15.75" customHeight="1">
      <c r="B823" s="123"/>
    </row>
    <row r="824" ht="15.75" customHeight="1">
      <c r="B824" s="123"/>
    </row>
    <row r="825" ht="15.75" customHeight="1">
      <c r="B825" s="123"/>
    </row>
    <row r="826" ht="15.75" customHeight="1">
      <c r="B826" s="123"/>
    </row>
    <row r="827" ht="15.75" customHeight="1">
      <c r="B827" s="123"/>
    </row>
    <row r="828" ht="15.75" customHeight="1">
      <c r="B828" s="123"/>
    </row>
    <row r="829" ht="15.75" customHeight="1">
      <c r="B829" s="123"/>
    </row>
    <row r="830" ht="15.75" customHeight="1">
      <c r="B830" s="123"/>
    </row>
    <row r="831" ht="15.75" customHeight="1">
      <c r="B831" s="123"/>
    </row>
    <row r="832" ht="15.75" customHeight="1">
      <c r="B832" s="123"/>
    </row>
    <row r="833" ht="15.75" customHeight="1">
      <c r="B833" s="123"/>
    </row>
    <row r="834" ht="15.75" customHeight="1">
      <c r="B834" s="123"/>
    </row>
    <row r="835" ht="15.75" customHeight="1">
      <c r="B835" s="123"/>
    </row>
    <row r="836" ht="15.75" customHeight="1">
      <c r="B836" s="123"/>
    </row>
    <row r="837" ht="15.75" customHeight="1">
      <c r="B837" s="123"/>
    </row>
    <row r="838" ht="15.75" customHeight="1">
      <c r="B838" s="123"/>
    </row>
    <row r="839" ht="15.75" customHeight="1">
      <c r="B839" s="123"/>
    </row>
    <row r="840" ht="15.75" customHeight="1">
      <c r="B840" s="123"/>
    </row>
    <row r="841" ht="15.75" customHeight="1">
      <c r="B841" s="123"/>
    </row>
    <row r="842" ht="15.75" customHeight="1">
      <c r="B842" s="123"/>
    </row>
    <row r="843" ht="15.75" customHeight="1">
      <c r="B843" s="123"/>
    </row>
    <row r="844" ht="15.75" customHeight="1">
      <c r="B844" s="123"/>
    </row>
    <row r="845" ht="15.75" customHeight="1">
      <c r="B845" s="123"/>
    </row>
    <row r="846" ht="15.75" customHeight="1">
      <c r="B846" s="123"/>
    </row>
    <row r="847" ht="15.75" customHeight="1">
      <c r="B847" s="123"/>
    </row>
    <row r="848" ht="15.75" customHeight="1">
      <c r="B848" s="123"/>
    </row>
    <row r="849" ht="15.75" customHeight="1">
      <c r="B849" s="123"/>
    </row>
    <row r="850" ht="15.75" customHeight="1">
      <c r="B850" s="123"/>
    </row>
    <row r="851" ht="15.75" customHeight="1">
      <c r="B851" s="123"/>
    </row>
    <row r="852" ht="15.75" customHeight="1">
      <c r="B852" s="123"/>
    </row>
    <row r="853" ht="15.75" customHeight="1">
      <c r="B853" s="123"/>
    </row>
    <row r="854" ht="15.75" customHeight="1">
      <c r="B854" s="123"/>
    </row>
    <row r="855" ht="15.75" customHeight="1">
      <c r="B855" s="123"/>
    </row>
    <row r="856" ht="15.75" customHeight="1">
      <c r="B856" s="123"/>
    </row>
    <row r="857" ht="15.75" customHeight="1">
      <c r="B857" s="123"/>
    </row>
    <row r="858" ht="15.75" customHeight="1">
      <c r="B858" s="123"/>
    </row>
    <row r="859" ht="15.75" customHeight="1">
      <c r="B859" s="123"/>
    </row>
    <row r="860" ht="15.75" customHeight="1">
      <c r="B860" s="123"/>
    </row>
    <row r="861" ht="15.75" customHeight="1">
      <c r="B861" s="123"/>
    </row>
    <row r="862" ht="15.75" customHeight="1">
      <c r="B862" s="123"/>
    </row>
    <row r="863" ht="15.75" customHeight="1">
      <c r="B863" s="123"/>
    </row>
    <row r="864" ht="15.75" customHeight="1">
      <c r="B864" s="123"/>
    </row>
    <row r="865" ht="15.75" customHeight="1">
      <c r="B865" s="123"/>
    </row>
    <row r="866" ht="15.75" customHeight="1">
      <c r="B866" s="123"/>
    </row>
    <row r="867" ht="15.75" customHeight="1">
      <c r="B867" s="123"/>
    </row>
    <row r="868" ht="15.75" customHeight="1">
      <c r="B868" s="123"/>
    </row>
    <row r="869" ht="15.75" customHeight="1">
      <c r="B869" s="123"/>
    </row>
    <row r="870" ht="15.75" customHeight="1">
      <c r="B870" s="123"/>
    </row>
    <row r="871" ht="15.75" customHeight="1">
      <c r="B871" s="123"/>
    </row>
    <row r="872" ht="15.75" customHeight="1">
      <c r="B872" s="123"/>
    </row>
    <row r="873" ht="15.75" customHeight="1">
      <c r="B873" s="123"/>
    </row>
    <row r="874" ht="15.75" customHeight="1">
      <c r="B874" s="123"/>
    </row>
    <row r="875" ht="15.75" customHeight="1">
      <c r="B875" s="123"/>
    </row>
    <row r="876" ht="15.75" customHeight="1">
      <c r="B876" s="123"/>
    </row>
    <row r="877" ht="15.75" customHeight="1">
      <c r="B877" s="123"/>
    </row>
    <row r="878" ht="15.75" customHeight="1">
      <c r="B878" s="123"/>
    </row>
    <row r="879" ht="15.75" customHeight="1">
      <c r="B879" s="123"/>
    </row>
    <row r="880" ht="15.75" customHeight="1">
      <c r="B880" s="123"/>
    </row>
    <row r="881" ht="15.75" customHeight="1">
      <c r="B881" s="123"/>
    </row>
    <row r="882" ht="15.75" customHeight="1">
      <c r="B882" s="123"/>
    </row>
    <row r="883" ht="15.75" customHeight="1">
      <c r="B883" s="123"/>
    </row>
    <row r="884" ht="15.75" customHeight="1">
      <c r="B884" s="123"/>
    </row>
    <row r="885" ht="15.75" customHeight="1">
      <c r="B885" s="123"/>
    </row>
    <row r="886" ht="15.75" customHeight="1">
      <c r="B886" s="123"/>
    </row>
    <row r="887" ht="15.75" customHeight="1">
      <c r="B887" s="123"/>
    </row>
    <row r="888" ht="15.75" customHeight="1">
      <c r="B888" s="123"/>
    </row>
    <row r="889" ht="15.75" customHeight="1">
      <c r="B889" s="123"/>
    </row>
    <row r="890" ht="15.75" customHeight="1">
      <c r="B890" s="123"/>
    </row>
    <row r="891" ht="15.75" customHeight="1">
      <c r="B891" s="123"/>
    </row>
    <row r="892" ht="15.75" customHeight="1">
      <c r="B892" s="123"/>
    </row>
    <row r="893" ht="15.75" customHeight="1">
      <c r="B893" s="123"/>
    </row>
    <row r="894" ht="15.75" customHeight="1">
      <c r="B894" s="123"/>
    </row>
    <row r="895" ht="15.75" customHeight="1">
      <c r="B895" s="123"/>
    </row>
    <row r="896" ht="15.75" customHeight="1">
      <c r="B896" s="123"/>
    </row>
    <row r="897" ht="15.75" customHeight="1">
      <c r="B897" s="123"/>
    </row>
    <row r="898" ht="15.75" customHeight="1">
      <c r="B898" s="123"/>
    </row>
    <row r="899" ht="15.75" customHeight="1">
      <c r="B899" s="123"/>
    </row>
    <row r="900" ht="15.75" customHeight="1">
      <c r="B900" s="123"/>
    </row>
    <row r="901" ht="15.75" customHeight="1">
      <c r="B901" s="123"/>
    </row>
    <row r="902" ht="15.75" customHeight="1">
      <c r="B902" s="123"/>
    </row>
    <row r="903" ht="15.75" customHeight="1">
      <c r="B903" s="123"/>
    </row>
    <row r="904" ht="15.75" customHeight="1">
      <c r="B904" s="123"/>
    </row>
    <row r="905" ht="15.75" customHeight="1">
      <c r="B905" s="123"/>
    </row>
    <row r="906" ht="15.75" customHeight="1">
      <c r="B906" s="123"/>
    </row>
    <row r="907" ht="15.75" customHeight="1">
      <c r="B907" s="123"/>
    </row>
    <row r="908" ht="15.75" customHeight="1">
      <c r="B908" s="123"/>
    </row>
    <row r="909" ht="15.75" customHeight="1">
      <c r="B909" s="123"/>
    </row>
    <row r="910" ht="15.75" customHeight="1">
      <c r="B910" s="123"/>
    </row>
    <row r="911" ht="15.75" customHeight="1">
      <c r="B911" s="123"/>
    </row>
    <row r="912" ht="15.75" customHeight="1">
      <c r="B912" s="123"/>
    </row>
    <row r="913" ht="15.75" customHeight="1">
      <c r="B913" s="123"/>
    </row>
    <row r="914" ht="15.75" customHeight="1">
      <c r="B914" s="123"/>
    </row>
    <row r="915" ht="15.75" customHeight="1">
      <c r="B915" s="123"/>
    </row>
    <row r="916" ht="15.75" customHeight="1">
      <c r="B916" s="123"/>
    </row>
    <row r="917" ht="15.75" customHeight="1">
      <c r="B917" s="123"/>
    </row>
    <row r="918" ht="15.75" customHeight="1">
      <c r="B918" s="123"/>
    </row>
    <row r="919" ht="15.75" customHeight="1">
      <c r="B919" s="123"/>
    </row>
    <row r="920" ht="15.75" customHeight="1">
      <c r="B920" s="123"/>
    </row>
    <row r="921" ht="15.75" customHeight="1">
      <c r="B921" s="123"/>
    </row>
    <row r="922" ht="15.75" customHeight="1">
      <c r="B922" s="123"/>
    </row>
    <row r="923" ht="15.75" customHeight="1">
      <c r="B923" s="123"/>
    </row>
    <row r="924" ht="15.75" customHeight="1">
      <c r="B924" s="123"/>
    </row>
    <row r="925" ht="15.75" customHeight="1">
      <c r="B925" s="123"/>
    </row>
    <row r="926" ht="15.75" customHeight="1">
      <c r="B926" s="123"/>
    </row>
    <row r="927" ht="15.75" customHeight="1">
      <c r="B927" s="123"/>
    </row>
    <row r="928" ht="15.75" customHeight="1">
      <c r="B928" s="123"/>
    </row>
    <row r="929" ht="15.75" customHeight="1">
      <c r="B929" s="123"/>
    </row>
    <row r="930" ht="15.75" customHeight="1">
      <c r="B930" s="123"/>
    </row>
    <row r="931" ht="15.75" customHeight="1">
      <c r="B931" s="123"/>
    </row>
    <row r="932" ht="15.75" customHeight="1">
      <c r="B932" s="123"/>
    </row>
    <row r="933" ht="15.75" customHeight="1">
      <c r="B933" s="123"/>
    </row>
    <row r="934" ht="15.75" customHeight="1">
      <c r="B934" s="123"/>
    </row>
    <row r="935" ht="15.75" customHeight="1">
      <c r="B935" s="123"/>
    </row>
    <row r="936" ht="15.75" customHeight="1">
      <c r="B936" s="123"/>
    </row>
    <row r="937" ht="15.75" customHeight="1">
      <c r="B937" s="123"/>
    </row>
    <row r="938" ht="15.75" customHeight="1">
      <c r="B938" s="123"/>
    </row>
    <row r="939" ht="15.75" customHeight="1">
      <c r="B939" s="123"/>
    </row>
    <row r="940" ht="15.75" customHeight="1">
      <c r="B940" s="123"/>
    </row>
    <row r="941" ht="15.75" customHeight="1">
      <c r="B941" s="123"/>
    </row>
    <row r="942" ht="15.75" customHeight="1">
      <c r="B942" s="123"/>
    </row>
    <row r="943" ht="15.75" customHeight="1">
      <c r="B943" s="123"/>
    </row>
    <row r="944" ht="15.75" customHeight="1">
      <c r="B944" s="123"/>
    </row>
    <row r="945" ht="15.75" customHeight="1">
      <c r="B945" s="123"/>
    </row>
    <row r="946" ht="15.75" customHeight="1">
      <c r="B946" s="123"/>
    </row>
    <row r="947" ht="15.75" customHeight="1">
      <c r="B947" s="123"/>
    </row>
    <row r="948" ht="15.75" customHeight="1">
      <c r="B948" s="123"/>
    </row>
    <row r="949" ht="15.75" customHeight="1">
      <c r="B949" s="123"/>
    </row>
    <row r="950" ht="15.75" customHeight="1">
      <c r="B950" s="123"/>
    </row>
    <row r="951" ht="15.75" customHeight="1">
      <c r="B951" s="123"/>
    </row>
    <row r="952" ht="15.75" customHeight="1">
      <c r="B952" s="123"/>
    </row>
    <row r="953" ht="15.75" customHeight="1">
      <c r="B953" s="123"/>
    </row>
    <row r="954" ht="15.75" customHeight="1">
      <c r="B954" s="123"/>
    </row>
    <row r="955" ht="15.75" customHeight="1">
      <c r="B955" s="123"/>
    </row>
    <row r="956" ht="15.75" customHeight="1">
      <c r="B956" s="123"/>
    </row>
    <row r="957" ht="15.75" customHeight="1">
      <c r="B957" s="123"/>
    </row>
    <row r="958" ht="15.75" customHeight="1">
      <c r="B958" s="123"/>
    </row>
    <row r="959" ht="15.75" customHeight="1">
      <c r="B959" s="123"/>
    </row>
    <row r="960" ht="15.75" customHeight="1">
      <c r="B960" s="123"/>
    </row>
    <row r="961" ht="15.75" customHeight="1">
      <c r="B961" s="123"/>
    </row>
    <row r="962" ht="15.75" customHeight="1">
      <c r="B962" s="123"/>
    </row>
    <row r="963" ht="15.75" customHeight="1">
      <c r="B963" s="123"/>
    </row>
    <row r="964" ht="15.75" customHeight="1">
      <c r="B964" s="123"/>
    </row>
    <row r="965" ht="15.75" customHeight="1">
      <c r="B965" s="123"/>
    </row>
    <row r="966" ht="15.75" customHeight="1">
      <c r="B966" s="123"/>
    </row>
    <row r="967" ht="15.75" customHeight="1">
      <c r="B967" s="123"/>
    </row>
    <row r="968" ht="15.75" customHeight="1">
      <c r="B968" s="123"/>
    </row>
    <row r="969" ht="15.75" customHeight="1">
      <c r="B969" s="123"/>
    </row>
    <row r="970" ht="15.75" customHeight="1">
      <c r="B970" s="123"/>
    </row>
    <row r="971" ht="15.75" customHeight="1">
      <c r="B971" s="123"/>
    </row>
    <row r="972" ht="15.75" customHeight="1">
      <c r="B972" s="123"/>
    </row>
    <row r="973" ht="15.75" customHeight="1">
      <c r="B973" s="123"/>
    </row>
    <row r="974" ht="15.75" customHeight="1">
      <c r="B974" s="123"/>
    </row>
    <row r="975" ht="15.75" customHeight="1">
      <c r="B975" s="123"/>
    </row>
    <row r="976" ht="15.75" customHeight="1">
      <c r="B976" s="123"/>
    </row>
    <row r="977" ht="15.75" customHeight="1">
      <c r="B977" s="123"/>
    </row>
    <row r="978" ht="15.75" customHeight="1">
      <c r="B978" s="123"/>
    </row>
    <row r="979" ht="15.75" customHeight="1">
      <c r="B979" s="123"/>
    </row>
    <row r="980" ht="15.75" customHeight="1">
      <c r="B980" s="123"/>
    </row>
    <row r="981" ht="15.75" customHeight="1">
      <c r="B981" s="123"/>
    </row>
    <row r="982" ht="15.75" customHeight="1">
      <c r="B982" s="123"/>
    </row>
    <row r="983" ht="15.75" customHeight="1">
      <c r="B983" s="123"/>
    </row>
    <row r="984" ht="15.75" customHeight="1">
      <c r="B984" s="123"/>
    </row>
    <row r="985" ht="15.75" customHeight="1">
      <c r="B985" s="123"/>
    </row>
    <row r="986" ht="15.75" customHeight="1">
      <c r="B986" s="123"/>
    </row>
    <row r="987" ht="15.75" customHeight="1">
      <c r="B987" s="123"/>
    </row>
    <row r="988" ht="15.75" customHeight="1">
      <c r="B988" s="123"/>
    </row>
    <row r="989" ht="15.75" customHeight="1">
      <c r="B989" s="123"/>
    </row>
    <row r="990" ht="15.75" customHeight="1">
      <c r="B990" s="123"/>
    </row>
    <row r="991" ht="15.75" customHeight="1">
      <c r="B991" s="123"/>
    </row>
    <row r="992" ht="15.75" customHeight="1">
      <c r="B992" s="123"/>
    </row>
    <row r="993" ht="15.75" customHeight="1">
      <c r="B993" s="123"/>
    </row>
    <row r="994" ht="15.75" customHeight="1">
      <c r="B994" s="123"/>
    </row>
    <row r="995" ht="15.75" customHeight="1">
      <c r="B995" s="123"/>
    </row>
    <row r="996" ht="15.75" customHeight="1">
      <c r="B996" s="123"/>
    </row>
    <row r="997" ht="15.75" customHeight="1">
      <c r="B997" s="123"/>
    </row>
    <row r="998" ht="15.75" customHeight="1">
      <c r="B998" s="123"/>
    </row>
    <row r="999" ht="15.75" customHeight="1">
      <c r="B999" s="123"/>
    </row>
    <row r="1000" ht="15.75" customHeight="1">
      <c r="B1000" s="12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2018-08-07T23:17:42Z</dcterms:created>
  <dc:creator>Tasso Azevedo</dc:creator>
</cp:coreProperties>
</file>