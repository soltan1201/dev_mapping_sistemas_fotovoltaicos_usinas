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" sheetId="1" r:id="rId4"/>
    <sheet state="visible" name="DADOS COBERTURA PAMPA" sheetId="2" r:id="rId5"/>
    <sheet state="visible" name="SANKEY" sheetId="3" r:id="rId6"/>
    <sheet state="visible" name="GRAFICO HISTORICO" sheetId="4" r:id="rId7"/>
    <sheet state="visible" name="MANCHETES" sheetId="5" r:id="rId8"/>
    <sheet state="hidden" name="Matriz Cerrado" sheetId="6" r:id="rId9"/>
  </sheets>
  <definedNames/>
  <calcPr/>
  <extLst>
    <ext uri="GoogleSheetsCustomDataVersion2">
      <go:sheetsCustomData xmlns:go="http://customooxmlschemas.google.com/" r:id="rId10" roundtripDataChecksum="6XAPi0YDUCoOpao+IHvuEiDXeSnQmZIdODZZnt+8DZ4="/>
    </ext>
  </extLst>
</workbook>
</file>

<file path=xl/sharedStrings.xml><?xml version="1.0" encoding="utf-8"?>
<sst xmlns="http://schemas.openxmlformats.org/spreadsheetml/2006/main" count="757" uniqueCount="100">
  <si>
    <t>Area total</t>
  </si>
  <si>
    <t>Area Mha</t>
  </si>
  <si>
    <t>%</t>
  </si>
  <si>
    <t>AMAZONIA</t>
  </si>
  <si>
    <t>Transições 1985 a 2025</t>
  </si>
  <si>
    <t>Para o Grafico Circular da composição do uso da terra</t>
  </si>
  <si>
    <t>CAATINGA</t>
  </si>
  <si>
    <t>Area total (ha)</t>
  </si>
  <si>
    <t>Mha</t>
  </si>
  <si>
    <t>CERRADO</t>
  </si>
  <si>
    <t>Classes</t>
  </si>
  <si>
    <t>MATA ATLANTICA</t>
  </si>
  <si>
    <t>1. Forest</t>
  </si>
  <si>
    <t>PAMPA</t>
  </si>
  <si>
    <t>2. Herbaceous and Shrubby Vegetation</t>
  </si>
  <si>
    <t>PANTANAL</t>
  </si>
  <si>
    <t>3. Farming</t>
  </si>
  <si>
    <t>4. Non vegetated area</t>
  </si>
  <si>
    <t>Total</t>
  </si>
  <si>
    <t>5. Water</t>
  </si>
  <si>
    <t>Total 1985</t>
  </si>
  <si>
    <t>Floresta</t>
  </si>
  <si>
    <t>Formação Natural não Florestal</t>
  </si>
  <si>
    <t>1.1. Forest Formation</t>
  </si>
  <si>
    <t>Agropecuária</t>
  </si>
  <si>
    <t>Área não Vegetada</t>
  </si>
  <si>
    <t>Corpo D'água</t>
  </si>
  <si>
    <t>1. Floresta</t>
  </si>
  <si>
    <t>Não Observado</t>
  </si>
  <si>
    <t>Total 2025</t>
  </si>
  <si>
    <t>1.2. Savanna Formation</t>
  </si>
  <si>
    <t>Vegetação Nativa</t>
  </si>
  <si>
    <t>Outros</t>
  </si>
  <si>
    <t>1.3. Flooded Savanna</t>
  </si>
  <si>
    <t>1.4. Mangrove</t>
  </si>
  <si>
    <t>2. Formação Natural não Florestal</t>
  </si>
  <si>
    <t>Manchetes para Pampa</t>
  </si>
  <si>
    <t>crescimento da área de silvicultura no Pampa entre 1985 e 2025</t>
  </si>
  <si>
    <t>Perda de cobertura remanescente de vegetação nativa entre 1985 e 2025</t>
  </si>
  <si>
    <t>1.5. Floodable Forest</t>
  </si>
  <si>
    <t>da área do Pampa coberta com vegetação nativa em 2025</t>
  </si>
  <si>
    <t xml:space="preserve"> Outros</t>
  </si>
  <si>
    <t>1.6. Wooded Sandbank Vegetation</t>
  </si>
  <si>
    <t>3. Agropecuária</t>
  </si>
  <si>
    <t>2.1. Wetland</t>
  </si>
  <si>
    <t/>
  </si>
  <si>
    <t>2.2. Marisma</t>
  </si>
  <si>
    <t>2.3. Grassland Formation</t>
  </si>
  <si>
    <t>Pastagem</t>
  </si>
  <si>
    <t>Formação Campestre (Campo)</t>
  </si>
  <si>
    <t>Formações Florestais</t>
  </si>
  <si>
    <t>Formações Savanicas</t>
  </si>
  <si>
    <t>Florestas Plantadas</t>
  </si>
  <si>
    <t>Cultivo Anual e Perene</t>
  </si>
  <si>
    <t>Cultivo Semi-Perene</t>
  </si>
  <si>
    <t>Mosaico de Cultivos</t>
  </si>
  <si>
    <t>Mosaico de Agricultura ou Pastagem</t>
  </si>
  <si>
    <t>Praias e dunas</t>
  </si>
  <si>
    <t>Agricultura</t>
  </si>
  <si>
    <t>Formações Florestais Naturais</t>
  </si>
  <si>
    <t>2.4. Herbaceous-Shrub Mosaic</t>
  </si>
  <si>
    <t>Mangue</t>
  </si>
  <si>
    <t>Infraestrutura Urbana</t>
  </si>
  <si>
    <t>Outras áreas não vegetadas</t>
  </si>
  <si>
    <t>Corpos Dágua</t>
  </si>
  <si>
    <t>Não observado</t>
  </si>
  <si>
    <t>Apicum</t>
  </si>
  <si>
    <t>Aquicultura</t>
  </si>
  <si>
    <t>Afloramento Rochoso</t>
  </si>
  <si>
    <t>4. Área não Vegetada</t>
  </si>
  <si>
    <t>Mineração</t>
  </si>
  <si>
    <t>Área Úmida Natural não Florestal</t>
  </si>
  <si>
    <t>Outra formação não Florestal</t>
  </si>
  <si>
    <t>Rios, Lagos e Oceanos</t>
  </si>
  <si>
    <t>-</t>
  </si>
  <si>
    <t>2.5. Hypersaline Tidal Flat</t>
  </si>
  <si>
    <t>2.6. Rocky Outcrop</t>
  </si>
  <si>
    <t>2.7. Herbaceous Sandbank Vegetation</t>
  </si>
  <si>
    <t>% de cobertura por vegetação nativa</t>
  </si>
  <si>
    <t>3.1. Pasture</t>
  </si>
  <si>
    <t>Perda de vegetação nativa entre 1985 e 2025</t>
  </si>
  <si>
    <t>3.2. Agriculture</t>
  </si>
  <si>
    <t>3.3. Forest Plantation</t>
  </si>
  <si>
    <t>5. Corpo D'água</t>
  </si>
  <si>
    <t>% perda de vegetação nativa entre 1985 e 2025</t>
  </si>
  <si>
    <t>3.4. Mosaic of Uses</t>
  </si>
  <si>
    <t>Expansão da silvicultura entre 1985 e 2025</t>
  </si>
  <si>
    <t>4.1. Beach, Dune and Sand Spot</t>
  </si>
  <si>
    <t>4.2. Urban Area</t>
  </si>
  <si>
    <t>4.3. Mining</t>
  </si>
  <si>
    <t>4.4. Photovoltaic Power Plant (beta)</t>
  </si>
  <si>
    <t>4.5. Wind Farm</t>
  </si>
  <si>
    <t>4.6. Other non Vegetated Areas</t>
  </si>
  <si>
    <t>5.1. River, Lake and Ocean</t>
  </si>
  <si>
    <t>,</t>
  </si>
  <si>
    <t>5.2. Aquaculture</t>
  </si>
  <si>
    <t>6. Not Observed</t>
  </si>
  <si>
    <t>Total Geral</t>
  </si>
  <si>
    <t>Vegetação herbácea e arbustiva</t>
  </si>
  <si>
    <t>EM MILHOES DE HECTARES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</si>
</sst>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* #,##0.000_);_(* \(#,##0.000\);_(* &quot;-&quot;??_);_(@_)"/>
    <numFmt numFmtId="168" formatCode="_-* #,##0.0_-;\-* #,##0.0_-;_-* &quot;-&quot;??_-;_-@"/>
    <numFmt numFmtId="169" formatCode="_(* #,##0.00_);_(* \(#,##0.00\);_(* &quot;-&quot;??_);_(@_)"/>
    <numFmt numFmtId="170" formatCode="0.000%"/>
    <numFmt numFmtId="171" formatCode="0.000"/>
    <numFmt numFmtId="172" formatCode="_-* #,##0.00_-;\-* #,##0.00_-;_-* &quot;-&quot;??_-;_-@"/>
  </numFmts>
  <fonts count="24">
    <font>
      <sz val="12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22.0"/>
      <color theme="1"/>
      <name val="Calibri"/>
    </font>
    <font>
      <sz val="22.0"/>
      <color rgb="FFFF0000"/>
      <name val="Calibri"/>
    </font>
    <font>
      <b/>
      <sz val="20.0"/>
      <color theme="1"/>
      <name val="Calibri"/>
    </font>
    <font>
      <sz val="12.0"/>
      <color rgb="FF7F7F7F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sz val="12.0"/>
      <color rgb="FF006100"/>
      <name val="Calibri"/>
    </font>
    <font/>
    <font>
      <sz val="12.0"/>
      <color rgb="FF000000"/>
      <name val="Calibri"/>
    </font>
    <font>
      <sz val="12.0"/>
      <color theme="1"/>
      <name val="Arial"/>
    </font>
    <font>
      <b/>
      <sz val="24.0"/>
      <color theme="1"/>
      <name val="Calibri"/>
    </font>
    <font>
      <sz val="18.0"/>
      <color rgb="FF000000"/>
      <name val="Calibri"/>
    </font>
    <font>
      <b/>
      <sz val="18.0"/>
      <color theme="1"/>
      <name val="Calibri"/>
    </font>
    <font>
      <b/>
      <sz val="17.0"/>
      <color theme="1"/>
      <name val="Arial"/>
    </font>
    <font>
      <sz val="18.0"/>
      <color rgb="FF38761D"/>
      <name val="Calibri"/>
    </font>
    <font>
      <sz val="18.0"/>
      <color theme="1"/>
      <name val="Calibri"/>
    </font>
    <font>
      <b/>
      <sz val="20.0"/>
      <color rgb="FFFF0000"/>
      <name val="Calibri"/>
    </font>
    <font>
      <sz val="12.0"/>
      <color rgb="FF9C57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FEB9C"/>
        <bgColor rgb="FFFFEB9C"/>
      </patternFill>
    </fill>
  </fills>
  <borders count="23">
    <border/>
    <border>
      <left/>
      <right/>
      <top/>
      <bottom/>
    </border>
    <border>
      <left/>
      <right/>
      <top/>
      <bottom style="thin">
        <color rgb="FF8EAADB"/>
      </bottom>
    </border>
    <border>
      <bottom style="thin">
        <color rgb="FF8EAADB"/>
      </bottom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left/>
      <right/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8EAADB"/>
      </top>
      <bottom/>
    </border>
    <border>
      <top style="thin">
        <color rgb="FF2E75B5"/>
      </top>
      <bottom style="medium">
        <color rgb="FF2E75B5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right" vertical="bottom"/>
    </xf>
    <xf borderId="0" fillId="0" fontId="1" numFmtId="165" xfId="0" applyFont="1" applyNumberFormat="1"/>
    <xf borderId="0" fillId="0" fontId="3" numFmtId="0" xfId="0" applyFont="1"/>
    <xf borderId="0" fillId="0" fontId="1" numFmtId="9" xfId="0" applyAlignment="1" applyFont="1" applyNumberFormat="1">
      <alignment horizontal="center"/>
    </xf>
    <xf borderId="0" fillId="0" fontId="4" numFmtId="0" xfId="0" applyFont="1"/>
    <xf borderId="0" fillId="0" fontId="1" numFmtId="164" xfId="0" applyFont="1" applyNumberFormat="1"/>
    <xf borderId="0" fillId="0" fontId="5" numFmtId="0" xfId="0" applyFont="1"/>
    <xf borderId="0" fillId="0" fontId="6" numFmtId="0" xfId="0" applyFont="1"/>
    <xf borderId="0" fillId="0" fontId="1" numFmtId="166" xfId="0" applyFont="1" applyNumberFormat="1"/>
    <xf borderId="0" fillId="0" fontId="6" numFmtId="164" xfId="0" applyFont="1" applyNumberForma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2" fillId="4" fontId="7" numFmtId="164" xfId="0" applyAlignment="1" applyBorder="1" applyFill="1" applyFont="1" applyNumberFormat="1">
      <alignment horizontal="left"/>
    </xf>
    <xf borderId="2" fillId="4" fontId="7" numFmtId="164" xfId="0" applyBorder="1" applyFont="1" applyNumberFormat="1"/>
    <xf borderId="1" fillId="2" fontId="8" numFmtId="0" xfId="0" applyBorder="1" applyFont="1"/>
    <xf borderId="1" fillId="5" fontId="6" numFmtId="0" xfId="0" applyAlignment="1" applyBorder="1" applyFill="1" applyFont="1">
      <alignment horizontal="center" shrinkToFit="0" vertical="center" wrapText="1"/>
    </xf>
    <xf borderId="1" fillId="2" fontId="8" numFmtId="164" xfId="0" applyBorder="1" applyFont="1" applyNumberFormat="1"/>
    <xf borderId="1" fillId="2" fontId="1" numFmtId="166" xfId="0" applyBorder="1" applyFont="1" applyNumberFormat="1"/>
    <xf borderId="2" fillId="4" fontId="7" numFmtId="167" xfId="0" applyBorder="1" applyFont="1" applyNumberFormat="1"/>
    <xf borderId="1" fillId="3" fontId="6" numFmtId="0" xfId="0" applyBorder="1" applyFont="1"/>
    <xf borderId="0" fillId="0" fontId="9" numFmtId="164" xfId="0" applyAlignment="1" applyFont="1" applyNumberFormat="1">
      <alignment horizontal="right"/>
    </xf>
    <xf borderId="2" fillId="4" fontId="7" numFmtId="10" xfId="0" applyBorder="1" applyFont="1" applyNumberFormat="1"/>
    <xf borderId="0" fillId="0" fontId="7" numFmtId="164" xfId="0" applyAlignment="1" applyFont="1" applyNumberFormat="1">
      <alignment horizontal="left" vertical="center"/>
    </xf>
    <xf borderId="0" fillId="0" fontId="7" numFmtId="164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7" numFmtId="164" xfId="0" applyAlignment="1" applyFont="1" applyNumberFormat="1">
      <alignment horizontal="left"/>
    </xf>
    <xf borderId="3" fillId="0" fontId="7" numFmtId="164" xfId="0" applyBorder="1" applyFont="1" applyNumberFormat="1"/>
    <xf borderId="1" fillId="5" fontId="6" numFmtId="164" xfId="0" applyBorder="1" applyFont="1" applyNumberFormat="1"/>
    <xf borderId="0" fillId="0" fontId="7" numFmtId="167" xfId="0" applyFont="1" applyNumberFormat="1"/>
    <xf borderId="0" fillId="0" fontId="7" numFmtId="10" xfId="0" applyFont="1" applyNumberFormat="1"/>
    <xf borderId="1" fillId="5" fontId="1" numFmtId="0" xfId="0" applyBorder="1" applyFont="1"/>
    <xf borderId="4" fillId="4" fontId="7" numFmtId="164" xfId="0" applyAlignment="1" applyBorder="1" applyFont="1" applyNumberFormat="1">
      <alignment horizontal="center" vertical="center"/>
    </xf>
    <xf borderId="1" fillId="5" fontId="9" numFmtId="164" xfId="0" applyAlignment="1" applyBorder="1" applyFont="1" applyNumberFormat="1">
      <alignment horizontal="right"/>
    </xf>
    <xf borderId="1" fillId="5" fontId="1" numFmtId="166" xfId="0" applyBorder="1" applyFont="1" applyNumberFormat="1"/>
    <xf borderId="1" fillId="5" fontId="1" numFmtId="165" xfId="0" applyBorder="1" applyFont="1" applyNumberFormat="1"/>
    <xf borderId="4" fillId="4" fontId="7" numFmtId="166" xfId="0" applyAlignment="1" applyBorder="1" applyFont="1" applyNumberFormat="1">
      <alignment horizontal="center" vertical="center"/>
    </xf>
    <xf borderId="4" fillId="4" fontId="7" numFmtId="165" xfId="0" applyAlignment="1" applyBorder="1" applyFont="1" applyNumberFormat="1">
      <alignment horizontal="center" vertical="center"/>
    </xf>
    <xf borderId="1" fillId="5" fontId="6" numFmtId="0" xfId="0" applyBorder="1" applyFont="1"/>
    <xf borderId="5" fillId="6" fontId="7" numFmtId="164" xfId="0" applyAlignment="1" applyBorder="1" applyFill="1" applyFont="1" applyNumberFormat="1">
      <alignment horizontal="left"/>
    </xf>
    <xf borderId="5" fillId="6" fontId="7" numFmtId="168" xfId="0" applyBorder="1" applyFont="1" applyNumberFormat="1"/>
    <xf borderId="5" fillId="6" fontId="7" numFmtId="9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8" fillId="0" fontId="11" numFmtId="0" xfId="0" applyBorder="1" applyFont="1"/>
    <xf borderId="9" fillId="5" fontId="12" numFmtId="0" xfId="0" applyAlignment="1" applyBorder="1" applyFont="1">
      <alignment horizontal="center" vertical="center"/>
    </xf>
    <xf borderId="10" fillId="3" fontId="10" numFmtId="0" xfId="0" applyBorder="1" applyFont="1"/>
    <xf borderId="11" fillId="5" fontId="1" numFmtId="164" xfId="0" applyBorder="1" applyFont="1" applyNumberFormat="1"/>
    <xf borderId="0" fillId="0" fontId="1" numFmtId="9" xfId="0" applyFont="1" applyNumberForma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12" fillId="5" fontId="12" numFmtId="0" xfId="0" applyBorder="1" applyFont="1"/>
    <xf borderId="0" fillId="0" fontId="17" numFmtId="0" xfId="0" applyAlignment="1" applyFont="1">
      <alignment horizontal="center"/>
    </xf>
    <xf borderId="5" fillId="6" fontId="7" numFmtId="166" xfId="0" applyBorder="1" applyFont="1" applyNumberFormat="1"/>
    <xf borderId="13" fillId="5" fontId="1" numFmtId="164" xfId="0" applyBorder="1" applyFont="1" applyNumberFormat="1"/>
    <xf borderId="0" fillId="0" fontId="14" numFmtId="165" xfId="0" applyAlignment="1" applyFont="1" applyNumberFormat="1">
      <alignment horizontal="left"/>
    </xf>
    <xf borderId="0" fillId="0" fontId="18" numFmtId="0" xfId="0" applyFont="1"/>
    <xf borderId="0" fillId="0" fontId="3" numFmtId="165" xfId="0" applyAlignment="1" applyFont="1" applyNumberFormat="1">
      <alignment horizontal="left"/>
    </xf>
    <xf borderId="14" fillId="5" fontId="1" numFmtId="164" xfId="0" applyBorder="1" applyFont="1" applyNumberFormat="1"/>
    <xf borderId="0" fillId="0" fontId="19" numFmtId="0" xfId="0" applyFont="1"/>
    <xf borderId="15" fillId="0" fontId="11" numFmtId="0" xfId="0" applyBorder="1" applyFont="1"/>
    <xf borderId="0" fillId="0" fontId="14" numFmtId="9" xfId="0" applyAlignment="1" applyFont="1" applyNumberFormat="1">
      <alignment horizontal="center"/>
    </xf>
    <xf borderId="16" fillId="6" fontId="7" numFmtId="164" xfId="0" applyAlignment="1" applyBorder="1" applyFont="1" applyNumberFormat="1">
      <alignment horizontal="left"/>
    </xf>
    <xf borderId="16" fillId="6" fontId="7" numFmtId="164" xfId="0" applyBorder="1" applyFont="1" applyNumberFormat="1"/>
    <xf borderId="16" fillId="6" fontId="7" numFmtId="166" xfId="0" applyBorder="1" applyFont="1" applyNumberForma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17" fillId="0" fontId="1" numFmtId="9" xfId="0" applyAlignment="1" applyBorder="1" applyFont="1" applyNumberFormat="1">
      <alignment horizontal="center"/>
    </xf>
    <xf borderId="0" fillId="0" fontId="3" numFmtId="164" xfId="0" applyFont="1" applyNumberFormat="1"/>
    <xf borderId="18" fillId="0" fontId="11" numFmtId="0" xfId="0" applyBorder="1" applyFont="1"/>
    <xf borderId="0" fillId="0" fontId="20" numFmtId="164" xfId="0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1" fillId="3" fontId="10" numFmtId="0" xfId="0" applyBorder="1" applyFont="1"/>
    <xf borderId="17" fillId="0" fontId="1" numFmtId="0" xfId="0" applyAlignment="1" applyBorder="1" applyFont="1">
      <alignment vertical="center"/>
    </xf>
    <xf borderId="17" fillId="0" fontId="1" numFmtId="165" xfId="0" applyAlignment="1" applyBorder="1" applyFont="1" applyNumberFormat="1">
      <alignment vertical="center"/>
    </xf>
    <xf borderId="17" fillId="0" fontId="1" numFmtId="0" xfId="0" applyBorder="1" applyFont="1"/>
    <xf borderId="0" fillId="0" fontId="7" numFmtId="166" xfId="0" applyFont="1" applyNumberFormat="1"/>
    <xf borderId="0" fillId="0" fontId="1" numFmtId="164" xfId="0" applyAlignment="1" applyFont="1" applyNumberFormat="1">
      <alignment horizontal="center" shrinkToFit="0" vertical="center" wrapText="1"/>
    </xf>
    <xf borderId="0" fillId="0" fontId="10" numFmtId="0" xfId="0" applyFont="1"/>
    <xf borderId="19" fillId="7" fontId="7" numFmtId="164" xfId="0" applyAlignment="1" applyBorder="1" applyFill="1" applyFont="1" applyNumberFormat="1">
      <alignment horizontal="left"/>
    </xf>
    <xf borderId="1" fillId="7" fontId="7" numFmtId="164" xfId="0" applyAlignment="1" applyBorder="1" applyFont="1" applyNumberFormat="1">
      <alignment horizontal="left"/>
    </xf>
    <xf borderId="20" fillId="0" fontId="7" numFmtId="164" xfId="0" applyBorder="1" applyFont="1" applyNumberFormat="1"/>
    <xf borderId="19" fillId="7" fontId="7" numFmtId="165" xfId="0" applyBorder="1" applyFont="1" applyNumberFormat="1"/>
    <xf borderId="0" fillId="0" fontId="13" numFmtId="165" xfId="0" applyFont="1" applyNumberFormat="1"/>
    <xf borderId="0" fillId="0" fontId="1" numFmtId="0" xfId="0" applyAlignment="1" applyFont="1">
      <alignment horizontal="left"/>
    </xf>
    <xf borderId="20" fillId="0" fontId="7" numFmtId="164" xfId="0" applyAlignment="1" applyBorder="1" applyFont="1" applyNumberFormat="1">
      <alignment horizontal="left"/>
    </xf>
    <xf borderId="0" fillId="0" fontId="7" numFmtId="0" xfId="0" applyFont="1"/>
    <xf borderId="3" fillId="0" fontId="7" numFmtId="164" xfId="0" applyAlignment="1" applyBorder="1" applyFont="1" applyNumberFormat="1">
      <alignment horizontal="left"/>
    </xf>
    <xf borderId="0" fillId="0" fontId="13" numFmtId="164" xfId="0" applyFont="1" applyNumberFormat="1"/>
    <xf borderId="3" fillId="0" fontId="7" numFmtId="167" xfId="0" applyBorder="1" applyFont="1" applyNumberFormat="1"/>
    <xf borderId="20" fillId="0" fontId="2" numFmtId="164" xfId="0" applyAlignment="1" applyBorder="1" applyFont="1" applyNumberFormat="1">
      <alignment horizontal="left"/>
    </xf>
    <xf borderId="3" fillId="0" fontId="7" numFmtId="10" xfId="0" applyBorder="1" applyFont="1" applyNumberFormat="1"/>
    <xf borderId="17" fillId="0" fontId="1" numFmtId="165" xfId="0" applyBorder="1" applyFont="1" applyNumberFormat="1"/>
    <xf borderId="0" fillId="0" fontId="2" numFmtId="164" xfId="0" applyAlignment="1" applyFont="1" applyNumberFormat="1">
      <alignment horizontal="left"/>
    </xf>
    <xf borderId="0" fillId="0" fontId="1" numFmtId="169" xfId="0" applyFont="1" applyNumberFormat="1"/>
    <xf borderId="0" fillId="0" fontId="7" numFmtId="0" xfId="0" applyAlignment="1" applyFont="1">
      <alignment horizontal="left"/>
    </xf>
    <xf borderId="0" fillId="0" fontId="7" numFmtId="164" xfId="0" applyFont="1" applyNumberFormat="1"/>
    <xf borderId="0" fillId="0" fontId="7" numFmtId="165" xfId="0" applyFont="1" applyNumberFormat="1"/>
    <xf borderId="1" fillId="8" fontId="21" numFmtId="0" xfId="0" applyBorder="1" applyFill="1" applyFont="1"/>
    <xf borderId="3" fillId="0" fontId="7" numFmtId="170" xfId="0" applyBorder="1" applyFont="1" applyNumberFormat="1"/>
    <xf borderId="0" fillId="0" fontId="1" numFmtId="165" xfId="0" applyAlignment="1" applyFont="1" applyNumberFormat="1">
      <alignment horizontal="center" vertical="center"/>
    </xf>
    <xf borderId="0" fillId="0" fontId="22" numFmtId="0" xfId="0" applyFont="1"/>
    <xf borderId="0" fillId="0" fontId="22" numFmtId="0" xfId="0" applyAlignment="1" applyFont="1">
      <alignment readingOrder="0"/>
    </xf>
    <xf borderId="21" fillId="2" fontId="7" numFmtId="10" xfId="0" applyBorder="1" applyFont="1" applyNumberFormat="1"/>
    <xf borderId="21" fillId="2" fontId="7" numFmtId="164" xfId="0" applyBorder="1" applyFont="1" applyNumberFormat="1"/>
    <xf borderId="21" fillId="2" fontId="7" numFmtId="171" xfId="0" applyBorder="1" applyFont="1" applyNumberFormat="1"/>
    <xf borderId="0" fillId="0" fontId="9" numFmtId="164" xfId="0" applyAlignment="1" applyFont="1" applyNumberFormat="1">
      <alignment horizontal="left"/>
    </xf>
    <xf borderId="22" fillId="0" fontId="7" numFmtId="164" xfId="0" applyAlignment="1" applyBorder="1" applyFont="1" applyNumberFormat="1">
      <alignment horizontal="left"/>
    </xf>
    <xf borderId="22" fillId="0" fontId="7" numFmtId="164" xfId="0" applyBorder="1" applyFont="1" applyNumberFormat="1"/>
    <xf borderId="0" fillId="0" fontId="23" numFmtId="10" xfId="0" applyAlignment="1" applyFont="1" applyNumberFormat="1">
      <alignment horizontal="right"/>
    </xf>
    <xf borderId="0" fillId="0" fontId="23" numFmtId="0" xfId="0" applyAlignment="1" applyFont="1">
      <alignment horizontal="right"/>
    </xf>
    <xf borderId="0" fillId="0" fontId="23" numFmtId="164" xfId="0" applyAlignment="1" applyFont="1" applyNumberFormat="1">
      <alignment horizontal="right"/>
    </xf>
    <xf borderId="0" fillId="0" fontId="21" numFmtId="0" xfId="0" applyFont="1"/>
    <xf borderId="0" fillId="0" fontId="8" numFmtId="0" xfId="0" applyFont="1"/>
    <xf borderId="1" fillId="9" fontId="21" numFmtId="0" xfId="0" applyBorder="1" applyFill="1" applyFont="1"/>
    <xf borderId="1" fillId="9" fontId="21" numFmtId="172" xfId="0" applyBorder="1" applyFont="1" applyNumberFormat="1"/>
    <xf borderId="0" fillId="0" fontId="21" numFmtId="172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480666591"/>
        <c:axId val="1170939997"/>
      </c:lineChart>
      <c:catAx>
        <c:axId val="480666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170939997"/>
      </c:catAx>
      <c:valAx>
        <c:axId val="117093999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8066659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Vegetação Nativa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HISTORICO'!$B$5:$AK$5</c:f>
              <c:numCache/>
            </c:numRef>
          </c:val>
          <c:smooth val="0"/>
        </c:ser>
        <c:axId val="448701837"/>
        <c:axId val="1479445300"/>
      </c:lineChart>
      <c:catAx>
        <c:axId val="448701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479445300"/>
      </c:catAx>
      <c:valAx>
        <c:axId val="1479445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870183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HISTORICO'!$B$41:$AM$41</c:f>
            </c:strRef>
          </c:cat>
          <c:val>
            <c:numRef>
              <c:f>'GRAFICO HISTORICO'!$B$50:$AN$50</c:f>
              <c:numCache/>
            </c:numRef>
          </c:val>
          <c:smooth val="0"/>
        </c:ser>
        <c:axId val="1909459563"/>
        <c:axId val="787464513"/>
      </c:lineChart>
      <c:catAx>
        <c:axId val="1909459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787464513"/>
      </c:catAx>
      <c:valAx>
        <c:axId val="787464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945956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HISTORICO'!$B$51:$AN$51</c:f>
              <c:numCache/>
            </c:numRef>
          </c:val>
          <c:smooth val="0"/>
        </c:ser>
        <c:axId val="1292905959"/>
        <c:axId val="1359069354"/>
      </c:lineChart>
      <c:catAx>
        <c:axId val="1292905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359069354"/>
      </c:catAx>
      <c:valAx>
        <c:axId val="1359069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2905959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66</xdr:row>
      <xdr:rowOff>76200</xdr:rowOff>
    </xdr:from>
    <xdr:ext cx="5143500" cy="2705100"/>
    <xdr:graphicFrame>
      <xdr:nvGraphicFramePr>
        <xdr:cNvPr id="124379357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123825</xdr:colOff>
      <xdr:row>66</xdr:row>
      <xdr:rowOff>85725</xdr:rowOff>
    </xdr:from>
    <xdr:ext cx="5191125" cy="2705100"/>
    <xdr:graphicFrame>
      <xdr:nvGraphicFramePr>
        <xdr:cNvPr id="2062564105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52</xdr:row>
      <xdr:rowOff>28575</xdr:rowOff>
    </xdr:from>
    <xdr:ext cx="5210175" cy="2705100"/>
    <xdr:graphicFrame>
      <xdr:nvGraphicFramePr>
        <xdr:cNvPr id="100586915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781050</xdr:colOff>
      <xdr:row>52</xdr:row>
      <xdr:rowOff>47625</xdr:rowOff>
    </xdr:from>
    <xdr:ext cx="5143500" cy="2705100"/>
    <xdr:graphicFrame>
      <xdr:nvGraphicFramePr>
        <xdr:cNvPr id="309719703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8.56"/>
    <col customWidth="1" min="3" max="26" width="11.0"/>
  </cols>
  <sheetData>
    <row r="1" ht="15.75" customHeight="1"/>
    <row r="2" ht="15.75" customHeight="1">
      <c r="A2" s="1"/>
      <c r="B2" s="1" t="s">
        <v>0</v>
      </c>
      <c r="C2" s="1" t="s">
        <v>1</v>
      </c>
      <c r="D2" s="1" t="s">
        <v>2</v>
      </c>
    </row>
    <row r="3" ht="15.75" customHeight="1">
      <c r="A3" s="2" t="s">
        <v>3</v>
      </c>
      <c r="B3" s="4">
        <v>4.207828033E8</v>
      </c>
      <c r="C3" s="12">
        <f t="shared" ref="C3:C9" si="1">B3/1000000</f>
        <v>420.7828033</v>
      </c>
      <c r="D3" s="5">
        <f t="shared" ref="D3:D8" si="2">C3/C$9</f>
        <v>0.4946632649</v>
      </c>
    </row>
    <row r="4" ht="15.75" customHeight="1">
      <c r="A4" s="2" t="s">
        <v>6</v>
      </c>
      <c r="B4" s="4">
        <v>8.626110405E7</v>
      </c>
      <c r="C4" s="12">
        <f t="shared" si="1"/>
        <v>86.26110405</v>
      </c>
      <c r="D4" s="5">
        <f t="shared" si="2"/>
        <v>0.1014067092</v>
      </c>
    </row>
    <row r="5" ht="15.75" customHeight="1">
      <c r="A5" s="2" t="s">
        <v>9</v>
      </c>
      <c r="B5" s="4">
        <v>2.004390674E8</v>
      </c>
      <c r="C5" s="12">
        <f t="shared" si="1"/>
        <v>200.4390674</v>
      </c>
      <c r="D5" s="5">
        <f t="shared" si="2"/>
        <v>0.2356318811</v>
      </c>
    </row>
    <row r="6" ht="15.75" customHeight="1">
      <c r="A6" s="2" t="s">
        <v>11</v>
      </c>
      <c r="B6" s="4">
        <v>1.086744891E8</v>
      </c>
      <c r="C6" s="12">
        <f t="shared" si="1"/>
        <v>108.6744891</v>
      </c>
      <c r="D6" s="5">
        <f t="shared" si="2"/>
        <v>0.1277554053</v>
      </c>
    </row>
    <row r="7" ht="15.75" customHeight="1">
      <c r="A7" s="2" t="s">
        <v>13</v>
      </c>
      <c r="B7" s="4">
        <v>1.939351615E7</v>
      </c>
      <c r="C7" s="12">
        <f t="shared" si="1"/>
        <v>19.39351615</v>
      </c>
      <c r="D7" s="5">
        <f t="shared" si="2"/>
        <v>0.02279860285</v>
      </c>
    </row>
    <row r="8" ht="15.75" customHeight="1">
      <c r="A8" s="2" t="s">
        <v>15</v>
      </c>
      <c r="B8" s="4">
        <v>1.509396001E7</v>
      </c>
      <c r="C8" s="12">
        <f t="shared" si="1"/>
        <v>15.09396001</v>
      </c>
      <c r="D8" s="5">
        <f t="shared" si="2"/>
        <v>0.0177441366</v>
      </c>
    </row>
    <row r="9" ht="15.75" customHeight="1">
      <c r="A9" s="20" t="s">
        <v>18</v>
      </c>
      <c r="B9" s="22">
        <f>SUM(B3:B8)</f>
        <v>850644940</v>
      </c>
      <c r="C9" s="23">
        <f t="shared" si="1"/>
        <v>850.64494</v>
      </c>
      <c r="D9" s="1"/>
    </row>
    <row r="10" ht="15.75" customHeight="1"/>
    <row r="11" ht="15.75" customHeight="1"/>
    <row r="12" ht="15.75" customHeight="1">
      <c r="A12" s="1"/>
      <c r="B12" s="1" t="s">
        <v>0</v>
      </c>
      <c r="C12" s="1" t="s">
        <v>1</v>
      </c>
      <c r="D12" s="1" t="s">
        <v>2</v>
      </c>
    </row>
    <row r="13" ht="15.75" customHeight="1">
      <c r="A13" s="2" t="s">
        <v>21</v>
      </c>
      <c r="B13" s="26">
        <v>5.05743963971196E8</v>
      </c>
      <c r="C13" s="12">
        <f t="shared" ref="C13:C19" si="3">B13/1000000</f>
        <v>505.743964</v>
      </c>
      <c r="D13" s="5">
        <f t="shared" ref="D13:D18" si="4">C13/C$9</f>
        <v>0.5945417885</v>
      </c>
    </row>
    <row r="14" ht="15.75" customHeight="1">
      <c r="A14" s="2" t="s">
        <v>22</v>
      </c>
      <c r="B14" s="26">
        <v>4.5916553319222786E7</v>
      </c>
      <c r="C14" s="12">
        <f t="shared" si="3"/>
        <v>45.91655332</v>
      </c>
      <c r="D14" s="5">
        <f t="shared" si="4"/>
        <v>0.05397851813</v>
      </c>
    </row>
    <row r="15" ht="15.75" customHeight="1">
      <c r="A15" s="2" t="s">
        <v>24</v>
      </c>
      <c r="B15" s="26">
        <v>2.733145849763439E8</v>
      </c>
      <c r="C15" s="12">
        <f t="shared" si="3"/>
        <v>273.314585</v>
      </c>
      <c r="D15" s="5">
        <f t="shared" si="4"/>
        <v>0.3213027811</v>
      </c>
    </row>
    <row r="16" ht="15.75" customHeight="1">
      <c r="A16" s="2" t="s">
        <v>25</v>
      </c>
      <c r="B16" s="26">
        <v>6374980.097670273</v>
      </c>
      <c r="C16" s="12">
        <f t="shared" si="3"/>
        <v>6.374980098</v>
      </c>
      <c r="D16" s="5">
        <f t="shared" si="4"/>
        <v>0.007494290271</v>
      </c>
    </row>
    <row r="17" ht="15.75" customHeight="1">
      <c r="A17" s="2" t="s">
        <v>26</v>
      </c>
      <c r="B17" s="26">
        <v>1.929361521263376E7</v>
      </c>
      <c r="C17" s="12">
        <f t="shared" si="3"/>
        <v>19.29361521</v>
      </c>
      <c r="D17" s="5">
        <f t="shared" si="4"/>
        <v>0.02268116144</v>
      </c>
    </row>
    <row r="18" ht="15.75" customHeight="1">
      <c r="A18" s="37" t="s">
        <v>28</v>
      </c>
      <c r="B18" s="39">
        <v>1242.4168973205565</v>
      </c>
      <c r="C18" s="40">
        <f t="shared" si="3"/>
        <v>0.001242416897</v>
      </c>
      <c r="D18" s="41">
        <f t="shared" si="4"/>
        <v>0.000001460558735</v>
      </c>
    </row>
    <row r="19" ht="15.75" customHeight="1">
      <c r="A19" s="20" t="s">
        <v>18</v>
      </c>
      <c r="B19" s="22">
        <f>SUM(B13:B18)</f>
        <v>850644940</v>
      </c>
      <c r="C19" s="23">
        <f t="shared" si="3"/>
        <v>850.64494</v>
      </c>
      <c r="D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34.0"/>
    <col customWidth="1" min="3" max="3" width="21.56"/>
    <col customWidth="1" min="4" max="4" width="22.44"/>
    <col customWidth="1" min="5" max="5" width="16.44"/>
    <col customWidth="1" min="6" max="6" width="11.0"/>
    <col customWidth="1" min="7" max="7" width="18.11"/>
    <col customWidth="1" min="8" max="8" width="12.11"/>
    <col customWidth="1" min="9" max="9" width="6.56"/>
    <col customWidth="1" min="10" max="10" width="6.67"/>
    <col customWidth="1" min="11" max="11" width="17.44"/>
    <col customWidth="1" min="12" max="12" width="13.56"/>
    <col customWidth="1" min="13" max="13" width="11.0"/>
    <col customWidth="1" min="14" max="14" width="10.56"/>
    <col customWidth="1" min="15" max="15" width="21.11"/>
    <col customWidth="1" min="16" max="16" width="13.56"/>
    <col customWidth="1" min="17" max="22" width="11.0"/>
    <col customWidth="1" min="23" max="26" width="11.44"/>
  </cols>
  <sheetData>
    <row r="1">
      <c r="J1" s="5"/>
      <c r="N1" s="7"/>
    </row>
    <row r="2">
      <c r="A2" s="10" t="s">
        <v>5</v>
      </c>
      <c r="J2" s="5"/>
      <c r="N2" s="7"/>
    </row>
    <row r="3" ht="15.75" customHeight="1">
      <c r="G3" s="2"/>
      <c r="H3" s="2"/>
      <c r="I3" s="2"/>
      <c r="J3" s="5"/>
      <c r="K3" s="2"/>
      <c r="L3" s="2"/>
      <c r="M3" s="2"/>
      <c r="N3" s="7"/>
    </row>
    <row r="4" ht="15.75" customHeight="1">
      <c r="C4" s="14" t="s">
        <v>7</v>
      </c>
      <c r="D4" s="14" t="s">
        <v>8</v>
      </c>
      <c r="G4" s="2"/>
      <c r="H4" s="2"/>
      <c r="I4" s="2"/>
      <c r="J4" s="5"/>
      <c r="K4" s="2"/>
      <c r="L4" s="2"/>
      <c r="M4" s="2"/>
      <c r="N4" s="7"/>
    </row>
    <row r="5" ht="15.75" customHeight="1">
      <c r="B5" s="18" t="s">
        <v>12</v>
      </c>
      <c r="C5" s="19">
        <v>2265749.0705553945</v>
      </c>
      <c r="D5" s="24">
        <f t="shared" ref="D5:D36" si="1">C5/1000000</f>
        <v>2.265749071</v>
      </c>
      <c r="E5" s="27">
        <f t="shared" ref="E5:E35" si="2">C5/$C$36</f>
        <v>0.1168302361</v>
      </c>
      <c r="G5" s="28"/>
      <c r="H5" s="29"/>
      <c r="I5" s="30"/>
      <c r="J5" s="31"/>
      <c r="K5" s="2"/>
      <c r="L5" s="2"/>
      <c r="M5" s="2"/>
      <c r="N5" s="7"/>
    </row>
    <row r="6" ht="15.75" customHeight="1">
      <c r="B6" s="32" t="s">
        <v>23</v>
      </c>
      <c r="C6" s="33">
        <v>2244129.089309185</v>
      </c>
      <c r="D6" s="35">
        <f t="shared" si="1"/>
        <v>2.244129089</v>
      </c>
      <c r="E6" s="36">
        <f t="shared" si="2"/>
        <v>0.1157154315</v>
      </c>
      <c r="G6" s="38" t="s">
        <v>27</v>
      </c>
      <c r="H6" s="38">
        <f>C5</f>
        <v>2265749.071</v>
      </c>
      <c r="I6" s="42">
        <f>H6/1000000</f>
        <v>2.265749071</v>
      </c>
      <c r="J6" s="43">
        <f>E5</f>
        <v>0.1168302361</v>
      </c>
      <c r="K6" s="45" t="str">
        <f t="shared" ref="K6:L6" si="3">B6</f>
        <v>1.1. Forest Formation</v>
      </c>
      <c r="L6" s="45">
        <f t="shared" si="3"/>
        <v>2244129.089</v>
      </c>
      <c r="M6" s="46">
        <f t="shared" ref="M6:M7" si="5">L6/1000000</f>
        <v>2.244129089</v>
      </c>
      <c r="N6" s="47">
        <f t="shared" ref="N6:N7" si="6">M6/I$6</f>
        <v>0.9904579101</v>
      </c>
    </row>
    <row r="7" ht="15.75" customHeight="1">
      <c r="B7" s="32" t="s">
        <v>30</v>
      </c>
      <c r="C7" s="33">
        <v>0.0</v>
      </c>
      <c r="D7" s="35">
        <f t="shared" si="1"/>
        <v>0</v>
      </c>
      <c r="E7" s="36">
        <f t="shared" si="2"/>
        <v>0</v>
      </c>
      <c r="G7" s="50"/>
      <c r="H7" s="50"/>
      <c r="I7" s="50"/>
      <c r="J7" s="50"/>
      <c r="K7" s="45" t="str">
        <f t="shared" ref="K7:L7" si="4">B11</f>
        <v>1.6. Wooded Sandbank Vegetation</v>
      </c>
      <c r="L7" s="45">
        <f t="shared" si="4"/>
        <v>21619.98125</v>
      </c>
      <c r="M7" s="46">
        <f t="shared" si="5"/>
        <v>0.02161998125</v>
      </c>
      <c r="N7" s="47">
        <f t="shared" si="6"/>
        <v>0.009542089867</v>
      </c>
    </row>
    <row r="8" ht="15.75" customHeight="1">
      <c r="B8" s="32" t="s">
        <v>33</v>
      </c>
      <c r="C8" s="33">
        <v>0.0</v>
      </c>
      <c r="D8" s="35">
        <f t="shared" si="1"/>
        <v>0</v>
      </c>
      <c r="E8" s="36">
        <f t="shared" si="2"/>
        <v>0</v>
      </c>
      <c r="G8" s="28"/>
      <c r="H8" s="29"/>
      <c r="I8" s="30"/>
      <c r="J8" s="31"/>
      <c r="K8" s="2"/>
      <c r="L8" s="2"/>
      <c r="M8" s="2"/>
      <c r="N8" s="7"/>
      <c r="O8" s="54"/>
    </row>
    <row r="9" ht="15.75" customHeight="1">
      <c r="B9" s="32" t="s">
        <v>34</v>
      </c>
      <c r="C9" s="33">
        <v>0.0</v>
      </c>
      <c r="D9" s="35">
        <f t="shared" si="1"/>
        <v>0</v>
      </c>
      <c r="E9" s="36">
        <f t="shared" si="2"/>
        <v>0</v>
      </c>
      <c r="G9" s="38" t="s">
        <v>35</v>
      </c>
      <c r="H9" s="38">
        <f>C12</f>
        <v>6099939.175</v>
      </c>
      <c r="I9" s="42">
        <f>H9/1000000</f>
        <v>6.099939175</v>
      </c>
      <c r="J9" s="43">
        <f>E12</f>
        <v>0.314534978</v>
      </c>
      <c r="K9" s="45" t="str">
        <f t="shared" ref="K9:L9" si="7">B15</f>
        <v>2.3. Grassland Formation</v>
      </c>
      <c r="L9" s="45">
        <f t="shared" si="7"/>
        <v>5573090.181</v>
      </c>
      <c r="M9" s="61">
        <f t="shared" ref="M9:M10" si="8">L9/1000000</f>
        <v>5.573090181</v>
      </c>
      <c r="N9" s="47">
        <f t="shared" ref="N9:N10" si="9">M9/I$9</f>
        <v>0.9136304512</v>
      </c>
      <c r="O9" s="54"/>
    </row>
    <row r="10" ht="15.75" customHeight="1">
      <c r="B10" s="32" t="s">
        <v>39</v>
      </c>
      <c r="C10" s="33">
        <v>0.0</v>
      </c>
      <c r="D10" s="35">
        <f t="shared" si="1"/>
        <v>0</v>
      </c>
      <c r="E10" s="36">
        <f t="shared" si="2"/>
        <v>0</v>
      </c>
      <c r="G10" s="68"/>
      <c r="H10" s="68"/>
      <c r="I10" s="68"/>
      <c r="J10" s="68"/>
      <c r="K10" s="70" t="s">
        <v>41</v>
      </c>
      <c r="L10" s="71">
        <f>SUM(C14,C16,C17,C19,C13,C18)</f>
        <v>526848.9943</v>
      </c>
      <c r="M10" s="72">
        <f t="shared" si="8"/>
        <v>0.5268489943</v>
      </c>
      <c r="N10" s="47">
        <f t="shared" si="9"/>
        <v>0.08636954881</v>
      </c>
    </row>
    <row r="11" ht="15.75" customHeight="1">
      <c r="B11" s="32" t="s">
        <v>42</v>
      </c>
      <c r="C11" s="32">
        <v>21619.98124620969</v>
      </c>
      <c r="D11" s="35">
        <f t="shared" si="1"/>
        <v>0.02161998125</v>
      </c>
      <c r="E11" s="36">
        <f t="shared" si="2"/>
        <v>0.001114804612</v>
      </c>
      <c r="G11" s="73"/>
      <c r="H11" s="74"/>
      <c r="I11" s="74"/>
      <c r="J11" s="75"/>
      <c r="K11" s="2"/>
      <c r="L11" s="2"/>
      <c r="M11" s="2"/>
      <c r="N11" s="76"/>
    </row>
    <row r="12" ht="15.75" customHeight="1">
      <c r="B12" s="18" t="s">
        <v>14</v>
      </c>
      <c r="C12" s="19">
        <v>6099939.175476563</v>
      </c>
      <c r="D12" s="24">
        <f t="shared" si="1"/>
        <v>6.099939175</v>
      </c>
      <c r="E12" s="27">
        <f t="shared" si="2"/>
        <v>0.314534978</v>
      </c>
      <c r="G12" s="38" t="s">
        <v>43</v>
      </c>
      <c r="H12" s="38">
        <f>C20</f>
        <v>8866130.407</v>
      </c>
      <c r="I12" s="42">
        <f>H12/1000000</f>
        <v>8.866130407</v>
      </c>
      <c r="J12" s="43">
        <f>E20</f>
        <v>0.4571698262</v>
      </c>
      <c r="K12" s="45" t="str">
        <f t="shared" ref="K12:L12" si="10">B22</f>
        <v>3.2. Agriculture</v>
      </c>
      <c r="L12" s="45">
        <f t="shared" si="10"/>
        <v>5820365.586</v>
      </c>
      <c r="M12" s="61">
        <f t="shared" ref="M12:M14" si="12">L12/1000000</f>
        <v>5.820365586</v>
      </c>
      <c r="N12" s="47">
        <f t="shared" ref="N12:N14" si="13">M12/I$12</f>
        <v>0.6564719126</v>
      </c>
    </row>
    <row r="13" ht="15.75" customHeight="1">
      <c r="B13" s="32" t="s">
        <v>44</v>
      </c>
      <c r="C13" s="33">
        <v>369639.7612918774</v>
      </c>
      <c r="D13" s="35">
        <f t="shared" si="1"/>
        <v>0.3696397613</v>
      </c>
      <c r="E13" s="36">
        <f t="shared" si="2"/>
        <v>0.01905996615</v>
      </c>
      <c r="G13" s="78"/>
      <c r="H13" s="78"/>
      <c r="I13" s="78"/>
      <c r="J13" s="78"/>
      <c r="K13" s="45" t="str">
        <f t="shared" ref="K13:L13" si="11">B23</f>
        <v>3.3. Forest Plantation</v>
      </c>
      <c r="L13" s="45">
        <f t="shared" si="11"/>
        <v>729246.1365</v>
      </c>
      <c r="M13" s="61">
        <f t="shared" si="12"/>
        <v>0.7292461365</v>
      </c>
      <c r="N13" s="47">
        <f t="shared" si="13"/>
        <v>0.08225077943</v>
      </c>
    </row>
    <row r="14" ht="15.75" customHeight="1">
      <c r="B14" s="32" t="s">
        <v>46</v>
      </c>
      <c r="C14" s="33">
        <v>6943.142555865512</v>
      </c>
      <c r="D14" s="35">
        <f t="shared" si="1"/>
        <v>0.006943142556</v>
      </c>
      <c r="E14" s="36">
        <f t="shared" si="2"/>
        <v>0.0003580136012</v>
      </c>
      <c r="G14" s="68"/>
      <c r="H14" s="68"/>
      <c r="I14" s="68"/>
      <c r="J14" s="68"/>
      <c r="K14" s="45" t="str">
        <f t="shared" ref="K14:L14" si="14">B24</f>
        <v>3.4. Mosaic of Uses</v>
      </c>
      <c r="L14" s="45">
        <f t="shared" si="14"/>
        <v>2316363.004</v>
      </c>
      <c r="M14" s="61">
        <f t="shared" si="12"/>
        <v>2.316363004</v>
      </c>
      <c r="N14" s="47">
        <f t="shared" si="13"/>
        <v>0.2612597489</v>
      </c>
    </row>
    <row r="15" ht="15.75" customHeight="1">
      <c r="B15" s="32" t="s">
        <v>47</v>
      </c>
      <c r="C15" s="33">
        <v>5573090.181131287</v>
      </c>
      <c r="D15" s="35">
        <f t="shared" si="1"/>
        <v>5.573090181</v>
      </c>
      <c r="E15" s="36">
        <f t="shared" si="2"/>
        <v>0.2873687339</v>
      </c>
      <c r="G15" s="83"/>
      <c r="H15" s="83"/>
      <c r="I15" s="83"/>
      <c r="J15" s="84"/>
      <c r="K15" s="85"/>
      <c r="L15" s="85"/>
      <c r="M15" s="85"/>
      <c r="N15" s="76"/>
      <c r="O15" s="86"/>
    </row>
    <row r="16" ht="15.75" customHeight="1">
      <c r="B16" s="32" t="s">
        <v>60</v>
      </c>
      <c r="C16" s="33">
        <v>0.0</v>
      </c>
      <c r="D16" s="35">
        <f t="shared" si="1"/>
        <v>0</v>
      </c>
      <c r="E16" s="36">
        <f t="shared" si="2"/>
        <v>0</v>
      </c>
      <c r="G16" s="38" t="s">
        <v>69</v>
      </c>
      <c r="H16" s="38">
        <f>C25</f>
        <v>328668.0191</v>
      </c>
      <c r="I16" s="42">
        <f>H16/1000000</f>
        <v>0.3286680191</v>
      </c>
      <c r="J16" s="43">
        <f>E25</f>
        <v>0.01694731459</v>
      </c>
      <c r="K16" s="45" t="str">
        <f t="shared" ref="K16:L16" si="15">B26</f>
        <v>4.1. Beach, Dune and Sand Spot</v>
      </c>
      <c r="L16" s="45">
        <f t="shared" si="15"/>
        <v>127603.2546</v>
      </c>
      <c r="M16" s="61">
        <f t="shared" ref="M16:M21" si="17">L16/1000000</f>
        <v>0.1276032546</v>
      </c>
      <c r="N16" s="47">
        <f t="shared" ref="N16:N21" si="18">M16/$I$16</f>
        <v>0.388243599</v>
      </c>
      <c r="O16" s="86"/>
    </row>
    <row r="17" ht="15.75" customHeight="1">
      <c r="B17" s="32" t="s">
        <v>75</v>
      </c>
      <c r="C17" s="33">
        <v>0.0</v>
      </c>
      <c r="D17" s="35">
        <f t="shared" si="1"/>
        <v>0</v>
      </c>
      <c r="E17" s="36">
        <f t="shared" si="2"/>
        <v>0</v>
      </c>
      <c r="G17" s="78"/>
      <c r="H17" s="78"/>
      <c r="I17" s="78"/>
      <c r="J17" s="78"/>
      <c r="K17" s="45" t="str">
        <f t="shared" ref="K17:L17" si="16">B27</f>
        <v>4.2. Urban Area</v>
      </c>
      <c r="L17" s="45">
        <f t="shared" si="16"/>
        <v>144145.5956</v>
      </c>
      <c r="M17" s="61">
        <f t="shared" si="17"/>
        <v>0.1441455956</v>
      </c>
      <c r="N17" s="47">
        <f t="shared" si="18"/>
        <v>0.4385750583</v>
      </c>
    </row>
    <row r="18" ht="15.75" customHeight="1">
      <c r="B18" s="32" t="s">
        <v>76</v>
      </c>
      <c r="C18" s="33">
        <v>23730.79552589708</v>
      </c>
      <c r="D18" s="35">
        <f t="shared" si="1"/>
        <v>0.02373079553</v>
      </c>
      <c r="E18" s="36">
        <f t="shared" si="2"/>
        <v>0.001223645849</v>
      </c>
      <c r="G18" s="78"/>
      <c r="H18" s="78"/>
      <c r="I18" s="78"/>
      <c r="J18" s="78"/>
      <c r="K18" s="45" t="str">
        <f t="shared" ref="K18:L18" si="19">B28</f>
        <v>4.3. Mining</v>
      </c>
      <c r="L18" s="45">
        <f t="shared" si="19"/>
        <v>4955.337561</v>
      </c>
      <c r="M18" s="61">
        <f t="shared" si="17"/>
        <v>0.004955337561</v>
      </c>
      <c r="N18" s="47">
        <f t="shared" si="18"/>
        <v>0.01507702993</v>
      </c>
      <c r="O18" s="86"/>
    </row>
    <row r="19" ht="15.75" customHeight="1">
      <c r="B19" s="32" t="s">
        <v>77</v>
      </c>
      <c r="C19" s="33">
        <v>126535.2949716367</v>
      </c>
      <c r="D19" s="35">
        <f t="shared" si="1"/>
        <v>0.126535295</v>
      </c>
      <c r="E19" s="36">
        <f t="shared" si="2"/>
        <v>0.006524618538</v>
      </c>
      <c r="G19" s="78"/>
      <c r="H19" s="78"/>
      <c r="I19" s="78"/>
      <c r="J19" s="78"/>
      <c r="K19" s="45" t="str">
        <f t="shared" ref="K19:L19" si="20">B29</f>
        <v>4.4. Photovoltaic Power Plant (beta)</v>
      </c>
      <c r="L19" s="45">
        <f t="shared" si="20"/>
        <v>0</v>
      </c>
      <c r="M19" s="61">
        <f t="shared" si="17"/>
        <v>0</v>
      </c>
      <c r="N19" s="47">
        <f t="shared" si="18"/>
        <v>0</v>
      </c>
      <c r="O19" s="86"/>
    </row>
    <row r="20" ht="15.75" customHeight="1">
      <c r="B20" s="18" t="s">
        <v>16</v>
      </c>
      <c r="C20" s="19">
        <v>8866130.407138003</v>
      </c>
      <c r="D20" s="24">
        <f t="shared" si="1"/>
        <v>8.866130407</v>
      </c>
      <c r="E20" s="27">
        <f t="shared" si="2"/>
        <v>0.4571698262</v>
      </c>
      <c r="G20" s="78"/>
      <c r="H20" s="78"/>
      <c r="I20" s="78"/>
      <c r="J20" s="78"/>
      <c r="K20" s="45" t="str">
        <f t="shared" ref="K20:L20" si="21">B30</f>
        <v>4.5. Wind Farm</v>
      </c>
      <c r="L20" s="45">
        <f t="shared" si="21"/>
        <v>1695.644624</v>
      </c>
      <c r="M20" s="61">
        <f t="shared" si="17"/>
        <v>0.001695644624</v>
      </c>
      <c r="N20" s="47">
        <f t="shared" si="18"/>
        <v>0.005159140914</v>
      </c>
      <c r="O20" s="86"/>
    </row>
    <row r="21" ht="15.75" customHeight="1">
      <c r="B21" s="32" t="s">
        <v>79</v>
      </c>
      <c r="C21" s="33">
        <v>155.6810541564942</v>
      </c>
      <c r="D21" s="35">
        <f t="shared" si="1"/>
        <v>0.0001556810542</v>
      </c>
      <c r="E21" s="36">
        <f t="shared" si="2"/>
        <v>0.000008027479543</v>
      </c>
      <c r="G21" s="68"/>
      <c r="H21" s="68"/>
      <c r="I21" s="68"/>
      <c r="J21" s="68"/>
      <c r="K21" s="45" t="str">
        <f t="shared" ref="K21:L21" si="22">B31</f>
        <v>4.6. Other non Vegetated Areas</v>
      </c>
      <c r="L21" s="45">
        <f t="shared" si="22"/>
        <v>50268.18666</v>
      </c>
      <c r="M21" s="61">
        <f t="shared" si="17"/>
        <v>0.05026818666</v>
      </c>
      <c r="N21" s="47">
        <f t="shared" si="18"/>
        <v>0.1529451718</v>
      </c>
      <c r="O21" s="86"/>
    </row>
    <row r="22" ht="15.75" customHeight="1">
      <c r="B22" s="97" t="s">
        <v>81</v>
      </c>
      <c r="C22" s="33">
        <v>5820365.585889261</v>
      </c>
      <c r="D22" s="99">
        <f t="shared" si="1"/>
        <v>5.820365586</v>
      </c>
      <c r="E22" s="101">
        <f t="shared" si="2"/>
        <v>0.3001191502</v>
      </c>
      <c r="G22" s="85"/>
      <c r="H22" s="85"/>
      <c r="I22" s="85"/>
      <c r="J22" s="102"/>
      <c r="K22" s="85"/>
      <c r="L22" s="85"/>
      <c r="M22" s="85"/>
      <c r="N22" s="76"/>
    </row>
    <row r="23" ht="15.75" customHeight="1">
      <c r="B23" s="32" t="s">
        <v>82</v>
      </c>
      <c r="C23" s="33">
        <v>729246.136497477</v>
      </c>
      <c r="D23" s="35">
        <f t="shared" si="1"/>
        <v>0.7292461365</v>
      </c>
      <c r="E23" s="36">
        <f t="shared" si="2"/>
        <v>0.03760257454</v>
      </c>
      <c r="G23" s="38" t="s">
        <v>83</v>
      </c>
      <c r="H23" s="38">
        <f>C32</f>
        <v>1833029.476</v>
      </c>
      <c r="I23" s="42">
        <f>H23/1000000</f>
        <v>1.833029476</v>
      </c>
      <c r="J23" s="43">
        <f>E32</f>
        <v>0.09451764507</v>
      </c>
      <c r="K23" s="45" t="str">
        <f t="shared" ref="K23:L23" si="23">B33</f>
        <v>5.1. River, Lake and Ocean</v>
      </c>
      <c r="L23" s="45">
        <f t="shared" si="23"/>
        <v>1832849.802</v>
      </c>
      <c r="M23" s="61">
        <f t="shared" ref="M23:M24" si="25">L23/1000000</f>
        <v>1.832849802</v>
      </c>
      <c r="N23" s="47">
        <f t="shared" ref="N23:N24" si="26">M23/$I$23</f>
        <v>0.9999019796</v>
      </c>
    </row>
    <row r="24" ht="15.75" customHeight="1">
      <c r="B24" s="32" t="s">
        <v>85</v>
      </c>
      <c r="C24" s="33">
        <v>2316363.003697108</v>
      </c>
      <c r="D24" s="35">
        <f t="shared" si="1"/>
        <v>2.316363004</v>
      </c>
      <c r="E24" s="36">
        <f t="shared" si="2"/>
        <v>0.119440074</v>
      </c>
      <c r="G24" s="50"/>
      <c r="H24" s="50"/>
      <c r="I24" s="50"/>
      <c r="J24" s="50"/>
      <c r="K24" s="45" t="str">
        <f t="shared" ref="K24:L24" si="24">B34</f>
        <v>5.2. Aquaculture</v>
      </c>
      <c r="L24" s="45">
        <f t="shared" si="24"/>
        <v>179.6742957</v>
      </c>
      <c r="M24" s="61">
        <f t="shared" si="25"/>
        <v>0.0001796742957</v>
      </c>
      <c r="N24" s="47">
        <f t="shared" si="26"/>
        <v>0.00009802040722</v>
      </c>
      <c r="O24" s="86"/>
    </row>
    <row r="25" ht="15.75" customHeight="1">
      <c r="B25" s="18" t="s">
        <v>17</v>
      </c>
      <c r="C25" s="19">
        <v>328668.0190754658</v>
      </c>
      <c r="D25" s="24">
        <f t="shared" si="1"/>
        <v>0.3286680191</v>
      </c>
      <c r="E25" s="27">
        <f t="shared" si="2"/>
        <v>0.01694731459</v>
      </c>
      <c r="G25" s="74"/>
      <c r="H25" s="74"/>
      <c r="I25" s="74"/>
      <c r="J25" s="75"/>
      <c r="K25" s="2"/>
      <c r="L25" s="2"/>
      <c r="M25" s="2"/>
      <c r="N25" s="7"/>
      <c r="O25" s="86"/>
    </row>
    <row r="26" ht="15.75" customHeight="1">
      <c r="B26" s="105" t="s">
        <v>87</v>
      </c>
      <c r="C26" s="33">
        <v>127603.254594482</v>
      </c>
      <c r="D26" s="35">
        <f t="shared" si="1"/>
        <v>0.1276032546</v>
      </c>
      <c r="E26" s="36">
        <f t="shared" si="2"/>
        <v>0.006579686408</v>
      </c>
      <c r="G26" s="32"/>
      <c r="H26" s="106"/>
      <c r="I26" s="86"/>
      <c r="J26" s="107"/>
      <c r="K26" s="2"/>
      <c r="L26" s="2"/>
      <c r="M26" s="2"/>
      <c r="N26" s="7"/>
      <c r="O26" s="86"/>
    </row>
    <row r="27" ht="15.75" customHeight="1">
      <c r="B27" s="32" t="s">
        <v>88</v>
      </c>
      <c r="C27" s="33">
        <v>144145.5956403346</v>
      </c>
      <c r="D27" s="35">
        <f t="shared" si="1"/>
        <v>0.1441455956</v>
      </c>
      <c r="E27" s="36">
        <f t="shared" si="2"/>
        <v>0.007432669483</v>
      </c>
      <c r="G27" s="107"/>
      <c r="H27" s="2"/>
      <c r="I27" s="12">
        <f t="shared" ref="I27:J27" si="27">SUM(I6:I24)</f>
        <v>19.39351615</v>
      </c>
      <c r="J27" s="5">
        <f t="shared" si="27"/>
        <v>1</v>
      </c>
      <c r="K27" s="7"/>
      <c r="L27" s="86"/>
      <c r="O27" s="86"/>
    </row>
    <row r="28" ht="15.75" customHeight="1">
      <c r="B28" s="97" t="s">
        <v>89</v>
      </c>
      <c r="C28" s="33">
        <v>4955.337560619999</v>
      </c>
      <c r="D28" s="99">
        <f t="shared" si="1"/>
        <v>0.004955337561</v>
      </c>
      <c r="E28" s="109">
        <f t="shared" si="2"/>
        <v>0.0002555151692</v>
      </c>
      <c r="G28" s="110"/>
      <c r="H28" s="2"/>
      <c r="I28" s="2"/>
      <c r="J28" s="2"/>
      <c r="K28" s="7"/>
      <c r="O28" s="86"/>
    </row>
    <row r="29" ht="15.75" customHeight="1">
      <c r="B29" s="32" t="s">
        <v>90</v>
      </c>
      <c r="C29" s="33">
        <v>0.0</v>
      </c>
      <c r="D29" s="35">
        <f t="shared" si="1"/>
        <v>0</v>
      </c>
      <c r="E29" s="36">
        <f t="shared" si="2"/>
        <v>0</v>
      </c>
      <c r="G29" s="5"/>
      <c r="K29" s="7"/>
    </row>
    <row r="30" ht="15.75" customHeight="1">
      <c r="B30" s="32" t="s">
        <v>91</v>
      </c>
      <c r="C30" s="33">
        <v>1695.644624328615</v>
      </c>
      <c r="D30" s="35">
        <f t="shared" si="1"/>
        <v>0.001695644624</v>
      </c>
      <c r="E30" s="36">
        <f t="shared" si="2"/>
        <v>0.00008743358406</v>
      </c>
      <c r="G30" s="5"/>
      <c r="K30" s="7"/>
      <c r="O30" s="86"/>
    </row>
    <row r="31" ht="15.75" customHeight="1">
      <c r="B31" s="97" t="s">
        <v>92</v>
      </c>
      <c r="C31" s="33">
        <v>50268.18665570062</v>
      </c>
      <c r="D31" s="99">
        <f t="shared" si="1"/>
        <v>0.05026818666</v>
      </c>
      <c r="E31" s="101">
        <f t="shared" si="2"/>
        <v>0.002592009941</v>
      </c>
      <c r="G31" s="5"/>
      <c r="K31" s="7"/>
      <c r="O31" s="86"/>
    </row>
    <row r="32" ht="15.75" customHeight="1">
      <c r="B32" s="18" t="s">
        <v>19</v>
      </c>
      <c r="C32" s="19">
        <v>1833029.476029178</v>
      </c>
      <c r="D32" s="24">
        <f t="shared" si="1"/>
        <v>1.833029476</v>
      </c>
      <c r="E32" s="27">
        <f t="shared" si="2"/>
        <v>0.09451764507</v>
      </c>
      <c r="G32" s="5"/>
      <c r="K32" s="7"/>
    </row>
    <row r="33" ht="15.75" customHeight="1">
      <c r="B33" s="111" t="s">
        <v>93</v>
      </c>
      <c r="C33" s="111">
        <v>1832849.801733487</v>
      </c>
      <c r="D33" s="99">
        <f t="shared" si="1"/>
        <v>1.832849802</v>
      </c>
      <c r="E33" s="101">
        <f t="shared" si="2"/>
        <v>0.09450838042</v>
      </c>
      <c r="G33" s="5"/>
      <c r="K33" s="7"/>
      <c r="L33" s="112" t="s">
        <v>94</v>
      </c>
    </row>
    <row r="34" ht="15.75" customHeight="1">
      <c r="B34" s="111" t="s">
        <v>95</v>
      </c>
      <c r="C34" s="111">
        <v>179.6742956909179</v>
      </c>
      <c r="D34" s="99">
        <f t="shared" si="1"/>
        <v>0.0001796742957</v>
      </c>
      <c r="E34" s="101">
        <f t="shared" si="2"/>
        <v>0.00000926465806</v>
      </c>
      <c r="G34" s="5"/>
      <c r="K34" s="7"/>
    </row>
    <row r="35" ht="15.75" customHeight="1">
      <c r="B35" s="18" t="s">
        <v>96</v>
      </c>
      <c r="C35" s="19">
        <v>0.0</v>
      </c>
      <c r="D35" s="24">
        <f t="shared" si="1"/>
        <v>0</v>
      </c>
      <c r="E35" s="27">
        <f t="shared" si="2"/>
        <v>0</v>
      </c>
      <c r="G35" s="5"/>
      <c r="K35" s="7"/>
    </row>
    <row r="36" ht="15.75" customHeight="1">
      <c r="B36" s="113" t="s">
        <v>97</v>
      </c>
      <c r="C36" s="114">
        <f>SUM(C5,C12,C20,C25,C32,C35)</f>
        <v>19393516.15</v>
      </c>
      <c r="D36" s="115">
        <f t="shared" si="1"/>
        <v>19.39351615</v>
      </c>
      <c r="E36" s="113"/>
      <c r="G36" s="5"/>
      <c r="K36" s="7"/>
    </row>
    <row r="37" ht="15.75" customHeight="1">
      <c r="G37" s="5"/>
      <c r="K37" s="7"/>
    </row>
    <row r="38" ht="15.75" customHeight="1">
      <c r="G38" s="5"/>
      <c r="K38" s="7"/>
    </row>
    <row r="39" ht="15.75" customHeight="1">
      <c r="G39" s="5"/>
      <c r="K39" s="7"/>
    </row>
    <row r="40" ht="15.75" customHeight="1">
      <c r="G40" s="5"/>
      <c r="K40" s="7"/>
    </row>
    <row r="41" ht="15.75" customHeight="1">
      <c r="G41" s="5"/>
      <c r="K41" s="7"/>
    </row>
    <row r="42" ht="15.75" customHeight="1">
      <c r="G42" s="5"/>
      <c r="K42" s="7"/>
    </row>
    <row r="43" ht="15.75" customHeight="1">
      <c r="G43" s="5"/>
      <c r="K43" s="7"/>
    </row>
    <row r="44" ht="15.75" customHeight="1">
      <c r="G44" s="5"/>
      <c r="K44" s="7"/>
    </row>
    <row r="45" ht="15.75" customHeight="1">
      <c r="G45" s="5"/>
      <c r="K45" s="7"/>
    </row>
    <row r="46" ht="15.75" customHeight="1">
      <c r="G46" s="5"/>
      <c r="K46" s="7"/>
    </row>
    <row r="47" ht="15.75" customHeight="1">
      <c r="J47" s="5"/>
      <c r="N47" s="7"/>
    </row>
    <row r="48" ht="15.75" customHeight="1">
      <c r="J48" s="5"/>
      <c r="N48" s="7"/>
    </row>
    <row r="49" ht="15.75" customHeight="1">
      <c r="J49" s="5"/>
      <c r="N49" s="7"/>
    </row>
    <row r="50" ht="15.75" customHeight="1">
      <c r="J50" s="5"/>
      <c r="N50" s="7"/>
    </row>
    <row r="51" ht="15.75" customHeight="1">
      <c r="J51" s="5"/>
      <c r="N51" s="7"/>
    </row>
    <row r="52" ht="15.75" customHeight="1">
      <c r="J52" s="5"/>
      <c r="N52" s="7"/>
    </row>
    <row r="53" ht="15.75" customHeight="1">
      <c r="J53" s="5"/>
      <c r="N53" s="7"/>
    </row>
    <row r="54" ht="15.75" customHeight="1">
      <c r="J54" s="5"/>
      <c r="N54" s="7"/>
    </row>
    <row r="55" ht="15.75" customHeight="1">
      <c r="J55" s="5"/>
      <c r="N55" s="7"/>
    </row>
    <row r="56" ht="15.75" customHeight="1">
      <c r="J56" s="5"/>
      <c r="N56" s="7"/>
    </row>
    <row r="57" ht="15.75" customHeight="1">
      <c r="J57" s="5"/>
      <c r="N57" s="7"/>
    </row>
    <row r="58" ht="15.75" customHeight="1">
      <c r="J58" s="5"/>
      <c r="N58" s="7"/>
    </row>
    <row r="59" ht="15.75" customHeight="1">
      <c r="J59" s="5"/>
      <c r="N59" s="7"/>
    </row>
    <row r="60" ht="15.75" customHeight="1">
      <c r="J60" s="5"/>
      <c r="N60" s="7"/>
    </row>
    <row r="61" ht="15.75" customHeight="1">
      <c r="J61" s="5"/>
      <c r="N61" s="7"/>
    </row>
    <row r="62" ht="15.75" customHeight="1">
      <c r="J62" s="5"/>
      <c r="N62" s="7"/>
    </row>
    <row r="63" ht="15.75" customHeight="1">
      <c r="J63" s="5"/>
      <c r="N63" s="7"/>
    </row>
    <row r="64" ht="15.75" customHeight="1">
      <c r="J64" s="5"/>
      <c r="N64" s="7"/>
    </row>
    <row r="65" ht="15.75" customHeight="1">
      <c r="J65" s="5"/>
      <c r="N65" s="7"/>
    </row>
    <row r="66" ht="15.75" customHeight="1">
      <c r="J66" s="5"/>
      <c r="N66" s="7"/>
    </row>
    <row r="67" ht="15.75" customHeight="1">
      <c r="J67" s="5"/>
      <c r="N67" s="7"/>
    </row>
    <row r="68" ht="15.75" customHeight="1">
      <c r="J68" s="5"/>
      <c r="N68" s="7"/>
    </row>
    <row r="69" ht="15.75" customHeight="1">
      <c r="J69" s="5"/>
      <c r="N69" s="7"/>
    </row>
    <row r="70" ht="15.75" customHeight="1">
      <c r="J70" s="5"/>
      <c r="N70" s="7"/>
    </row>
    <row r="71" ht="15.75" customHeight="1">
      <c r="J71" s="5"/>
      <c r="N71" s="7"/>
    </row>
    <row r="72" ht="15.75" customHeight="1">
      <c r="J72" s="5"/>
      <c r="N72" s="7"/>
    </row>
    <row r="73" ht="15.75" customHeight="1">
      <c r="J73" s="5"/>
      <c r="N73" s="7"/>
    </row>
    <row r="74" ht="15.75" customHeight="1">
      <c r="J74" s="5"/>
      <c r="N74" s="7"/>
    </row>
    <row r="75" ht="15.75" customHeight="1">
      <c r="J75" s="5"/>
      <c r="N75" s="7"/>
    </row>
    <row r="76" ht="15.75" customHeight="1">
      <c r="J76" s="5"/>
      <c r="N76" s="7"/>
    </row>
    <row r="77" ht="15.75" customHeight="1">
      <c r="J77" s="5"/>
      <c r="N77" s="7"/>
    </row>
    <row r="78" ht="15.75" customHeight="1">
      <c r="J78" s="5"/>
      <c r="N78" s="7"/>
    </row>
    <row r="79" ht="15.75" customHeight="1">
      <c r="J79" s="5"/>
      <c r="N79" s="7"/>
    </row>
    <row r="80" ht="15.75" customHeight="1">
      <c r="J80" s="5"/>
      <c r="N80" s="7"/>
    </row>
    <row r="81" ht="15.75" customHeight="1">
      <c r="J81" s="5"/>
      <c r="N81" s="7"/>
    </row>
    <row r="82" ht="15.75" customHeight="1">
      <c r="J82" s="5"/>
      <c r="N82" s="7"/>
    </row>
    <row r="83" ht="15.75" customHeight="1">
      <c r="J83" s="5"/>
      <c r="N83" s="7"/>
    </row>
    <row r="84" ht="15.75" customHeight="1">
      <c r="J84" s="5"/>
      <c r="N84" s="7"/>
    </row>
    <row r="85" ht="15.75" customHeight="1">
      <c r="J85" s="5"/>
      <c r="N85" s="7"/>
    </row>
    <row r="86" ht="15.75" customHeight="1">
      <c r="J86" s="5"/>
      <c r="N86" s="7"/>
    </row>
    <row r="87" ht="15.75" customHeight="1">
      <c r="J87" s="5"/>
      <c r="N87" s="7"/>
    </row>
    <row r="88" ht="15.75" customHeight="1">
      <c r="J88" s="5"/>
      <c r="N88" s="7"/>
    </row>
    <row r="89" ht="15.75" customHeight="1">
      <c r="J89" s="5"/>
      <c r="N89" s="7"/>
    </row>
    <row r="90" ht="15.75" customHeight="1">
      <c r="J90" s="5"/>
      <c r="N90" s="7"/>
    </row>
    <row r="91" ht="15.75" customHeight="1">
      <c r="J91" s="5"/>
      <c r="N91" s="7"/>
    </row>
    <row r="92" ht="15.75" customHeight="1">
      <c r="J92" s="5"/>
      <c r="N92" s="7"/>
    </row>
    <row r="93" ht="15.75" customHeight="1">
      <c r="J93" s="5"/>
      <c r="N93" s="7"/>
    </row>
    <row r="94" ht="15.75" customHeight="1">
      <c r="J94" s="5"/>
      <c r="N94" s="7"/>
    </row>
    <row r="95" ht="15.75" customHeight="1">
      <c r="J95" s="5"/>
      <c r="N95" s="7"/>
    </row>
    <row r="96" ht="15.75" customHeight="1">
      <c r="J96" s="5"/>
      <c r="N96" s="7"/>
    </row>
    <row r="97" ht="15.75" customHeight="1">
      <c r="J97" s="5"/>
      <c r="N97" s="7"/>
    </row>
    <row r="98" ht="15.75" customHeight="1">
      <c r="J98" s="5"/>
      <c r="N98" s="7"/>
    </row>
    <row r="99" ht="15.75" customHeight="1">
      <c r="J99" s="5"/>
      <c r="N99" s="7"/>
    </row>
    <row r="100" ht="15.75" customHeight="1">
      <c r="J100" s="5"/>
      <c r="N100" s="7"/>
    </row>
    <row r="101" ht="15.75" customHeight="1">
      <c r="J101" s="5"/>
      <c r="N101" s="7"/>
    </row>
    <row r="102" ht="15.75" customHeight="1">
      <c r="J102" s="5"/>
      <c r="N102" s="7"/>
    </row>
    <row r="103" ht="15.75" customHeight="1">
      <c r="J103" s="5"/>
      <c r="N103" s="7"/>
    </row>
    <row r="104" ht="15.75" customHeight="1">
      <c r="J104" s="5"/>
      <c r="N104" s="7"/>
    </row>
    <row r="105" ht="15.75" customHeight="1">
      <c r="J105" s="5"/>
      <c r="N105" s="7"/>
    </row>
    <row r="106" ht="15.75" customHeight="1">
      <c r="J106" s="5"/>
      <c r="N106" s="7"/>
    </row>
    <row r="107" ht="15.75" customHeight="1">
      <c r="J107" s="5"/>
      <c r="N107" s="7"/>
    </row>
    <row r="108" ht="15.75" customHeight="1">
      <c r="J108" s="5"/>
      <c r="N108" s="7"/>
    </row>
    <row r="109" ht="15.75" customHeight="1">
      <c r="J109" s="5"/>
      <c r="N109" s="7"/>
    </row>
    <row r="110" ht="15.75" customHeight="1">
      <c r="J110" s="5"/>
      <c r="N110" s="7"/>
    </row>
    <row r="111" ht="15.75" customHeight="1">
      <c r="J111" s="5"/>
      <c r="N111" s="7"/>
    </row>
    <row r="112" ht="15.75" customHeight="1">
      <c r="J112" s="5"/>
      <c r="N112" s="7"/>
    </row>
    <row r="113" ht="15.75" customHeight="1">
      <c r="J113" s="5"/>
      <c r="N113" s="7"/>
    </row>
    <row r="114" ht="15.75" customHeight="1">
      <c r="J114" s="5"/>
      <c r="N114" s="7"/>
    </row>
    <row r="115" ht="15.75" customHeight="1">
      <c r="J115" s="5"/>
      <c r="N115" s="7"/>
    </row>
    <row r="116" ht="15.75" customHeight="1">
      <c r="J116" s="5"/>
      <c r="N116" s="7"/>
    </row>
    <row r="117" ht="15.75" customHeight="1">
      <c r="J117" s="5"/>
      <c r="N117" s="7"/>
    </row>
    <row r="118" ht="15.75" customHeight="1">
      <c r="J118" s="5"/>
      <c r="N118" s="7"/>
    </row>
    <row r="119" ht="15.75" customHeight="1">
      <c r="J119" s="5"/>
      <c r="N119" s="7"/>
    </row>
    <row r="120" ht="15.75" customHeight="1">
      <c r="J120" s="5"/>
      <c r="N120" s="7"/>
    </row>
    <row r="121" ht="15.75" customHeight="1">
      <c r="J121" s="5"/>
      <c r="N121" s="7"/>
    </row>
    <row r="122" ht="15.75" customHeight="1">
      <c r="J122" s="5"/>
      <c r="N122" s="7"/>
    </row>
    <row r="123" ht="15.75" customHeight="1">
      <c r="J123" s="5"/>
      <c r="N123" s="7"/>
    </row>
    <row r="124" ht="15.75" customHeight="1">
      <c r="J124" s="5"/>
      <c r="N124" s="7"/>
    </row>
    <row r="125" ht="15.75" customHeight="1">
      <c r="J125" s="5"/>
      <c r="N125" s="7"/>
    </row>
    <row r="126" ht="15.75" customHeight="1">
      <c r="J126" s="5"/>
      <c r="N126" s="7"/>
    </row>
    <row r="127" ht="15.75" customHeight="1">
      <c r="J127" s="5"/>
      <c r="N127" s="7"/>
    </row>
    <row r="128" ht="15.75" customHeight="1">
      <c r="J128" s="5"/>
      <c r="N128" s="7"/>
    </row>
    <row r="129" ht="15.75" customHeight="1">
      <c r="J129" s="5"/>
      <c r="N129" s="7"/>
    </row>
    <row r="130" ht="15.75" customHeight="1">
      <c r="J130" s="5"/>
      <c r="N130" s="7"/>
    </row>
    <row r="131" ht="15.75" customHeight="1">
      <c r="J131" s="5"/>
      <c r="N131" s="7"/>
    </row>
    <row r="132" ht="15.75" customHeight="1">
      <c r="J132" s="5"/>
      <c r="N132" s="7"/>
    </row>
    <row r="133" ht="15.75" customHeight="1">
      <c r="J133" s="5"/>
      <c r="N133" s="7"/>
    </row>
    <row r="134" ht="15.75" customHeight="1">
      <c r="J134" s="5"/>
      <c r="N134" s="7"/>
    </row>
    <row r="135" ht="15.75" customHeight="1">
      <c r="J135" s="5"/>
      <c r="N135" s="7"/>
    </row>
    <row r="136" ht="15.75" customHeight="1">
      <c r="J136" s="5"/>
      <c r="N136" s="7"/>
    </row>
    <row r="137" ht="15.75" customHeight="1">
      <c r="J137" s="5"/>
      <c r="N137" s="7"/>
    </row>
    <row r="138" ht="15.75" customHeight="1">
      <c r="J138" s="5"/>
      <c r="N138" s="7"/>
    </row>
    <row r="139" ht="15.75" customHeight="1">
      <c r="J139" s="5"/>
      <c r="N139" s="7"/>
    </row>
    <row r="140" ht="15.75" customHeight="1">
      <c r="J140" s="5"/>
      <c r="N140" s="7"/>
    </row>
    <row r="141" ht="15.75" customHeight="1">
      <c r="J141" s="5"/>
      <c r="N141" s="7"/>
    </row>
    <row r="142" ht="15.75" customHeight="1">
      <c r="J142" s="5"/>
      <c r="N142" s="7"/>
    </row>
    <row r="143" ht="15.75" customHeight="1">
      <c r="J143" s="5"/>
      <c r="N143" s="7"/>
    </row>
    <row r="144" ht="15.75" customHeight="1">
      <c r="J144" s="5"/>
      <c r="N144" s="7"/>
    </row>
    <row r="145" ht="15.75" customHeight="1">
      <c r="J145" s="5"/>
      <c r="N145" s="7"/>
    </row>
    <row r="146" ht="15.75" customHeight="1">
      <c r="J146" s="5"/>
      <c r="N146" s="7"/>
    </row>
    <row r="147" ht="15.75" customHeight="1">
      <c r="J147" s="5"/>
      <c r="N147" s="7"/>
    </row>
    <row r="148" ht="15.75" customHeight="1">
      <c r="J148" s="5"/>
      <c r="N148" s="7"/>
    </row>
    <row r="149" ht="15.75" customHeight="1">
      <c r="J149" s="5"/>
      <c r="N149" s="7"/>
    </row>
    <row r="150" ht="15.75" customHeight="1">
      <c r="J150" s="5"/>
      <c r="N150" s="7"/>
    </row>
    <row r="151" ht="15.75" customHeight="1">
      <c r="J151" s="5"/>
      <c r="N151" s="7"/>
    </row>
    <row r="152" ht="15.75" customHeight="1">
      <c r="J152" s="5"/>
      <c r="N152" s="7"/>
    </row>
    <row r="153" ht="15.75" customHeight="1">
      <c r="J153" s="5"/>
      <c r="N153" s="7"/>
    </row>
    <row r="154" ht="15.75" customHeight="1">
      <c r="J154" s="5"/>
      <c r="N154" s="7"/>
    </row>
    <row r="155" ht="15.75" customHeight="1">
      <c r="J155" s="5"/>
      <c r="N155" s="7"/>
    </row>
    <row r="156" ht="15.75" customHeight="1">
      <c r="J156" s="5"/>
      <c r="N156" s="7"/>
    </row>
    <row r="157" ht="15.75" customHeight="1">
      <c r="J157" s="5"/>
      <c r="N157" s="7"/>
    </row>
    <row r="158" ht="15.75" customHeight="1">
      <c r="J158" s="5"/>
      <c r="N158" s="7"/>
    </row>
    <row r="159" ht="15.75" customHeight="1">
      <c r="J159" s="5"/>
      <c r="N159" s="7"/>
    </row>
    <row r="160" ht="15.75" customHeight="1">
      <c r="J160" s="5"/>
      <c r="N160" s="7"/>
    </row>
    <row r="161" ht="15.75" customHeight="1">
      <c r="J161" s="5"/>
      <c r="N161" s="7"/>
    </row>
    <row r="162" ht="15.75" customHeight="1">
      <c r="J162" s="5"/>
      <c r="N162" s="7"/>
    </row>
    <row r="163" ht="15.75" customHeight="1">
      <c r="J163" s="5"/>
      <c r="N163" s="7"/>
    </row>
    <row r="164" ht="15.75" customHeight="1">
      <c r="J164" s="5"/>
      <c r="N164" s="7"/>
    </row>
    <row r="165" ht="15.75" customHeight="1">
      <c r="J165" s="5"/>
      <c r="N165" s="7"/>
    </row>
    <row r="166" ht="15.75" customHeight="1">
      <c r="J166" s="5"/>
      <c r="N166" s="7"/>
    </row>
    <row r="167" ht="15.75" customHeight="1">
      <c r="J167" s="5"/>
      <c r="N167" s="7"/>
    </row>
    <row r="168" ht="15.75" customHeight="1">
      <c r="J168" s="5"/>
      <c r="N168" s="7"/>
    </row>
    <row r="169" ht="15.75" customHeight="1">
      <c r="J169" s="5"/>
      <c r="N169" s="7"/>
    </row>
    <row r="170" ht="15.75" customHeight="1">
      <c r="J170" s="5"/>
      <c r="N170" s="7"/>
    </row>
    <row r="171" ht="15.75" customHeight="1">
      <c r="J171" s="5"/>
      <c r="N171" s="7"/>
    </row>
    <row r="172" ht="15.75" customHeight="1">
      <c r="J172" s="5"/>
      <c r="N172" s="7"/>
    </row>
    <row r="173" ht="15.75" customHeight="1">
      <c r="J173" s="5"/>
      <c r="N173" s="7"/>
    </row>
    <row r="174" ht="15.75" customHeight="1">
      <c r="J174" s="5"/>
      <c r="N174" s="7"/>
    </row>
    <row r="175" ht="15.75" customHeight="1">
      <c r="J175" s="5"/>
      <c r="N175" s="7"/>
    </row>
    <row r="176" ht="15.75" customHeight="1">
      <c r="J176" s="5"/>
      <c r="N176" s="7"/>
    </row>
    <row r="177" ht="15.75" customHeight="1">
      <c r="J177" s="5"/>
      <c r="N177" s="7"/>
    </row>
    <row r="178" ht="15.75" customHeight="1">
      <c r="J178" s="5"/>
      <c r="N178" s="7"/>
    </row>
    <row r="179" ht="15.75" customHeight="1">
      <c r="J179" s="5"/>
      <c r="N179" s="7"/>
    </row>
    <row r="180" ht="15.75" customHeight="1">
      <c r="J180" s="5"/>
      <c r="N180" s="7"/>
    </row>
    <row r="181" ht="15.75" customHeight="1">
      <c r="J181" s="5"/>
      <c r="N181" s="7"/>
    </row>
    <row r="182" ht="15.75" customHeight="1">
      <c r="J182" s="5"/>
      <c r="N182" s="7"/>
    </row>
    <row r="183" ht="15.75" customHeight="1">
      <c r="J183" s="5"/>
      <c r="N183" s="7"/>
    </row>
    <row r="184" ht="15.75" customHeight="1">
      <c r="J184" s="5"/>
      <c r="N184" s="7"/>
    </row>
    <row r="185" ht="15.75" customHeight="1">
      <c r="J185" s="5"/>
      <c r="N185" s="7"/>
    </row>
    <row r="186" ht="15.75" customHeight="1">
      <c r="J186" s="5"/>
      <c r="N186" s="7"/>
    </row>
    <row r="187" ht="15.75" customHeight="1">
      <c r="J187" s="5"/>
      <c r="N187" s="7"/>
    </row>
    <row r="188" ht="15.75" customHeight="1">
      <c r="J188" s="5"/>
      <c r="N188" s="7"/>
    </row>
    <row r="189" ht="15.75" customHeight="1">
      <c r="J189" s="5"/>
      <c r="N189" s="7"/>
    </row>
    <row r="190" ht="15.75" customHeight="1">
      <c r="J190" s="5"/>
      <c r="N190" s="7"/>
    </row>
    <row r="191" ht="15.75" customHeight="1">
      <c r="J191" s="5"/>
      <c r="N191" s="7"/>
    </row>
    <row r="192" ht="15.75" customHeight="1">
      <c r="J192" s="5"/>
      <c r="N192" s="7"/>
    </row>
    <row r="193" ht="15.75" customHeight="1">
      <c r="J193" s="5"/>
      <c r="N193" s="7"/>
    </row>
    <row r="194" ht="15.75" customHeight="1">
      <c r="J194" s="5"/>
      <c r="N194" s="7"/>
    </row>
    <row r="195" ht="15.75" customHeight="1">
      <c r="J195" s="5"/>
      <c r="N195" s="7"/>
    </row>
    <row r="196" ht="15.75" customHeight="1">
      <c r="J196" s="5"/>
      <c r="N196" s="7"/>
    </row>
    <row r="197" ht="15.75" customHeight="1">
      <c r="J197" s="5"/>
      <c r="N197" s="7"/>
    </row>
    <row r="198" ht="15.75" customHeight="1">
      <c r="J198" s="5"/>
      <c r="N198" s="7"/>
    </row>
    <row r="199" ht="15.75" customHeight="1">
      <c r="J199" s="5"/>
      <c r="N199" s="7"/>
    </row>
    <row r="200" ht="15.75" customHeight="1">
      <c r="J200" s="5"/>
      <c r="N200" s="7"/>
    </row>
    <row r="201" ht="15.75" customHeight="1">
      <c r="J201" s="5"/>
      <c r="N201" s="7"/>
    </row>
    <row r="202" ht="15.75" customHeight="1">
      <c r="J202" s="5"/>
      <c r="N202" s="7"/>
    </row>
    <row r="203" ht="15.75" customHeight="1">
      <c r="J203" s="5"/>
      <c r="N203" s="7"/>
    </row>
    <row r="204" ht="15.75" customHeight="1">
      <c r="J204" s="5"/>
      <c r="N204" s="7"/>
    </row>
    <row r="205" ht="15.75" customHeight="1">
      <c r="J205" s="5"/>
      <c r="N205" s="7"/>
    </row>
    <row r="206" ht="15.75" customHeight="1">
      <c r="J206" s="5"/>
      <c r="N206" s="7"/>
    </row>
    <row r="207" ht="15.75" customHeight="1">
      <c r="J207" s="5"/>
      <c r="N207" s="7"/>
    </row>
    <row r="208" ht="15.75" customHeight="1">
      <c r="J208" s="5"/>
      <c r="N208" s="7"/>
    </row>
    <row r="209" ht="15.75" customHeight="1">
      <c r="J209" s="5"/>
      <c r="N209" s="7"/>
    </row>
    <row r="210" ht="15.75" customHeight="1">
      <c r="J210" s="5"/>
      <c r="N210" s="7"/>
    </row>
    <row r="211" ht="15.75" customHeight="1">
      <c r="J211" s="5"/>
      <c r="N211" s="7"/>
    </row>
    <row r="212" ht="15.75" customHeight="1">
      <c r="J212" s="5"/>
      <c r="N212" s="7"/>
    </row>
    <row r="213" ht="15.75" customHeight="1">
      <c r="J213" s="5"/>
      <c r="N213" s="7"/>
    </row>
    <row r="214" ht="15.75" customHeight="1">
      <c r="J214" s="5"/>
      <c r="N214" s="7"/>
    </row>
    <row r="215" ht="15.75" customHeight="1">
      <c r="J215" s="5"/>
      <c r="N215" s="7"/>
    </row>
    <row r="216" ht="15.75" customHeight="1">
      <c r="J216" s="5"/>
      <c r="N216" s="7"/>
    </row>
    <row r="217" ht="15.75" customHeight="1">
      <c r="J217" s="5"/>
      <c r="N217" s="7"/>
    </row>
    <row r="218" ht="15.75" customHeight="1">
      <c r="J218" s="5"/>
      <c r="N218" s="7"/>
    </row>
    <row r="219" ht="15.75" customHeight="1">
      <c r="J219" s="5"/>
      <c r="N219" s="7"/>
    </row>
    <row r="220" ht="15.75" customHeight="1">
      <c r="J220" s="5"/>
      <c r="N220" s="7"/>
    </row>
    <row r="221" ht="15.75" customHeight="1">
      <c r="J221" s="5"/>
      <c r="N221" s="7"/>
    </row>
    <row r="222" ht="15.75" customHeight="1">
      <c r="J222" s="5"/>
      <c r="N222" s="7"/>
    </row>
    <row r="223" ht="15.75" customHeight="1">
      <c r="J223" s="5"/>
      <c r="N223" s="7"/>
    </row>
    <row r="224" ht="15.75" customHeight="1">
      <c r="J224" s="5"/>
      <c r="N224" s="7"/>
    </row>
    <row r="225" ht="15.75" customHeight="1">
      <c r="J225" s="5"/>
      <c r="N225" s="7"/>
    </row>
    <row r="226" ht="15.75" customHeight="1">
      <c r="J226" s="5"/>
      <c r="N226" s="7"/>
    </row>
    <row r="227" ht="15.75" customHeight="1">
      <c r="J227" s="5"/>
      <c r="N227" s="7"/>
    </row>
    <row r="228" ht="15.75" customHeight="1">
      <c r="J228" s="5"/>
      <c r="N228" s="7"/>
    </row>
    <row r="229" ht="15.75" customHeight="1">
      <c r="J229" s="5"/>
      <c r="N229" s="7"/>
    </row>
    <row r="230" ht="15.75" customHeight="1">
      <c r="J230" s="5"/>
      <c r="N230" s="7"/>
    </row>
    <row r="231" ht="15.75" customHeight="1">
      <c r="J231" s="5"/>
      <c r="N231" s="7"/>
    </row>
    <row r="232" ht="15.75" customHeight="1">
      <c r="J232" s="5"/>
      <c r="N232" s="7"/>
    </row>
    <row r="233" ht="15.75" customHeight="1">
      <c r="J233" s="5"/>
      <c r="N233" s="7"/>
    </row>
    <row r="234" ht="15.75" customHeight="1">
      <c r="J234" s="5"/>
      <c r="N234" s="7"/>
    </row>
    <row r="235" ht="15.75" customHeight="1">
      <c r="J235" s="5"/>
      <c r="N235" s="7"/>
    </row>
    <row r="236" ht="15.75" customHeight="1">
      <c r="J236" s="5"/>
      <c r="N236" s="7"/>
    </row>
    <row r="237" ht="15.75" customHeight="1">
      <c r="J237" s="5"/>
      <c r="N237" s="7"/>
    </row>
    <row r="238" ht="15.75" customHeight="1">
      <c r="J238" s="5"/>
      <c r="N238" s="7"/>
    </row>
    <row r="239" ht="15.75" customHeight="1">
      <c r="J239" s="5"/>
      <c r="N239" s="7"/>
    </row>
    <row r="240" ht="15.75" customHeight="1">
      <c r="J240" s="5"/>
      <c r="N240" s="7"/>
    </row>
    <row r="241" ht="15.75" customHeight="1">
      <c r="J241" s="5"/>
      <c r="N241" s="7"/>
    </row>
    <row r="242" ht="15.75" customHeight="1">
      <c r="J242" s="5"/>
      <c r="N242" s="7"/>
    </row>
    <row r="243" ht="15.75" customHeight="1">
      <c r="J243" s="5"/>
      <c r="N243" s="7"/>
    </row>
    <row r="244" ht="15.75" customHeight="1">
      <c r="J244" s="5"/>
      <c r="N244" s="7"/>
    </row>
    <row r="245" ht="15.75" customHeight="1">
      <c r="J245" s="5"/>
      <c r="N245" s="7"/>
    </row>
    <row r="246" ht="15.75" customHeight="1">
      <c r="J246" s="5"/>
      <c r="N246" s="7"/>
    </row>
    <row r="247" ht="15.75" customHeight="1">
      <c r="J247" s="5"/>
      <c r="N247" s="7"/>
    </row>
    <row r="248" ht="15.75" customHeight="1">
      <c r="J248" s="5"/>
      <c r="N248" s="7"/>
    </row>
    <row r="249" ht="15.75" customHeight="1">
      <c r="J249" s="5"/>
      <c r="N249" s="7"/>
    </row>
    <row r="250" ht="15.75" customHeight="1">
      <c r="J250" s="5"/>
      <c r="N250" s="7"/>
    </row>
    <row r="251" ht="15.75" customHeight="1">
      <c r="J251" s="5"/>
      <c r="N251" s="7"/>
    </row>
    <row r="252" ht="15.75" customHeight="1">
      <c r="J252" s="5"/>
      <c r="N252" s="7"/>
    </row>
    <row r="253" ht="15.75" customHeight="1">
      <c r="J253" s="5"/>
      <c r="N253" s="7"/>
    </row>
    <row r="254" ht="15.75" customHeight="1">
      <c r="J254" s="5"/>
      <c r="N254" s="7"/>
    </row>
    <row r="255" ht="15.75" customHeight="1">
      <c r="J255" s="5"/>
      <c r="N255" s="7"/>
    </row>
    <row r="256" ht="15.75" customHeight="1">
      <c r="J256" s="5"/>
      <c r="N256" s="7"/>
    </row>
    <row r="257" ht="15.75" customHeight="1">
      <c r="J257" s="5"/>
      <c r="N257" s="7"/>
    </row>
    <row r="258" ht="15.75" customHeight="1">
      <c r="J258" s="5"/>
      <c r="N258" s="7"/>
    </row>
    <row r="259" ht="15.75" customHeight="1">
      <c r="J259" s="5"/>
      <c r="N259" s="7"/>
    </row>
    <row r="260" ht="15.75" customHeight="1">
      <c r="J260" s="5"/>
      <c r="N260" s="7"/>
    </row>
    <row r="261" ht="15.75" customHeight="1">
      <c r="J261" s="5"/>
      <c r="N261" s="7"/>
    </row>
    <row r="262" ht="15.75" customHeight="1">
      <c r="J262" s="5"/>
      <c r="N262" s="7"/>
    </row>
    <row r="263" ht="15.75" customHeight="1">
      <c r="J263" s="5"/>
      <c r="N263" s="7"/>
    </row>
    <row r="264" ht="15.75" customHeight="1">
      <c r="J264" s="5"/>
      <c r="N264" s="7"/>
    </row>
    <row r="265" ht="15.75" customHeight="1">
      <c r="J265" s="5"/>
      <c r="N265" s="7"/>
    </row>
    <row r="266" ht="15.75" customHeight="1">
      <c r="J266" s="5"/>
      <c r="N266" s="7"/>
    </row>
    <row r="267" ht="15.75" customHeight="1">
      <c r="J267" s="5"/>
      <c r="N267" s="7"/>
    </row>
    <row r="268" ht="15.75" customHeight="1">
      <c r="J268" s="5"/>
      <c r="N268" s="7"/>
    </row>
    <row r="269" ht="15.75" customHeight="1">
      <c r="J269" s="5"/>
      <c r="N269" s="7"/>
    </row>
    <row r="270" ht="15.75" customHeight="1">
      <c r="J270" s="5"/>
      <c r="N270" s="7"/>
    </row>
    <row r="271" ht="15.75" customHeight="1">
      <c r="J271" s="5"/>
      <c r="N271" s="7"/>
    </row>
    <row r="272" ht="15.75" customHeight="1">
      <c r="J272" s="5"/>
      <c r="N272" s="7"/>
    </row>
    <row r="273" ht="15.75" customHeight="1">
      <c r="J273" s="5"/>
      <c r="N273" s="7"/>
    </row>
    <row r="274" ht="15.75" customHeight="1">
      <c r="J274" s="5"/>
      <c r="N274" s="7"/>
    </row>
    <row r="275" ht="15.75" customHeight="1">
      <c r="J275" s="5"/>
      <c r="N275" s="7"/>
    </row>
    <row r="276" ht="15.75" customHeight="1">
      <c r="J276" s="5"/>
      <c r="N276" s="7"/>
    </row>
    <row r="277" ht="15.75" customHeight="1">
      <c r="J277" s="5"/>
      <c r="N277" s="7"/>
    </row>
    <row r="278" ht="15.75" customHeight="1">
      <c r="J278" s="5"/>
      <c r="N278" s="7"/>
    </row>
    <row r="279" ht="15.75" customHeight="1">
      <c r="J279" s="5"/>
      <c r="N279" s="7"/>
    </row>
    <row r="280" ht="15.75" customHeight="1">
      <c r="J280" s="5"/>
      <c r="N280" s="7"/>
    </row>
    <row r="281" ht="15.75" customHeight="1">
      <c r="J281" s="5"/>
      <c r="N281" s="7"/>
    </row>
    <row r="282" ht="15.75" customHeight="1">
      <c r="J282" s="5"/>
      <c r="N282" s="7"/>
    </row>
    <row r="283" ht="15.75" customHeight="1">
      <c r="J283" s="5"/>
      <c r="N283" s="7"/>
    </row>
    <row r="284" ht="15.75" customHeight="1">
      <c r="J284" s="5"/>
      <c r="N284" s="7"/>
    </row>
    <row r="285" ht="15.75" customHeight="1">
      <c r="J285" s="5"/>
      <c r="N285" s="7"/>
    </row>
    <row r="286" ht="15.75" customHeight="1">
      <c r="J286" s="5"/>
      <c r="N286" s="7"/>
    </row>
    <row r="287" ht="15.75" customHeight="1">
      <c r="J287" s="5"/>
      <c r="N287" s="7"/>
    </row>
    <row r="288" ht="15.75" customHeight="1">
      <c r="J288" s="5"/>
      <c r="N288" s="7"/>
    </row>
    <row r="289" ht="15.75" customHeight="1">
      <c r="J289" s="5"/>
      <c r="N289" s="7"/>
    </row>
    <row r="290" ht="15.75" customHeight="1">
      <c r="J290" s="5"/>
      <c r="N290" s="7"/>
    </row>
    <row r="291" ht="15.75" customHeight="1">
      <c r="J291" s="5"/>
      <c r="N291" s="7"/>
    </row>
    <row r="292" ht="15.75" customHeight="1">
      <c r="J292" s="5"/>
      <c r="N292" s="7"/>
    </row>
    <row r="293" ht="15.75" customHeight="1">
      <c r="J293" s="5"/>
      <c r="N293" s="7"/>
    </row>
    <row r="294" ht="15.75" customHeight="1">
      <c r="J294" s="5"/>
      <c r="N294" s="7"/>
    </row>
    <row r="295" ht="15.75" customHeight="1">
      <c r="J295" s="5"/>
      <c r="N295" s="7"/>
    </row>
    <row r="296" ht="15.75" customHeight="1">
      <c r="J296" s="5"/>
      <c r="N296" s="7"/>
    </row>
    <row r="297" ht="15.75" customHeight="1">
      <c r="J297" s="5"/>
      <c r="N297" s="7"/>
    </row>
    <row r="298" ht="15.75" customHeight="1">
      <c r="J298" s="5"/>
      <c r="N298" s="7"/>
    </row>
    <row r="299" ht="15.75" customHeight="1">
      <c r="J299" s="5"/>
      <c r="N299" s="7"/>
    </row>
    <row r="300" ht="15.75" customHeight="1">
      <c r="J300" s="5"/>
      <c r="N300" s="7"/>
    </row>
    <row r="301" ht="15.75" customHeight="1">
      <c r="J301" s="5"/>
      <c r="N301" s="7"/>
    </row>
    <row r="302" ht="15.75" customHeight="1">
      <c r="J302" s="5"/>
      <c r="N302" s="7"/>
    </row>
    <row r="303" ht="15.75" customHeight="1">
      <c r="J303" s="5"/>
      <c r="N303" s="7"/>
    </row>
    <row r="304" ht="15.75" customHeight="1">
      <c r="J304" s="5"/>
      <c r="N304" s="7"/>
    </row>
    <row r="305" ht="15.75" customHeight="1">
      <c r="J305" s="5"/>
      <c r="N305" s="7"/>
    </row>
    <row r="306" ht="15.75" customHeight="1">
      <c r="J306" s="5"/>
      <c r="N306" s="7"/>
    </row>
    <row r="307" ht="15.75" customHeight="1">
      <c r="J307" s="5"/>
      <c r="N307" s="7"/>
    </row>
    <row r="308" ht="15.75" customHeight="1">
      <c r="J308" s="5"/>
      <c r="N308" s="7"/>
    </row>
    <row r="309" ht="15.75" customHeight="1">
      <c r="J309" s="5"/>
      <c r="N309" s="7"/>
    </row>
    <row r="310" ht="15.75" customHeight="1">
      <c r="J310" s="5"/>
      <c r="N310" s="7"/>
    </row>
    <row r="311" ht="15.75" customHeight="1">
      <c r="J311" s="5"/>
      <c r="N311" s="7"/>
    </row>
    <row r="312" ht="15.75" customHeight="1">
      <c r="J312" s="5"/>
      <c r="N312" s="7"/>
    </row>
    <row r="313" ht="15.75" customHeight="1">
      <c r="J313" s="5"/>
      <c r="N313" s="7"/>
    </row>
    <row r="314" ht="15.75" customHeight="1">
      <c r="J314" s="5"/>
      <c r="N314" s="7"/>
    </row>
    <row r="315" ht="15.75" customHeight="1">
      <c r="J315" s="5"/>
      <c r="N315" s="7"/>
    </row>
    <row r="316" ht="15.75" customHeight="1">
      <c r="J316" s="5"/>
      <c r="N316" s="7"/>
    </row>
    <row r="317" ht="15.75" customHeight="1">
      <c r="J317" s="5"/>
      <c r="N317" s="7"/>
    </row>
    <row r="318" ht="15.75" customHeight="1">
      <c r="J318" s="5"/>
      <c r="N318" s="7"/>
    </row>
    <row r="319" ht="15.75" customHeight="1">
      <c r="J319" s="5"/>
      <c r="N319" s="7"/>
    </row>
    <row r="320" ht="15.75" customHeight="1">
      <c r="J320" s="5"/>
      <c r="N320" s="7"/>
    </row>
    <row r="321" ht="15.75" customHeight="1">
      <c r="J321" s="5"/>
      <c r="N321" s="7"/>
    </row>
    <row r="322" ht="15.75" customHeight="1">
      <c r="J322" s="5"/>
      <c r="N322" s="7"/>
    </row>
    <row r="323" ht="15.75" customHeight="1">
      <c r="J323" s="5"/>
      <c r="N323" s="7"/>
    </row>
    <row r="324" ht="15.75" customHeight="1">
      <c r="J324" s="5"/>
      <c r="N324" s="7"/>
    </row>
    <row r="325" ht="15.75" customHeight="1">
      <c r="J325" s="5"/>
      <c r="N325" s="7"/>
    </row>
    <row r="326" ht="15.75" customHeight="1">
      <c r="J326" s="5"/>
      <c r="N326" s="7"/>
    </row>
    <row r="327" ht="15.75" customHeight="1">
      <c r="J327" s="5"/>
      <c r="N327" s="7"/>
    </row>
    <row r="328" ht="15.75" customHeight="1">
      <c r="J328" s="5"/>
      <c r="N328" s="7"/>
    </row>
    <row r="329" ht="15.75" customHeight="1">
      <c r="J329" s="5"/>
      <c r="N329" s="7"/>
    </row>
    <row r="330" ht="15.75" customHeight="1">
      <c r="J330" s="5"/>
      <c r="N330" s="7"/>
    </row>
    <row r="331" ht="15.75" customHeight="1">
      <c r="J331" s="5"/>
      <c r="N331" s="7"/>
    </row>
    <row r="332" ht="15.75" customHeight="1">
      <c r="J332" s="5"/>
      <c r="N332" s="7"/>
    </row>
    <row r="333" ht="15.75" customHeight="1">
      <c r="J333" s="5"/>
      <c r="N333" s="7"/>
    </row>
    <row r="334" ht="15.75" customHeight="1">
      <c r="J334" s="5"/>
      <c r="N334" s="7"/>
    </row>
    <row r="335" ht="15.75" customHeight="1">
      <c r="J335" s="5"/>
      <c r="N335" s="7"/>
    </row>
    <row r="336" ht="15.75" customHeight="1">
      <c r="J336" s="5"/>
      <c r="N336" s="7"/>
    </row>
    <row r="337" ht="15.75" customHeight="1">
      <c r="J337" s="5"/>
      <c r="N337" s="7"/>
    </row>
    <row r="338" ht="15.75" customHeight="1">
      <c r="J338" s="5"/>
      <c r="N338" s="7"/>
    </row>
    <row r="339" ht="15.75" customHeight="1">
      <c r="J339" s="5"/>
      <c r="N339" s="7"/>
    </row>
    <row r="340" ht="15.75" customHeight="1">
      <c r="J340" s="5"/>
      <c r="N340" s="7"/>
    </row>
    <row r="341" ht="15.75" customHeight="1">
      <c r="J341" s="5"/>
      <c r="N341" s="7"/>
    </row>
    <row r="342" ht="15.75" customHeight="1">
      <c r="J342" s="5"/>
      <c r="N342" s="7"/>
    </row>
    <row r="343" ht="15.75" customHeight="1">
      <c r="J343" s="5"/>
      <c r="N343" s="7"/>
    </row>
    <row r="344" ht="15.75" customHeight="1">
      <c r="J344" s="5"/>
      <c r="N344" s="7"/>
    </row>
    <row r="345" ht="15.75" customHeight="1">
      <c r="J345" s="5"/>
      <c r="N345" s="7"/>
    </row>
    <row r="346" ht="15.75" customHeight="1">
      <c r="J346" s="5"/>
      <c r="N346" s="7"/>
    </row>
    <row r="347" ht="15.75" customHeight="1">
      <c r="J347" s="5"/>
      <c r="N347" s="7"/>
    </row>
    <row r="348" ht="15.75" customHeight="1">
      <c r="J348" s="5"/>
      <c r="N348" s="7"/>
    </row>
    <row r="349" ht="15.75" customHeight="1">
      <c r="J349" s="5"/>
      <c r="N349" s="7"/>
    </row>
    <row r="350" ht="15.75" customHeight="1">
      <c r="J350" s="5"/>
      <c r="N350" s="7"/>
    </row>
    <row r="351" ht="15.75" customHeight="1">
      <c r="J351" s="5"/>
      <c r="N351" s="7"/>
    </row>
    <row r="352" ht="15.75" customHeight="1">
      <c r="J352" s="5"/>
      <c r="N352" s="7"/>
    </row>
    <row r="353" ht="15.75" customHeight="1">
      <c r="J353" s="5"/>
      <c r="N353" s="7"/>
    </row>
    <row r="354" ht="15.75" customHeight="1">
      <c r="J354" s="5"/>
      <c r="N354" s="7"/>
    </row>
    <row r="355" ht="15.75" customHeight="1">
      <c r="J355" s="5"/>
      <c r="N355" s="7"/>
    </row>
    <row r="356" ht="15.75" customHeight="1">
      <c r="J356" s="5"/>
      <c r="N356" s="7"/>
    </row>
    <row r="357" ht="15.75" customHeight="1">
      <c r="J357" s="5"/>
      <c r="N357" s="7"/>
    </row>
    <row r="358" ht="15.75" customHeight="1">
      <c r="J358" s="5"/>
      <c r="N358" s="7"/>
    </row>
    <row r="359" ht="15.75" customHeight="1">
      <c r="J359" s="5"/>
      <c r="N359" s="7"/>
    </row>
    <row r="360" ht="15.75" customHeight="1">
      <c r="J360" s="5"/>
      <c r="N360" s="7"/>
    </row>
    <row r="361" ht="15.75" customHeight="1">
      <c r="J361" s="5"/>
      <c r="N361" s="7"/>
    </row>
    <row r="362" ht="15.75" customHeight="1">
      <c r="J362" s="5"/>
      <c r="N362" s="7"/>
    </row>
    <row r="363" ht="15.75" customHeight="1">
      <c r="J363" s="5"/>
      <c r="N363" s="7"/>
    </row>
    <row r="364" ht="15.75" customHeight="1">
      <c r="J364" s="5"/>
      <c r="N364" s="7"/>
    </row>
    <row r="365" ht="15.75" customHeight="1">
      <c r="J365" s="5"/>
      <c r="N365" s="7"/>
    </row>
    <row r="366" ht="15.75" customHeight="1">
      <c r="J366" s="5"/>
      <c r="N366" s="7"/>
    </row>
    <row r="367" ht="15.75" customHeight="1">
      <c r="J367" s="5"/>
      <c r="N367" s="7"/>
    </row>
    <row r="368" ht="15.75" customHeight="1">
      <c r="J368" s="5"/>
      <c r="N368" s="7"/>
    </row>
    <row r="369" ht="15.75" customHeight="1">
      <c r="J369" s="5"/>
      <c r="N369" s="7"/>
    </row>
    <row r="370" ht="15.75" customHeight="1">
      <c r="J370" s="5"/>
      <c r="N370" s="7"/>
    </row>
    <row r="371" ht="15.75" customHeight="1">
      <c r="J371" s="5"/>
      <c r="N371" s="7"/>
    </row>
    <row r="372" ht="15.75" customHeight="1">
      <c r="J372" s="5"/>
      <c r="N372" s="7"/>
    </row>
    <row r="373" ht="15.75" customHeight="1">
      <c r="J373" s="5"/>
      <c r="N373" s="7"/>
    </row>
    <row r="374" ht="15.75" customHeight="1">
      <c r="J374" s="5"/>
      <c r="N374" s="7"/>
    </row>
    <row r="375" ht="15.75" customHeight="1">
      <c r="J375" s="5"/>
      <c r="N375" s="7"/>
    </row>
    <row r="376" ht="15.75" customHeight="1">
      <c r="J376" s="5"/>
      <c r="N376" s="7"/>
    </row>
    <row r="377" ht="15.75" customHeight="1">
      <c r="J377" s="5"/>
      <c r="N377" s="7"/>
    </row>
    <row r="378" ht="15.75" customHeight="1">
      <c r="J378" s="5"/>
      <c r="N378" s="7"/>
    </row>
    <row r="379" ht="15.75" customHeight="1">
      <c r="J379" s="5"/>
      <c r="N379" s="7"/>
    </row>
    <row r="380" ht="15.75" customHeight="1">
      <c r="J380" s="5"/>
      <c r="N380" s="7"/>
    </row>
    <row r="381" ht="15.75" customHeight="1">
      <c r="J381" s="5"/>
      <c r="N381" s="7"/>
    </row>
    <row r="382" ht="15.75" customHeight="1">
      <c r="J382" s="5"/>
      <c r="N382" s="7"/>
    </row>
    <row r="383" ht="15.75" customHeight="1">
      <c r="J383" s="5"/>
      <c r="N383" s="7"/>
    </row>
    <row r="384" ht="15.75" customHeight="1">
      <c r="J384" s="5"/>
      <c r="N384" s="7"/>
    </row>
    <row r="385" ht="15.75" customHeight="1">
      <c r="J385" s="5"/>
      <c r="N385" s="7"/>
    </row>
    <row r="386" ht="15.75" customHeight="1">
      <c r="J386" s="5"/>
      <c r="N386" s="7"/>
    </row>
    <row r="387" ht="15.75" customHeight="1">
      <c r="J387" s="5"/>
      <c r="N387" s="7"/>
    </row>
    <row r="388" ht="15.75" customHeight="1">
      <c r="J388" s="5"/>
      <c r="N388" s="7"/>
    </row>
    <row r="389" ht="15.75" customHeight="1">
      <c r="J389" s="5"/>
      <c r="N389" s="7"/>
    </row>
    <row r="390" ht="15.75" customHeight="1">
      <c r="J390" s="5"/>
      <c r="N390" s="7"/>
    </row>
    <row r="391" ht="15.75" customHeight="1">
      <c r="J391" s="5"/>
      <c r="N391" s="7"/>
    </row>
    <row r="392" ht="15.75" customHeight="1">
      <c r="J392" s="5"/>
      <c r="N392" s="7"/>
    </row>
    <row r="393" ht="15.75" customHeight="1">
      <c r="J393" s="5"/>
      <c r="N393" s="7"/>
    </row>
    <row r="394" ht="15.75" customHeight="1">
      <c r="J394" s="5"/>
      <c r="N394" s="7"/>
    </row>
    <row r="395" ht="15.75" customHeight="1">
      <c r="J395" s="5"/>
      <c r="N395" s="7"/>
    </row>
    <row r="396" ht="15.75" customHeight="1">
      <c r="J396" s="5"/>
      <c r="N396" s="7"/>
    </row>
    <row r="397" ht="15.75" customHeight="1">
      <c r="J397" s="5"/>
      <c r="N397" s="7"/>
    </row>
    <row r="398" ht="15.75" customHeight="1">
      <c r="J398" s="5"/>
      <c r="N398" s="7"/>
    </row>
    <row r="399" ht="15.75" customHeight="1">
      <c r="J399" s="5"/>
      <c r="N399" s="7"/>
    </row>
    <row r="400" ht="15.75" customHeight="1">
      <c r="J400" s="5"/>
      <c r="N400" s="7"/>
    </row>
    <row r="401" ht="15.75" customHeight="1">
      <c r="J401" s="5"/>
      <c r="N401" s="7"/>
    </row>
    <row r="402" ht="15.75" customHeight="1">
      <c r="J402" s="5"/>
      <c r="N402" s="7"/>
    </row>
    <row r="403" ht="15.75" customHeight="1">
      <c r="J403" s="5"/>
      <c r="N403" s="7"/>
    </row>
    <row r="404" ht="15.75" customHeight="1">
      <c r="J404" s="5"/>
      <c r="N404" s="7"/>
    </row>
    <row r="405" ht="15.75" customHeight="1">
      <c r="J405" s="5"/>
      <c r="N405" s="7"/>
    </row>
    <row r="406" ht="15.75" customHeight="1">
      <c r="J406" s="5"/>
      <c r="N406" s="7"/>
    </row>
    <row r="407" ht="15.75" customHeight="1">
      <c r="J407" s="5"/>
      <c r="N407" s="7"/>
    </row>
    <row r="408" ht="15.75" customHeight="1">
      <c r="J408" s="5"/>
      <c r="N408" s="7"/>
    </row>
    <row r="409" ht="15.75" customHeight="1">
      <c r="J409" s="5"/>
      <c r="N409" s="7"/>
    </row>
    <row r="410" ht="15.75" customHeight="1">
      <c r="J410" s="5"/>
      <c r="N410" s="7"/>
    </row>
    <row r="411" ht="15.75" customHeight="1">
      <c r="J411" s="5"/>
      <c r="N411" s="7"/>
    </row>
    <row r="412" ht="15.75" customHeight="1">
      <c r="J412" s="5"/>
      <c r="N412" s="7"/>
    </row>
    <row r="413" ht="15.75" customHeight="1">
      <c r="J413" s="5"/>
      <c r="N413" s="7"/>
    </row>
    <row r="414" ht="15.75" customHeight="1">
      <c r="J414" s="5"/>
      <c r="N414" s="7"/>
    </row>
    <row r="415" ht="15.75" customHeight="1">
      <c r="J415" s="5"/>
      <c r="N415" s="7"/>
    </row>
    <row r="416" ht="15.75" customHeight="1">
      <c r="J416" s="5"/>
      <c r="N416" s="7"/>
    </row>
    <row r="417" ht="15.75" customHeight="1">
      <c r="J417" s="5"/>
      <c r="N417" s="7"/>
    </row>
    <row r="418" ht="15.75" customHeight="1">
      <c r="J418" s="5"/>
      <c r="N418" s="7"/>
    </row>
    <row r="419" ht="15.75" customHeight="1">
      <c r="J419" s="5"/>
      <c r="N419" s="7"/>
    </row>
    <row r="420" ht="15.75" customHeight="1">
      <c r="J420" s="5"/>
      <c r="N420" s="7"/>
    </row>
    <row r="421" ht="15.75" customHeight="1">
      <c r="J421" s="5"/>
      <c r="N421" s="7"/>
    </row>
    <row r="422" ht="15.75" customHeight="1">
      <c r="J422" s="5"/>
      <c r="N422" s="7"/>
    </row>
    <row r="423" ht="15.75" customHeight="1">
      <c r="J423" s="5"/>
      <c r="N423" s="7"/>
    </row>
    <row r="424" ht="15.75" customHeight="1">
      <c r="J424" s="5"/>
      <c r="N424" s="7"/>
    </row>
    <row r="425" ht="15.75" customHeight="1">
      <c r="J425" s="5"/>
      <c r="N425" s="7"/>
    </row>
    <row r="426" ht="15.75" customHeight="1">
      <c r="J426" s="5"/>
      <c r="N426" s="7"/>
    </row>
    <row r="427" ht="15.75" customHeight="1">
      <c r="J427" s="5"/>
      <c r="N427" s="7"/>
    </row>
    <row r="428" ht="15.75" customHeight="1">
      <c r="J428" s="5"/>
      <c r="N428" s="7"/>
    </row>
    <row r="429" ht="15.75" customHeight="1">
      <c r="J429" s="5"/>
      <c r="N429" s="7"/>
    </row>
    <row r="430" ht="15.75" customHeight="1">
      <c r="J430" s="5"/>
      <c r="N430" s="7"/>
    </row>
    <row r="431" ht="15.75" customHeight="1">
      <c r="J431" s="5"/>
      <c r="N431" s="7"/>
    </row>
    <row r="432" ht="15.75" customHeight="1">
      <c r="J432" s="5"/>
      <c r="N432" s="7"/>
    </row>
    <row r="433" ht="15.75" customHeight="1">
      <c r="J433" s="5"/>
      <c r="N433" s="7"/>
    </row>
    <row r="434" ht="15.75" customHeight="1">
      <c r="J434" s="5"/>
      <c r="N434" s="7"/>
    </row>
    <row r="435" ht="15.75" customHeight="1">
      <c r="J435" s="5"/>
      <c r="N435" s="7"/>
    </row>
    <row r="436" ht="15.75" customHeight="1">
      <c r="J436" s="5"/>
      <c r="N436" s="7"/>
    </row>
    <row r="437" ht="15.75" customHeight="1">
      <c r="J437" s="5"/>
      <c r="N437" s="7"/>
    </row>
    <row r="438" ht="15.75" customHeight="1">
      <c r="J438" s="5"/>
      <c r="N438" s="7"/>
    </row>
    <row r="439" ht="15.75" customHeight="1">
      <c r="J439" s="5"/>
      <c r="N439" s="7"/>
    </row>
    <row r="440" ht="15.75" customHeight="1">
      <c r="J440" s="5"/>
      <c r="N440" s="7"/>
    </row>
    <row r="441" ht="15.75" customHeight="1">
      <c r="J441" s="5"/>
      <c r="N441" s="7"/>
    </row>
    <row r="442" ht="15.75" customHeight="1">
      <c r="J442" s="5"/>
      <c r="N442" s="7"/>
    </row>
    <row r="443" ht="15.75" customHeight="1">
      <c r="J443" s="5"/>
      <c r="N443" s="7"/>
    </row>
    <row r="444" ht="15.75" customHeight="1">
      <c r="J444" s="5"/>
      <c r="N444" s="7"/>
    </row>
    <row r="445" ht="15.75" customHeight="1">
      <c r="J445" s="5"/>
      <c r="N445" s="7"/>
    </row>
    <row r="446" ht="15.75" customHeight="1">
      <c r="J446" s="5"/>
      <c r="N446" s="7"/>
    </row>
    <row r="447" ht="15.75" customHeight="1">
      <c r="J447" s="5"/>
      <c r="N447" s="7"/>
    </row>
    <row r="448" ht="15.75" customHeight="1">
      <c r="J448" s="5"/>
      <c r="N448" s="7"/>
    </row>
    <row r="449" ht="15.75" customHeight="1">
      <c r="J449" s="5"/>
      <c r="N449" s="7"/>
    </row>
    <row r="450" ht="15.75" customHeight="1">
      <c r="J450" s="5"/>
      <c r="N450" s="7"/>
    </row>
    <row r="451" ht="15.75" customHeight="1">
      <c r="J451" s="5"/>
      <c r="N451" s="7"/>
    </row>
    <row r="452" ht="15.75" customHeight="1">
      <c r="J452" s="5"/>
      <c r="N452" s="7"/>
    </row>
    <row r="453" ht="15.75" customHeight="1">
      <c r="J453" s="5"/>
      <c r="N453" s="7"/>
    </row>
    <row r="454" ht="15.75" customHeight="1">
      <c r="J454" s="5"/>
      <c r="N454" s="7"/>
    </row>
    <row r="455" ht="15.75" customHeight="1">
      <c r="J455" s="5"/>
      <c r="N455" s="7"/>
    </row>
    <row r="456" ht="15.75" customHeight="1">
      <c r="J456" s="5"/>
      <c r="N456" s="7"/>
    </row>
    <row r="457" ht="15.75" customHeight="1">
      <c r="J457" s="5"/>
      <c r="N457" s="7"/>
    </row>
    <row r="458" ht="15.75" customHeight="1">
      <c r="J458" s="5"/>
      <c r="N458" s="7"/>
    </row>
    <row r="459" ht="15.75" customHeight="1">
      <c r="J459" s="5"/>
      <c r="N459" s="7"/>
    </row>
    <row r="460" ht="15.75" customHeight="1">
      <c r="J460" s="5"/>
      <c r="N460" s="7"/>
    </row>
    <row r="461" ht="15.75" customHeight="1">
      <c r="J461" s="5"/>
      <c r="N461" s="7"/>
    </row>
    <row r="462" ht="15.75" customHeight="1">
      <c r="J462" s="5"/>
      <c r="N462" s="7"/>
    </row>
    <row r="463" ht="15.75" customHeight="1">
      <c r="J463" s="5"/>
      <c r="N463" s="7"/>
    </row>
    <row r="464" ht="15.75" customHeight="1">
      <c r="J464" s="5"/>
      <c r="N464" s="7"/>
    </row>
    <row r="465" ht="15.75" customHeight="1">
      <c r="J465" s="5"/>
      <c r="N465" s="7"/>
    </row>
    <row r="466" ht="15.75" customHeight="1">
      <c r="J466" s="5"/>
      <c r="N466" s="7"/>
    </row>
    <row r="467" ht="15.75" customHeight="1">
      <c r="J467" s="5"/>
      <c r="N467" s="7"/>
    </row>
    <row r="468" ht="15.75" customHeight="1">
      <c r="J468" s="5"/>
      <c r="N468" s="7"/>
    </row>
    <row r="469" ht="15.75" customHeight="1">
      <c r="J469" s="5"/>
      <c r="N469" s="7"/>
    </row>
    <row r="470" ht="15.75" customHeight="1">
      <c r="J470" s="5"/>
      <c r="N470" s="7"/>
    </row>
    <row r="471" ht="15.75" customHeight="1">
      <c r="J471" s="5"/>
      <c r="N471" s="7"/>
    </row>
    <row r="472" ht="15.75" customHeight="1">
      <c r="J472" s="5"/>
      <c r="N472" s="7"/>
    </row>
    <row r="473" ht="15.75" customHeight="1">
      <c r="J473" s="5"/>
      <c r="N473" s="7"/>
    </row>
    <row r="474" ht="15.75" customHeight="1">
      <c r="J474" s="5"/>
      <c r="N474" s="7"/>
    </row>
    <row r="475" ht="15.75" customHeight="1">
      <c r="J475" s="5"/>
      <c r="N475" s="7"/>
    </row>
    <row r="476" ht="15.75" customHeight="1">
      <c r="J476" s="5"/>
      <c r="N476" s="7"/>
    </row>
    <row r="477" ht="15.75" customHeight="1">
      <c r="J477" s="5"/>
      <c r="N477" s="7"/>
    </row>
    <row r="478" ht="15.75" customHeight="1">
      <c r="J478" s="5"/>
      <c r="N478" s="7"/>
    </row>
    <row r="479" ht="15.75" customHeight="1">
      <c r="J479" s="5"/>
      <c r="N479" s="7"/>
    </row>
    <row r="480" ht="15.75" customHeight="1">
      <c r="J480" s="5"/>
      <c r="N480" s="7"/>
    </row>
    <row r="481" ht="15.75" customHeight="1">
      <c r="J481" s="5"/>
      <c r="N481" s="7"/>
    </row>
    <row r="482" ht="15.75" customHeight="1">
      <c r="J482" s="5"/>
      <c r="N482" s="7"/>
    </row>
    <row r="483" ht="15.75" customHeight="1">
      <c r="J483" s="5"/>
      <c r="N483" s="7"/>
    </row>
    <row r="484" ht="15.75" customHeight="1">
      <c r="J484" s="5"/>
      <c r="N484" s="7"/>
    </row>
    <row r="485" ht="15.75" customHeight="1">
      <c r="J485" s="5"/>
      <c r="N485" s="7"/>
    </row>
    <row r="486" ht="15.75" customHeight="1">
      <c r="J486" s="5"/>
      <c r="N486" s="7"/>
    </row>
    <row r="487" ht="15.75" customHeight="1">
      <c r="J487" s="5"/>
      <c r="N487" s="7"/>
    </row>
    <row r="488" ht="15.75" customHeight="1">
      <c r="J488" s="5"/>
      <c r="N488" s="7"/>
    </row>
    <row r="489" ht="15.75" customHeight="1">
      <c r="J489" s="5"/>
      <c r="N489" s="7"/>
    </row>
    <row r="490" ht="15.75" customHeight="1">
      <c r="J490" s="5"/>
      <c r="N490" s="7"/>
    </row>
    <row r="491" ht="15.75" customHeight="1">
      <c r="J491" s="5"/>
      <c r="N491" s="7"/>
    </row>
    <row r="492" ht="15.75" customHeight="1">
      <c r="J492" s="5"/>
      <c r="N492" s="7"/>
    </row>
    <row r="493" ht="15.75" customHeight="1">
      <c r="J493" s="5"/>
      <c r="N493" s="7"/>
    </row>
    <row r="494" ht="15.75" customHeight="1">
      <c r="J494" s="5"/>
      <c r="N494" s="7"/>
    </row>
    <row r="495" ht="15.75" customHeight="1">
      <c r="J495" s="5"/>
      <c r="N495" s="7"/>
    </row>
    <row r="496" ht="15.75" customHeight="1">
      <c r="J496" s="5"/>
      <c r="N496" s="7"/>
    </row>
    <row r="497" ht="15.75" customHeight="1">
      <c r="J497" s="5"/>
      <c r="N497" s="7"/>
    </row>
    <row r="498" ht="15.75" customHeight="1">
      <c r="J498" s="5"/>
      <c r="N498" s="7"/>
    </row>
    <row r="499" ht="15.75" customHeight="1">
      <c r="J499" s="5"/>
      <c r="N499" s="7"/>
    </row>
    <row r="500" ht="15.75" customHeight="1">
      <c r="J500" s="5"/>
      <c r="N500" s="7"/>
    </row>
    <row r="501" ht="15.75" customHeight="1">
      <c r="J501" s="5"/>
      <c r="N501" s="7"/>
    </row>
    <row r="502" ht="15.75" customHeight="1">
      <c r="J502" s="5"/>
      <c r="N502" s="7"/>
    </row>
    <row r="503" ht="15.75" customHeight="1">
      <c r="J503" s="5"/>
      <c r="N503" s="7"/>
    </row>
    <row r="504" ht="15.75" customHeight="1">
      <c r="J504" s="5"/>
      <c r="N504" s="7"/>
    </row>
    <row r="505" ht="15.75" customHeight="1">
      <c r="J505" s="5"/>
      <c r="N505" s="7"/>
    </row>
    <row r="506" ht="15.75" customHeight="1">
      <c r="J506" s="5"/>
      <c r="N506" s="7"/>
    </row>
    <row r="507" ht="15.75" customHeight="1">
      <c r="J507" s="5"/>
      <c r="N507" s="7"/>
    </row>
    <row r="508" ht="15.75" customHeight="1">
      <c r="J508" s="5"/>
      <c r="N508" s="7"/>
    </row>
    <row r="509" ht="15.75" customHeight="1">
      <c r="J509" s="5"/>
      <c r="N509" s="7"/>
    </row>
    <row r="510" ht="15.75" customHeight="1">
      <c r="J510" s="5"/>
      <c r="N510" s="7"/>
    </row>
    <row r="511" ht="15.75" customHeight="1">
      <c r="J511" s="5"/>
      <c r="N511" s="7"/>
    </row>
    <row r="512" ht="15.75" customHeight="1">
      <c r="J512" s="5"/>
      <c r="N512" s="7"/>
    </row>
    <row r="513" ht="15.75" customHeight="1">
      <c r="J513" s="5"/>
      <c r="N513" s="7"/>
    </row>
    <row r="514" ht="15.75" customHeight="1">
      <c r="J514" s="5"/>
      <c r="N514" s="7"/>
    </row>
    <row r="515" ht="15.75" customHeight="1">
      <c r="J515" s="5"/>
      <c r="N515" s="7"/>
    </row>
    <row r="516" ht="15.75" customHeight="1">
      <c r="J516" s="5"/>
      <c r="N516" s="7"/>
    </row>
    <row r="517" ht="15.75" customHeight="1">
      <c r="J517" s="5"/>
      <c r="N517" s="7"/>
    </row>
    <row r="518" ht="15.75" customHeight="1">
      <c r="J518" s="5"/>
      <c r="N518" s="7"/>
    </row>
    <row r="519" ht="15.75" customHeight="1">
      <c r="J519" s="5"/>
      <c r="N519" s="7"/>
    </row>
    <row r="520" ht="15.75" customHeight="1">
      <c r="J520" s="5"/>
      <c r="N520" s="7"/>
    </row>
    <row r="521" ht="15.75" customHeight="1">
      <c r="J521" s="5"/>
      <c r="N521" s="7"/>
    </row>
    <row r="522" ht="15.75" customHeight="1">
      <c r="J522" s="5"/>
      <c r="N522" s="7"/>
    </row>
    <row r="523" ht="15.75" customHeight="1">
      <c r="J523" s="5"/>
      <c r="N523" s="7"/>
    </row>
    <row r="524" ht="15.75" customHeight="1">
      <c r="J524" s="5"/>
      <c r="N524" s="7"/>
    </row>
    <row r="525" ht="15.75" customHeight="1">
      <c r="J525" s="5"/>
      <c r="N525" s="7"/>
    </row>
    <row r="526" ht="15.75" customHeight="1">
      <c r="J526" s="5"/>
      <c r="N526" s="7"/>
    </row>
    <row r="527" ht="15.75" customHeight="1">
      <c r="J527" s="5"/>
      <c r="N527" s="7"/>
    </row>
    <row r="528" ht="15.75" customHeight="1">
      <c r="J528" s="5"/>
      <c r="N528" s="7"/>
    </row>
    <row r="529" ht="15.75" customHeight="1">
      <c r="J529" s="5"/>
      <c r="N529" s="7"/>
    </row>
    <row r="530" ht="15.75" customHeight="1">
      <c r="J530" s="5"/>
      <c r="N530" s="7"/>
    </row>
    <row r="531" ht="15.75" customHeight="1">
      <c r="J531" s="5"/>
      <c r="N531" s="7"/>
    </row>
    <row r="532" ht="15.75" customHeight="1">
      <c r="J532" s="5"/>
      <c r="N532" s="7"/>
    </row>
    <row r="533" ht="15.75" customHeight="1">
      <c r="J533" s="5"/>
      <c r="N533" s="7"/>
    </row>
    <row r="534" ht="15.75" customHeight="1">
      <c r="J534" s="5"/>
      <c r="N534" s="7"/>
    </row>
    <row r="535" ht="15.75" customHeight="1">
      <c r="J535" s="5"/>
      <c r="N535" s="7"/>
    </row>
    <row r="536" ht="15.75" customHeight="1">
      <c r="J536" s="5"/>
      <c r="N536" s="7"/>
    </row>
    <row r="537" ht="15.75" customHeight="1">
      <c r="J537" s="5"/>
      <c r="N537" s="7"/>
    </row>
    <row r="538" ht="15.75" customHeight="1">
      <c r="J538" s="5"/>
      <c r="N538" s="7"/>
    </row>
    <row r="539" ht="15.75" customHeight="1">
      <c r="J539" s="5"/>
      <c r="N539" s="7"/>
    </row>
    <row r="540" ht="15.75" customHeight="1">
      <c r="J540" s="5"/>
      <c r="N540" s="7"/>
    </row>
    <row r="541" ht="15.75" customHeight="1">
      <c r="J541" s="5"/>
      <c r="N541" s="7"/>
    </row>
    <row r="542" ht="15.75" customHeight="1">
      <c r="J542" s="5"/>
      <c r="N542" s="7"/>
    </row>
    <row r="543" ht="15.75" customHeight="1">
      <c r="J543" s="5"/>
      <c r="N543" s="7"/>
    </row>
    <row r="544" ht="15.75" customHeight="1">
      <c r="J544" s="5"/>
      <c r="N544" s="7"/>
    </row>
    <row r="545" ht="15.75" customHeight="1">
      <c r="J545" s="5"/>
      <c r="N545" s="7"/>
    </row>
    <row r="546" ht="15.75" customHeight="1">
      <c r="J546" s="5"/>
      <c r="N546" s="7"/>
    </row>
    <row r="547" ht="15.75" customHeight="1">
      <c r="J547" s="5"/>
      <c r="N547" s="7"/>
    </row>
    <row r="548" ht="15.75" customHeight="1">
      <c r="J548" s="5"/>
      <c r="N548" s="7"/>
    </row>
    <row r="549" ht="15.75" customHeight="1">
      <c r="J549" s="5"/>
      <c r="N549" s="7"/>
    </row>
    <row r="550" ht="15.75" customHeight="1">
      <c r="J550" s="5"/>
      <c r="N550" s="7"/>
    </row>
    <row r="551" ht="15.75" customHeight="1">
      <c r="J551" s="5"/>
      <c r="N551" s="7"/>
    </row>
    <row r="552" ht="15.75" customHeight="1">
      <c r="J552" s="5"/>
      <c r="N552" s="7"/>
    </row>
    <row r="553" ht="15.75" customHeight="1">
      <c r="J553" s="5"/>
      <c r="N553" s="7"/>
    </row>
    <row r="554" ht="15.75" customHeight="1">
      <c r="J554" s="5"/>
      <c r="N554" s="7"/>
    </row>
    <row r="555" ht="15.75" customHeight="1">
      <c r="J555" s="5"/>
      <c r="N555" s="7"/>
    </row>
    <row r="556" ht="15.75" customHeight="1">
      <c r="J556" s="5"/>
      <c r="N556" s="7"/>
    </row>
    <row r="557" ht="15.75" customHeight="1">
      <c r="J557" s="5"/>
      <c r="N557" s="7"/>
    </row>
    <row r="558" ht="15.75" customHeight="1">
      <c r="J558" s="5"/>
      <c r="N558" s="7"/>
    </row>
    <row r="559" ht="15.75" customHeight="1">
      <c r="J559" s="5"/>
      <c r="N559" s="7"/>
    </row>
    <row r="560" ht="15.75" customHeight="1">
      <c r="J560" s="5"/>
      <c r="N560" s="7"/>
    </row>
    <row r="561" ht="15.75" customHeight="1">
      <c r="J561" s="5"/>
      <c r="N561" s="7"/>
    </row>
    <row r="562" ht="15.75" customHeight="1">
      <c r="J562" s="5"/>
      <c r="N562" s="7"/>
    </row>
    <row r="563" ht="15.75" customHeight="1">
      <c r="J563" s="5"/>
      <c r="N563" s="7"/>
    </row>
    <row r="564" ht="15.75" customHeight="1">
      <c r="J564" s="5"/>
      <c r="N564" s="7"/>
    </row>
    <row r="565" ht="15.75" customHeight="1">
      <c r="J565" s="5"/>
      <c r="N565" s="7"/>
    </row>
    <row r="566" ht="15.75" customHeight="1">
      <c r="J566" s="5"/>
      <c r="N566" s="7"/>
    </row>
    <row r="567" ht="15.75" customHeight="1">
      <c r="J567" s="5"/>
      <c r="N567" s="7"/>
    </row>
    <row r="568" ht="15.75" customHeight="1">
      <c r="J568" s="5"/>
      <c r="N568" s="7"/>
    </row>
    <row r="569" ht="15.75" customHeight="1">
      <c r="J569" s="5"/>
      <c r="N569" s="7"/>
    </row>
    <row r="570" ht="15.75" customHeight="1">
      <c r="J570" s="5"/>
      <c r="N570" s="7"/>
    </row>
    <row r="571" ht="15.75" customHeight="1">
      <c r="J571" s="5"/>
      <c r="N571" s="7"/>
    </row>
    <row r="572" ht="15.75" customHeight="1">
      <c r="J572" s="5"/>
      <c r="N572" s="7"/>
    </row>
    <row r="573" ht="15.75" customHeight="1">
      <c r="J573" s="5"/>
      <c r="N573" s="7"/>
    </row>
    <row r="574" ht="15.75" customHeight="1">
      <c r="J574" s="5"/>
      <c r="N574" s="7"/>
    </row>
    <row r="575" ht="15.75" customHeight="1">
      <c r="J575" s="5"/>
      <c r="N575" s="7"/>
    </row>
    <row r="576" ht="15.75" customHeight="1">
      <c r="J576" s="5"/>
      <c r="N576" s="7"/>
    </row>
    <row r="577" ht="15.75" customHeight="1">
      <c r="J577" s="5"/>
      <c r="N577" s="7"/>
    </row>
    <row r="578" ht="15.75" customHeight="1">
      <c r="J578" s="5"/>
      <c r="N578" s="7"/>
    </row>
    <row r="579" ht="15.75" customHeight="1">
      <c r="J579" s="5"/>
      <c r="N579" s="7"/>
    </row>
    <row r="580" ht="15.75" customHeight="1">
      <c r="J580" s="5"/>
      <c r="N580" s="7"/>
    </row>
    <row r="581" ht="15.75" customHeight="1">
      <c r="J581" s="5"/>
      <c r="N581" s="7"/>
    </row>
    <row r="582" ht="15.75" customHeight="1">
      <c r="J582" s="5"/>
      <c r="N582" s="7"/>
    </row>
    <row r="583" ht="15.75" customHeight="1">
      <c r="J583" s="5"/>
      <c r="N583" s="7"/>
    </row>
    <row r="584" ht="15.75" customHeight="1">
      <c r="J584" s="5"/>
      <c r="N584" s="7"/>
    </row>
    <row r="585" ht="15.75" customHeight="1">
      <c r="J585" s="5"/>
      <c r="N585" s="7"/>
    </row>
    <row r="586" ht="15.75" customHeight="1">
      <c r="J586" s="5"/>
      <c r="N586" s="7"/>
    </row>
    <row r="587" ht="15.75" customHeight="1">
      <c r="J587" s="5"/>
      <c r="N587" s="7"/>
    </row>
    <row r="588" ht="15.75" customHeight="1">
      <c r="J588" s="5"/>
      <c r="N588" s="7"/>
    </row>
    <row r="589" ht="15.75" customHeight="1">
      <c r="J589" s="5"/>
      <c r="N589" s="7"/>
    </row>
    <row r="590" ht="15.75" customHeight="1">
      <c r="J590" s="5"/>
      <c r="N590" s="7"/>
    </row>
    <row r="591" ht="15.75" customHeight="1">
      <c r="J591" s="5"/>
      <c r="N591" s="7"/>
    </row>
    <row r="592" ht="15.75" customHeight="1">
      <c r="J592" s="5"/>
      <c r="N592" s="7"/>
    </row>
    <row r="593" ht="15.75" customHeight="1">
      <c r="J593" s="5"/>
      <c r="N593" s="7"/>
    </row>
    <row r="594" ht="15.75" customHeight="1">
      <c r="J594" s="5"/>
      <c r="N594" s="7"/>
    </row>
    <row r="595" ht="15.75" customHeight="1">
      <c r="J595" s="5"/>
      <c r="N595" s="7"/>
    </row>
    <row r="596" ht="15.75" customHeight="1">
      <c r="J596" s="5"/>
      <c r="N596" s="7"/>
    </row>
    <row r="597" ht="15.75" customHeight="1">
      <c r="J597" s="5"/>
      <c r="N597" s="7"/>
    </row>
    <row r="598" ht="15.75" customHeight="1">
      <c r="J598" s="5"/>
      <c r="N598" s="7"/>
    </row>
    <row r="599" ht="15.75" customHeight="1">
      <c r="J599" s="5"/>
      <c r="N599" s="7"/>
    </row>
    <row r="600" ht="15.75" customHeight="1">
      <c r="J600" s="5"/>
      <c r="N600" s="7"/>
    </row>
    <row r="601" ht="15.75" customHeight="1">
      <c r="J601" s="5"/>
      <c r="N601" s="7"/>
    </row>
    <row r="602" ht="15.75" customHeight="1">
      <c r="J602" s="5"/>
      <c r="N602" s="7"/>
    </row>
    <row r="603" ht="15.75" customHeight="1">
      <c r="J603" s="5"/>
      <c r="N603" s="7"/>
    </row>
    <row r="604" ht="15.75" customHeight="1">
      <c r="J604" s="5"/>
      <c r="N604" s="7"/>
    </row>
    <row r="605" ht="15.75" customHeight="1">
      <c r="J605" s="5"/>
      <c r="N605" s="7"/>
    </row>
    <row r="606" ht="15.75" customHeight="1">
      <c r="J606" s="5"/>
      <c r="N606" s="7"/>
    </row>
    <row r="607" ht="15.75" customHeight="1">
      <c r="J607" s="5"/>
      <c r="N607" s="7"/>
    </row>
    <row r="608" ht="15.75" customHeight="1">
      <c r="J608" s="5"/>
      <c r="N608" s="7"/>
    </row>
    <row r="609" ht="15.75" customHeight="1">
      <c r="J609" s="5"/>
      <c r="N609" s="7"/>
    </row>
    <row r="610" ht="15.75" customHeight="1">
      <c r="J610" s="5"/>
      <c r="N610" s="7"/>
    </row>
    <row r="611" ht="15.75" customHeight="1">
      <c r="J611" s="5"/>
      <c r="N611" s="7"/>
    </row>
    <row r="612" ht="15.75" customHeight="1">
      <c r="J612" s="5"/>
      <c r="N612" s="7"/>
    </row>
    <row r="613" ht="15.75" customHeight="1">
      <c r="J613" s="5"/>
      <c r="N613" s="7"/>
    </row>
    <row r="614" ht="15.75" customHeight="1">
      <c r="J614" s="5"/>
      <c r="N614" s="7"/>
    </row>
    <row r="615" ht="15.75" customHeight="1">
      <c r="J615" s="5"/>
      <c r="N615" s="7"/>
    </row>
    <row r="616" ht="15.75" customHeight="1">
      <c r="J616" s="5"/>
      <c r="N616" s="7"/>
    </row>
    <row r="617" ht="15.75" customHeight="1">
      <c r="J617" s="5"/>
      <c r="N617" s="7"/>
    </row>
    <row r="618" ht="15.75" customHeight="1">
      <c r="J618" s="5"/>
      <c r="N618" s="7"/>
    </row>
    <row r="619" ht="15.75" customHeight="1">
      <c r="J619" s="5"/>
      <c r="N619" s="7"/>
    </row>
    <row r="620" ht="15.75" customHeight="1">
      <c r="J620" s="5"/>
      <c r="N620" s="7"/>
    </row>
    <row r="621" ht="15.75" customHeight="1">
      <c r="J621" s="5"/>
      <c r="N621" s="7"/>
    </row>
    <row r="622" ht="15.75" customHeight="1">
      <c r="J622" s="5"/>
      <c r="N622" s="7"/>
    </row>
    <row r="623" ht="15.75" customHeight="1">
      <c r="J623" s="5"/>
      <c r="N623" s="7"/>
    </row>
    <row r="624" ht="15.75" customHeight="1">
      <c r="J624" s="5"/>
      <c r="N624" s="7"/>
    </row>
    <row r="625" ht="15.75" customHeight="1">
      <c r="J625" s="5"/>
      <c r="N625" s="7"/>
    </row>
    <row r="626" ht="15.75" customHeight="1">
      <c r="J626" s="5"/>
      <c r="N626" s="7"/>
    </row>
    <row r="627" ht="15.75" customHeight="1">
      <c r="J627" s="5"/>
      <c r="N627" s="7"/>
    </row>
    <row r="628" ht="15.75" customHeight="1">
      <c r="J628" s="5"/>
      <c r="N628" s="7"/>
    </row>
    <row r="629" ht="15.75" customHeight="1">
      <c r="J629" s="5"/>
      <c r="N629" s="7"/>
    </row>
    <row r="630" ht="15.75" customHeight="1">
      <c r="J630" s="5"/>
      <c r="N630" s="7"/>
    </row>
    <row r="631" ht="15.75" customHeight="1">
      <c r="J631" s="5"/>
      <c r="N631" s="7"/>
    </row>
    <row r="632" ht="15.75" customHeight="1">
      <c r="J632" s="5"/>
      <c r="N632" s="7"/>
    </row>
    <row r="633" ht="15.75" customHeight="1">
      <c r="J633" s="5"/>
      <c r="N633" s="7"/>
    </row>
    <row r="634" ht="15.75" customHeight="1">
      <c r="J634" s="5"/>
      <c r="N634" s="7"/>
    </row>
    <row r="635" ht="15.75" customHeight="1">
      <c r="J635" s="5"/>
      <c r="N635" s="7"/>
    </row>
    <row r="636" ht="15.75" customHeight="1">
      <c r="J636" s="5"/>
      <c r="N636" s="7"/>
    </row>
    <row r="637" ht="15.75" customHeight="1">
      <c r="J637" s="5"/>
      <c r="N637" s="7"/>
    </row>
    <row r="638" ht="15.75" customHeight="1">
      <c r="J638" s="5"/>
      <c r="N638" s="7"/>
    </row>
    <row r="639" ht="15.75" customHeight="1">
      <c r="J639" s="5"/>
      <c r="N639" s="7"/>
    </row>
    <row r="640" ht="15.75" customHeight="1">
      <c r="J640" s="5"/>
      <c r="N640" s="7"/>
    </row>
    <row r="641" ht="15.75" customHeight="1">
      <c r="J641" s="5"/>
      <c r="N641" s="7"/>
    </row>
    <row r="642" ht="15.75" customHeight="1">
      <c r="J642" s="5"/>
      <c r="N642" s="7"/>
    </row>
    <row r="643" ht="15.75" customHeight="1">
      <c r="J643" s="5"/>
      <c r="N643" s="7"/>
    </row>
    <row r="644" ht="15.75" customHeight="1">
      <c r="J644" s="5"/>
      <c r="N644" s="7"/>
    </row>
    <row r="645" ht="15.75" customHeight="1">
      <c r="J645" s="5"/>
      <c r="N645" s="7"/>
    </row>
    <row r="646" ht="15.75" customHeight="1">
      <c r="J646" s="5"/>
      <c r="N646" s="7"/>
    </row>
    <row r="647" ht="15.75" customHeight="1">
      <c r="J647" s="5"/>
      <c r="N647" s="7"/>
    </row>
    <row r="648" ht="15.75" customHeight="1">
      <c r="J648" s="5"/>
      <c r="N648" s="7"/>
    </row>
    <row r="649" ht="15.75" customHeight="1">
      <c r="J649" s="5"/>
      <c r="N649" s="7"/>
    </row>
    <row r="650" ht="15.75" customHeight="1">
      <c r="J650" s="5"/>
      <c r="N650" s="7"/>
    </row>
    <row r="651" ht="15.75" customHeight="1">
      <c r="J651" s="5"/>
      <c r="N651" s="7"/>
    </row>
    <row r="652" ht="15.75" customHeight="1">
      <c r="J652" s="5"/>
      <c r="N652" s="7"/>
    </row>
    <row r="653" ht="15.75" customHeight="1">
      <c r="J653" s="5"/>
      <c r="N653" s="7"/>
    </row>
    <row r="654" ht="15.75" customHeight="1">
      <c r="J654" s="5"/>
      <c r="N654" s="7"/>
    </row>
    <row r="655" ht="15.75" customHeight="1">
      <c r="J655" s="5"/>
      <c r="N655" s="7"/>
    </row>
    <row r="656" ht="15.75" customHeight="1">
      <c r="J656" s="5"/>
      <c r="N656" s="7"/>
    </row>
    <row r="657" ht="15.75" customHeight="1">
      <c r="J657" s="5"/>
      <c r="N657" s="7"/>
    </row>
    <row r="658" ht="15.75" customHeight="1">
      <c r="J658" s="5"/>
      <c r="N658" s="7"/>
    </row>
    <row r="659" ht="15.75" customHeight="1">
      <c r="J659" s="5"/>
      <c r="N659" s="7"/>
    </row>
    <row r="660" ht="15.75" customHeight="1">
      <c r="J660" s="5"/>
      <c r="N660" s="7"/>
    </row>
    <row r="661" ht="15.75" customHeight="1">
      <c r="J661" s="5"/>
      <c r="N661" s="7"/>
    </row>
    <row r="662" ht="15.75" customHeight="1">
      <c r="J662" s="5"/>
      <c r="N662" s="7"/>
    </row>
    <row r="663" ht="15.75" customHeight="1">
      <c r="J663" s="5"/>
      <c r="N663" s="7"/>
    </row>
    <row r="664" ht="15.75" customHeight="1">
      <c r="J664" s="5"/>
      <c r="N664" s="7"/>
    </row>
    <row r="665" ht="15.75" customHeight="1">
      <c r="J665" s="5"/>
      <c r="N665" s="7"/>
    </row>
    <row r="666" ht="15.75" customHeight="1">
      <c r="J666" s="5"/>
      <c r="N666" s="7"/>
    </row>
    <row r="667" ht="15.75" customHeight="1">
      <c r="J667" s="5"/>
      <c r="N667" s="7"/>
    </row>
    <row r="668" ht="15.75" customHeight="1">
      <c r="J668" s="5"/>
      <c r="N668" s="7"/>
    </row>
    <row r="669" ht="15.75" customHeight="1">
      <c r="J669" s="5"/>
      <c r="N669" s="7"/>
    </row>
    <row r="670" ht="15.75" customHeight="1">
      <c r="J670" s="5"/>
      <c r="N670" s="7"/>
    </row>
    <row r="671" ht="15.75" customHeight="1">
      <c r="J671" s="5"/>
      <c r="N671" s="7"/>
    </row>
    <row r="672" ht="15.75" customHeight="1">
      <c r="J672" s="5"/>
      <c r="N672" s="7"/>
    </row>
    <row r="673" ht="15.75" customHeight="1">
      <c r="J673" s="5"/>
      <c r="N673" s="7"/>
    </row>
    <row r="674" ht="15.75" customHeight="1">
      <c r="J674" s="5"/>
      <c r="N674" s="7"/>
    </row>
    <row r="675" ht="15.75" customHeight="1">
      <c r="J675" s="5"/>
      <c r="N675" s="7"/>
    </row>
    <row r="676" ht="15.75" customHeight="1">
      <c r="J676" s="5"/>
      <c r="N676" s="7"/>
    </row>
    <row r="677" ht="15.75" customHeight="1">
      <c r="J677" s="5"/>
      <c r="N677" s="7"/>
    </row>
    <row r="678" ht="15.75" customHeight="1">
      <c r="J678" s="5"/>
      <c r="N678" s="7"/>
    </row>
    <row r="679" ht="15.75" customHeight="1">
      <c r="J679" s="5"/>
      <c r="N679" s="7"/>
    </row>
    <row r="680" ht="15.75" customHeight="1">
      <c r="J680" s="5"/>
      <c r="N680" s="7"/>
    </row>
    <row r="681" ht="15.75" customHeight="1">
      <c r="J681" s="5"/>
      <c r="N681" s="7"/>
    </row>
    <row r="682" ht="15.75" customHeight="1">
      <c r="J682" s="5"/>
      <c r="N682" s="7"/>
    </row>
    <row r="683" ht="15.75" customHeight="1">
      <c r="J683" s="5"/>
      <c r="N683" s="7"/>
    </row>
    <row r="684" ht="15.75" customHeight="1">
      <c r="J684" s="5"/>
      <c r="N684" s="7"/>
    </row>
    <row r="685" ht="15.75" customHeight="1">
      <c r="J685" s="5"/>
      <c r="N685" s="7"/>
    </row>
    <row r="686" ht="15.75" customHeight="1">
      <c r="J686" s="5"/>
      <c r="N686" s="7"/>
    </row>
    <row r="687" ht="15.75" customHeight="1">
      <c r="J687" s="5"/>
      <c r="N687" s="7"/>
    </row>
    <row r="688" ht="15.75" customHeight="1">
      <c r="J688" s="5"/>
      <c r="N688" s="7"/>
    </row>
    <row r="689" ht="15.75" customHeight="1">
      <c r="J689" s="5"/>
      <c r="N689" s="7"/>
    </row>
    <row r="690" ht="15.75" customHeight="1">
      <c r="J690" s="5"/>
      <c r="N690" s="7"/>
    </row>
    <row r="691" ht="15.75" customHeight="1">
      <c r="J691" s="5"/>
      <c r="N691" s="7"/>
    </row>
    <row r="692" ht="15.75" customHeight="1">
      <c r="J692" s="5"/>
      <c r="N692" s="7"/>
    </row>
    <row r="693" ht="15.75" customHeight="1">
      <c r="J693" s="5"/>
      <c r="N693" s="7"/>
    </row>
    <row r="694" ht="15.75" customHeight="1">
      <c r="J694" s="5"/>
      <c r="N694" s="7"/>
    </row>
    <row r="695" ht="15.75" customHeight="1">
      <c r="J695" s="5"/>
      <c r="N695" s="7"/>
    </row>
    <row r="696" ht="15.75" customHeight="1">
      <c r="J696" s="5"/>
      <c r="N696" s="7"/>
    </row>
    <row r="697" ht="15.75" customHeight="1">
      <c r="J697" s="5"/>
      <c r="N697" s="7"/>
    </row>
    <row r="698" ht="15.75" customHeight="1">
      <c r="J698" s="5"/>
      <c r="N698" s="7"/>
    </row>
    <row r="699" ht="15.75" customHeight="1">
      <c r="J699" s="5"/>
      <c r="N699" s="7"/>
    </row>
    <row r="700" ht="15.75" customHeight="1">
      <c r="J700" s="5"/>
      <c r="N700" s="7"/>
    </row>
    <row r="701" ht="15.75" customHeight="1">
      <c r="J701" s="5"/>
      <c r="N701" s="7"/>
    </row>
    <row r="702" ht="15.75" customHeight="1">
      <c r="J702" s="5"/>
      <c r="N702" s="7"/>
    </row>
    <row r="703" ht="15.75" customHeight="1">
      <c r="J703" s="5"/>
      <c r="N703" s="7"/>
    </row>
    <row r="704" ht="15.75" customHeight="1">
      <c r="J704" s="5"/>
      <c r="N704" s="7"/>
    </row>
    <row r="705" ht="15.75" customHeight="1">
      <c r="J705" s="5"/>
      <c r="N705" s="7"/>
    </row>
    <row r="706" ht="15.75" customHeight="1">
      <c r="J706" s="5"/>
      <c r="N706" s="7"/>
    </row>
    <row r="707" ht="15.75" customHeight="1">
      <c r="J707" s="5"/>
      <c r="N707" s="7"/>
    </row>
    <row r="708" ht="15.75" customHeight="1">
      <c r="J708" s="5"/>
      <c r="N708" s="7"/>
    </row>
    <row r="709" ht="15.75" customHeight="1">
      <c r="J709" s="5"/>
      <c r="N709" s="7"/>
    </row>
    <row r="710" ht="15.75" customHeight="1">
      <c r="J710" s="5"/>
      <c r="N710" s="7"/>
    </row>
    <row r="711" ht="15.75" customHeight="1">
      <c r="J711" s="5"/>
      <c r="N711" s="7"/>
    </row>
    <row r="712" ht="15.75" customHeight="1">
      <c r="J712" s="5"/>
      <c r="N712" s="7"/>
    </row>
    <row r="713" ht="15.75" customHeight="1">
      <c r="J713" s="5"/>
      <c r="N713" s="7"/>
    </row>
    <row r="714" ht="15.75" customHeight="1">
      <c r="J714" s="5"/>
      <c r="N714" s="7"/>
    </row>
    <row r="715" ht="15.75" customHeight="1">
      <c r="J715" s="5"/>
      <c r="N715" s="7"/>
    </row>
    <row r="716" ht="15.75" customHeight="1">
      <c r="J716" s="5"/>
      <c r="N716" s="7"/>
    </row>
    <row r="717" ht="15.75" customHeight="1">
      <c r="J717" s="5"/>
      <c r="N717" s="7"/>
    </row>
    <row r="718" ht="15.75" customHeight="1">
      <c r="J718" s="5"/>
      <c r="N718" s="7"/>
    </row>
    <row r="719" ht="15.75" customHeight="1">
      <c r="J719" s="5"/>
      <c r="N719" s="7"/>
    </row>
    <row r="720" ht="15.75" customHeight="1">
      <c r="J720" s="5"/>
      <c r="N720" s="7"/>
    </row>
    <row r="721" ht="15.75" customHeight="1">
      <c r="J721" s="5"/>
      <c r="N721" s="7"/>
    </row>
    <row r="722" ht="15.75" customHeight="1">
      <c r="J722" s="5"/>
      <c r="N722" s="7"/>
    </row>
    <row r="723" ht="15.75" customHeight="1">
      <c r="J723" s="5"/>
      <c r="N723" s="7"/>
    </row>
    <row r="724" ht="15.75" customHeight="1">
      <c r="J724" s="5"/>
      <c r="N724" s="7"/>
    </row>
    <row r="725" ht="15.75" customHeight="1">
      <c r="J725" s="5"/>
      <c r="N725" s="7"/>
    </row>
    <row r="726" ht="15.75" customHeight="1">
      <c r="J726" s="5"/>
      <c r="N726" s="7"/>
    </row>
    <row r="727" ht="15.75" customHeight="1">
      <c r="J727" s="5"/>
      <c r="N727" s="7"/>
    </row>
    <row r="728" ht="15.75" customHeight="1">
      <c r="J728" s="5"/>
      <c r="N728" s="7"/>
    </row>
    <row r="729" ht="15.75" customHeight="1">
      <c r="J729" s="5"/>
      <c r="N729" s="7"/>
    </row>
    <row r="730" ht="15.75" customHeight="1">
      <c r="J730" s="5"/>
      <c r="N730" s="7"/>
    </row>
    <row r="731" ht="15.75" customHeight="1">
      <c r="J731" s="5"/>
      <c r="N731" s="7"/>
    </row>
    <row r="732" ht="15.75" customHeight="1">
      <c r="J732" s="5"/>
      <c r="N732" s="7"/>
    </row>
    <row r="733" ht="15.75" customHeight="1">
      <c r="J733" s="5"/>
      <c r="N733" s="7"/>
    </row>
    <row r="734" ht="15.75" customHeight="1">
      <c r="J734" s="5"/>
      <c r="N734" s="7"/>
    </row>
    <row r="735" ht="15.75" customHeight="1">
      <c r="J735" s="5"/>
      <c r="N735" s="7"/>
    </row>
    <row r="736" ht="15.75" customHeight="1">
      <c r="J736" s="5"/>
      <c r="N736" s="7"/>
    </row>
    <row r="737" ht="15.75" customHeight="1">
      <c r="J737" s="5"/>
      <c r="N737" s="7"/>
    </row>
    <row r="738" ht="15.75" customHeight="1">
      <c r="J738" s="5"/>
      <c r="N738" s="7"/>
    </row>
    <row r="739" ht="15.75" customHeight="1">
      <c r="J739" s="5"/>
      <c r="N739" s="7"/>
    </row>
    <row r="740" ht="15.75" customHeight="1">
      <c r="J740" s="5"/>
      <c r="N740" s="7"/>
    </row>
    <row r="741" ht="15.75" customHeight="1">
      <c r="J741" s="5"/>
      <c r="N741" s="7"/>
    </row>
    <row r="742" ht="15.75" customHeight="1">
      <c r="J742" s="5"/>
      <c r="N742" s="7"/>
    </row>
    <row r="743" ht="15.75" customHeight="1">
      <c r="J743" s="5"/>
      <c r="N743" s="7"/>
    </row>
    <row r="744" ht="15.75" customHeight="1">
      <c r="J744" s="5"/>
      <c r="N744" s="7"/>
    </row>
    <row r="745" ht="15.75" customHeight="1">
      <c r="J745" s="5"/>
      <c r="N745" s="7"/>
    </row>
    <row r="746" ht="15.75" customHeight="1">
      <c r="J746" s="5"/>
      <c r="N746" s="7"/>
    </row>
    <row r="747" ht="15.75" customHeight="1">
      <c r="J747" s="5"/>
      <c r="N747" s="7"/>
    </row>
    <row r="748" ht="15.75" customHeight="1">
      <c r="J748" s="5"/>
      <c r="N748" s="7"/>
    </row>
    <row r="749" ht="15.75" customHeight="1">
      <c r="J749" s="5"/>
      <c r="N749" s="7"/>
    </row>
    <row r="750" ht="15.75" customHeight="1">
      <c r="J750" s="5"/>
      <c r="N750" s="7"/>
    </row>
    <row r="751" ht="15.75" customHeight="1">
      <c r="J751" s="5"/>
      <c r="N751" s="7"/>
    </row>
    <row r="752" ht="15.75" customHeight="1">
      <c r="J752" s="5"/>
      <c r="N752" s="7"/>
    </row>
    <row r="753" ht="15.75" customHeight="1">
      <c r="J753" s="5"/>
      <c r="N753" s="7"/>
    </row>
    <row r="754" ht="15.75" customHeight="1">
      <c r="J754" s="5"/>
      <c r="N754" s="7"/>
    </row>
    <row r="755" ht="15.75" customHeight="1">
      <c r="J755" s="5"/>
      <c r="N755" s="7"/>
    </row>
    <row r="756" ht="15.75" customHeight="1">
      <c r="J756" s="5"/>
      <c r="N756" s="7"/>
    </row>
    <row r="757" ht="15.75" customHeight="1">
      <c r="J757" s="5"/>
      <c r="N757" s="7"/>
    </row>
    <row r="758" ht="15.75" customHeight="1">
      <c r="J758" s="5"/>
      <c r="N758" s="7"/>
    </row>
    <row r="759" ht="15.75" customHeight="1">
      <c r="J759" s="5"/>
      <c r="N759" s="7"/>
    </row>
    <row r="760" ht="15.75" customHeight="1">
      <c r="J760" s="5"/>
      <c r="N760" s="7"/>
    </row>
    <row r="761" ht="15.75" customHeight="1">
      <c r="J761" s="5"/>
      <c r="N761" s="7"/>
    </row>
    <row r="762" ht="15.75" customHeight="1">
      <c r="J762" s="5"/>
      <c r="N762" s="7"/>
    </row>
    <row r="763" ht="15.75" customHeight="1">
      <c r="J763" s="5"/>
      <c r="N763" s="7"/>
    </row>
    <row r="764" ht="15.75" customHeight="1">
      <c r="J764" s="5"/>
      <c r="N764" s="7"/>
    </row>
    <row r="765" ht="15.75" customHeight="1">
      <c r="J765" s="5"/>
      <c r="N765" s="7"/>
    </row>
    <row r="766" ht="15.75" customHeight="1">
      <c r="J766" s="5"/>
      <c r="N766" s="7"/>
    </row>
    <row r="767" ht="15.75" customHeight="1">
      <c r="J767" s="5"/>
      <c r="N767" s="7"/>
    </row>
    <row r="768" ht="15.75" customHeight="1">
      <c r="J768" s="5"/>
      <c r="N768" s="7"/>
    </row>
    <row r="769" ht="15.75" customHeight="1">
      <c r="J769" s="5"/>
      <c r="N769" s="7"/>
    </row>
    <row r="770" ht="15.75" customHeight="1">
      <c r="J770" s="5"/>
      <c r="N770" s="7"/>
    </row>
    <row r="771" ht="15.75" customHeight="1">
      <c r="J771" s="5"/>
      <c r="N771" s="7"/>
    </row>
    <row r="772" ht="15.75" customHeight="1">
      <c r="J772" s="5"/>
      <c r="N772" s="7"/>
    </row>
    <row r="773" ht="15.75" customHeight="1">
      <c r="J773" s="5"/>
      <c r="N773" s="7"/>
    </row>
    <row r="774" ht="15.75" customHeight="1">
      <c r="J774" s="5"/>
      <c r="N774" s="7"/>
    </row>
    <row r="775" ht="15.75" customHeight="1">
      <c r="J775" s="5"/>
      <c r="N775" s="7"/>
    </row>
    <row r="776" ht="15.75" customHeight="1">
      <c r="J776" s="5"/>
      <c r="N776" s="7"/>
    </row>
    <row r="777" ht="15.75" customHeight="1">
      <c r="J777" s="5"/>
      <c r="N777" s="7"/>
    </row>
    <row r="778" ht="15.75" customHeight="1">
      <c r="J778" s="5"/>
      <c r="N778" s="7"/>
    </row>
    <row r="779" ht="15.75" customHeight="1">
      <c r="J779" s="5"/>
      <c r="N779" s="7"/>
    </row>
    <row r="780" ht="15.75" customHeight="1">
      <c r="J780" s="5"/>
      <c r="N780" s="7"/>
    </row>
    <row r="781" ht="15.75" customHeight="1">
      <c r="J781" s="5"/>
      <c r="N781" s="7"/>
    </row>
    <row r="782" ht="15.75" customHeight="1">
      <c r="J782" s="5"/>
      <c r="N782" s="7"/>
    </row>
    <row r="783" ht="15.75" customHeight="1">
      <c r="J783" s="5"/>
      <c r="N783" s="7"/>
    </row>
    <row r="784" ht="15.75" customHeight="1">
      <c r="J784" s="5"/>
      <c r="N784" s="7"/>
    </row>
    <row r="785" ht="15.75" customHeight="1">
      <c r="J785" s="5"/>
      <c r="N785" s="7"/>
    </row>
    <row r="786" ht="15.75" customHeight="1">
      <c r="J786" s="5"/>
      <c r="N786" s="7"/>
    </row>
    <row r="787" ht="15.75" customHeight="1">
      <c r="J787" s="5"/>
      <c r="N787" s="7"/>
    </row>
    <row r="788" ht="15.75" customHeight="1">
      <c r="J788" s="5"/>
      <c r="N788" s="7"/>
    </row>
    <row r="789" ht="15.75" customHeight="1">
      <c r="J789" s="5"/>
      <c r="N789" s="7"/>
    </row>
    <row r="790" ht="15.75" customHeight="1">
      <c r="J790" s="5"/>
      <c r="N790" s="7"/>
    </row>
    <row r="791" ht="15.75" customHeight="1">
      <c r="J791" s="5"/>
      <c r="N791" s="7"/>
    </row>
    <row r="792" ht="15.75" customHeight="1">
      <c r="J792" s="5"/>
      <c r="N792" s="7"/>
    </row>
    <row r="793" ht="15.75" customHeight="1">
      <c r="J793" s="5"/>
      <c r="N793" s="7"/>
    </row>
    <row r="794" ht="15.75" customHeight="1">
      <c r="J794" s="5"/>
      <c r="N794" s="7"/>
    </row>
    <row r="795" ht="15.75" customHeight="1">
      <c r="J795" s="5"/>
      <c r="N795" s="7"/>
    </row>
    <row r="796" ht="15.75" customHeight="1">
      <c r="J796" s="5"/>
      <c r="N796" s="7"/>
    </row>
    <row r="797" ht="15.75" customHeight="1">
      <c r="J797" s="5"/>
      <c r="N797" s="7"/>
    </row>
    <row r="798" ht="15.75" customHeight="1">
      <c r="J798" s="5"/>
      <c r="N798" s="7"/>
    </row>
    <row r="799" ht="15.75" customHeight="1">
      <c r="J799" s="5"/>
      <c r="N799" s="7"/>
    </row>
    <row r="800" ht="15.75" customHeight="1">
      <c r="J800" s="5"/>
      <c r="N800" s="7"/>
    </row>
    <row r="801" ht="15.75" customHeight="1">
      <c r="J801" s="5"/>
      <c r="N801" s="7"/>
    </row>
    <row r="802" ht="15.75" customHeight="1">
      <c r="J802" s="5"/>
      <c r="N802" s="7"/>
    </row>
    <row r="803" ht="15.75" customHeight="1">
      <c r="J803" s="5"/>
      <c r="N803" s="7"/>
    </row>
    <row r="804" ht="15.75" customHeight="1">
      <c r="J804" s="5"/>
      <c r="N804" s="7"/>
    </row>
    <row r="805" ht="15.75" customHeight="1">
      <c r="J805" s="5"/>
      <c r="N805" s="7"/>
    </row>
    <row r="806" ht="15.75" customHeight="1">
      <c r="J806" s="5"/>
      <c r="N806" s="7"/>
    </row>
    <row r="807" ht="15.75" customHeight="1">
      <c r="J807" s="5"/>
      <c r="N807" s="7"/>
    </row>
    <row r="808" ht="15.75" customHeight="1">
      <c r="J808" s="5"/>
      <c r="N808" s="7"/>
    </row>
    <row r="809" ht="15.75" customHeight="1">
      <c r="J809" s="5"/>
      <c r="N809" s="7"/>
    </row>
    <row r="810" ht="15.75" customHeight="1">
      <c r="J810" s="5"/>
      <c r="N810" s="7"/>
    </row>
    <row r="811" ht="15.75" customHeight="1">
      <c r="J811" s="5"/>
      <c r="N811" s="7"/>
    </row>
    <row r="812" ht="15.75" customHeight="1">
      <c r="J812" s="5"/>
      <c r="N812" s="7"/>
    </row>
    <row r="813" ht="15.75" customHeight="1">
      <c r="J813" s="5"/>
      <c r="N813" s="7"/>
    </row>
    <row r="814" ht="15.75" customHeight="1">
      <c r="J814" s="5"/>
      <c r="N814" s="7"/>
    </row>
    <row r="815" ht="15.75" customHeight="1">
      <c r="J815" s="5"/>
      <c r="N815" s="7"/>
    </row>
    <row r="816" ht="15.75" customHeight="1">
      <c r="J816" s="5"/>
      <c r="N816" s="7"/>
    </row>
    <row r="817" ht="15.75" customHeight="1">
      <c r="J817" s="5"/>
      <c r="N817" s="7"/>
    </row>
    <row r="818" ht="15.75" customHeight="1">
      <c r="J818" s="5"/>
      <c r="N818" s="7"/>
    </row>
    <row r="819" ht="15.75" customHeight="1">
      <c r="J819" s="5"/>
      <c r="N819" s="7"/>
    </row>
    <row r="820" ht="15.75" customHeight="1">
      <c r="J820" s="5"/>
      <c r="N820" s="7"/>
    </row>
    <row r="821" ht="15.75" customHeight="1">
      <c r="J821" s="5"/>
      <c r="N821" s="7"/>
    </row>
    <row r="822" ht="15.75" customHeight="1">
      <c r="J822" s="5"/>
      <c r="N822" s="7"/>
    </row>
    <row r="823" ht="15.75" customHeight="1">
      <c r="J823" s="5"/>
      <c r="N823" s="7"/>
    </row>
    <row r="824" ht="15.75" customHeight="1">
      <c r="J824" s="5"/>
      <c r="N824" s="7"/>
    </row>
    <row r="825" ht="15.75" customHeight="1">
      <c r="J825" s="5"/>
      <c r="N825" s="7"/>
    </row>
    <row r="826" ht="15.75" customHeight="1">
      <c r="J826" s="5"/>
      <c r="N826" s="7"/>
    </row>
    <row r="827" ht="15.75" customHeight="1">
      <c r="J827" s="5"/>
      <c r="N827" s="7"/>
    </row>
    <row r="828" ht="15.75" customHeight="1">
      <c r="J828" s="5"/>
      <c r="N828" s="7"/>
    </row>
    <row r="829" ht="15.75" customHeight="1">
      <c r="J829" s="5"/>
      <c r="N829" s="7"/>
    </row>
    <row r="830" ht="15.75" customHeight="1">
      <c r="J830" s="5"/>
      <c r="N830" s="7"/>
    </row>
    <row r="831" ht="15.75" customHeight="1">
      <c r="J831" s="5"/>
      <c r="N831" s="7"/>
    </row>
    <row r="832" ht="15.75" customHeight="1">
      <c r="J832" s="5"/>
      <c r="N832" s="7"/>
    </row>
    <row r="833" ht="15.75" customHeight="1">
      <c r="J833" s="5"/>
      <c r="N833" s="7"/>
    </row>
    <row r="834" ht="15.75" customHeight="1">
      <c r="J834" s="5"/>
      <c r="N834" s="7"/>
    </row>
    <row r="835" ht="15.75" customHeight="1">
      <c r="J835" s="5"/>
      <c r="N835" s="7"/>
    </row>
    <row r="836" ht="15.75" customHeight="1">
      <c r="J836" s="5"/>
      <c r="N836" s="7"/>
    </row>
    <row r="837" ht="15.75" customHeight="1">
      <c r="J837" s="5"/>
      <c r="N837" s="7"/>
    </row>
    <row r="838" ht="15.75" customHeight="1">
      <c r="J838" s="5"/>
      <c r="N838" s="7"/>
    </row>
    <row r="839" ht="15.75" customHeight="1">
      <c r="J839" s="5"/>
      <c r="N839" s="7"/>
    </row>
    <row r="840" ht="15.75" customHeight="1">
      <c r="J840" s="5"/>
      <c r="N840" s="7"/>
    </row>
    <row r="841" ht="15.75" customHeight="1">
      <c r="J841" s="5"/>
      <c r="N841" s="7"/>
    </row>
    <row r="842" ht="15.75" customHeight="1">
      <c r="J842" s="5"/>
      <c r="N842" s="7"/>
    </row>
    <row r="843" ht="15.75" customHeight="1">
      <c r="J843" s="5"/>
      <c r="N843" s="7"/>
    </row>
    <row r="844" ht="15.75" customHeight="1">
      <c r="J844" s="5"/>
      <c r="N844" s="7"/>
    </row>
    <row r="845" ht="15.75" customHeight="1">
      <c r="J845" s="5"/>
      <c r="N845" s="7"/>
    </row>
    <row r="846" ht="15.75" customHeight="1">
      <c r="J846" s="5"/>
      <c r="N846" s="7"/>
    </row>
    <row r="847" ht="15.75" customHeight="1">
      <c r="J847" s="5"/>
      <c r="N847" s="7"/>
    </row>
    <row r="848" ht="15.75" customHeight="1">
      <c r="J848" s="5"/>
      <c r="N848" s="7"/>
    </row>
    <row r="849" ht="15.75" customHeight="1">
      <c r="J849" s="5"/>
      <c r="N849" s="7"/>
    </row>
    <row r="850" ht="15.75" customHeight="1">
      <c r="J850" s="5"/>
      <c r="N850" s="7"/>
    </row>
    <row r="851" ht="15.75" customHeight="1">
      <c r="J851" s="5"/>
      <c r="N851" s="7"/>
    </row>
    <row r="852" ht="15.75" customHeight="1">
      <c r="J852" s="5"/>
      <c r="N852" s="7"/>
    </row>
    <row r="853" ht="15.75" customHeight="1">
      <c r="J853" s="5"/>
      <c r="N853" s="7"/>
    </row>
    <row r="854" ht="15.75" customHeight="1">
      <c r="J854" s="5"/>
      <c r="N854" s="7"/>
    </row>
    <row r="855" ht="15.75" customHeight="1">
      <c r="J855" s="5"/>
      <c r="N855" s="7"/>
    </row>
    <row r="856" ht="15.75" customHeight="1">
      <c r="J856" s="5"/>
      <c r="N856" s="7"/>
    </row>
    <row r="857" ht="15.75" customHeight="1">
      <c r="J857" s="5"/>
      <c r="N857" s="7"/>
    </row>
    <row r="858" ht="15.75" customHeight="1">
      <c r="J858" s="5"/>
      <c r="N858" s="7"/>
    </row>
    <row r="859" ht="15.75" customHeight="1">
      <c r="J859" s="5"/>
      <c r="N859" s="7"/>
    </row>
    <row r="860" ht="15.75" customHeight="1">
      <c r="J860" s="5"/>
      <c r="N860" s="7"/>
    </row>
    <row r="861" ht="15.75" customHeight="1">
      <c r="J861" s="5"/>
      <c r="N861" s="7"/>
    </row>
    <row r="862" ht="15.75" customHeight="1">
      <c r="J862" s="5"/>
      <c r="N862" s="7"/>
    </row>
    <row r="863" ht="15.75" customHeight="1">
      <c r="J863" s="5"/>
      <c r="N863" s="7"/>
    </row>
    <row r="864" ht="15.75" customHeight="1">
      <c r="J864" s="5"/>
      <c r="N864" s="7"/>
    </row>
    <row r="865" ht="15.75" customHeight="1">
      <c r="J865" s="5"/>
      <c r="N865" s="7"/>
    </row>
    <row r="866" ht="15.75" customHeight="1">
      <c r="J866" s="5"/>
      <c r="N866" s="7"/>
    </row>
    <row r="867" ht="15.75" customHeight="1">
      <c r="J867" s="5"/>
      <c r="N867" s="7"/>
    </row>
    <row r="868" ht="15.75" customHeight="1">
      <c r="J868" s="5"/>
      <c r="N868" s="7"/>
    </row>
    <row r="869" ht="15.75" customHeight="1">
      <c r="J869" s="5"/>
      <c r="N869" s="7"/>
    </row>
    <row r="870" ht="15.75" customHeight="1">
      <c r="J870" s="5"/>
      <c r="N870" s="7"/>
    </row>
    <row r="871" ht="15.75" customHeight="1">
      <c r="J871" s="5"/>
      <c r="N871" s="7"/>
    </row>
    <row r="872" ht="15.75" customHeight="1">
      <c r="J872" s="5"/>
      <c r="N872" s="7"/>
    </row>
    <row r="873" ht="15.75" customHeight="1">
      <c r="J873" s="5"/>
      <c r="N873" s="7"/>
    </row>
    <row r="874" ht="15.75" customHeight="1">
      <c r="J874" s="5"/>
      <c r="N874" s="7"/>
    </row>
    <row r="875" ht="15.75" customHeight="1">
      <c r="J875" s="5"/>
      <c r="N875" s="7"/>
    </row>
    <row r="876" ht="15.75" customHeight="1">
      <c r="J876" s="5"/>
      <c r="N876" s="7"/>
    </row>
    <row r="877" ht="15.75" customHeight="1">
      <c r="J877" s="5"/>
      <c r="N877" s="7"/>
    </row>
    <row r="878" ht="15.75" customHeight="1">
      <c r="J878" s="5"/>
      <c r="N878" s="7"/>
    </row>
    <row r="879" ht="15.75" customHeight="1">
      <c r="J879" s="5"/>
      <c r="N879" s="7"/>
    </row>
    <row r="880" ht="15.75" customHeight="1">
      <c r="J880" s="5"/>
      <c r="N880" s="7"/>
    </row>
    <row r="881" ht="15.75" customHeight="1">
      <c r="J881" s="5"/>
      <c r="N881" s="7"/>
    </row>
    <row r="882" ht="15.75" customHeight="1">
      <c r="J882" s="5"/>
      <c r="N882" s="7"/>
    </row>
    <row r="883" ht="15.75" customHeight="1">
      <c r="J883" s="5"/>
      <c r="N883" s="7"/>
    </row>
    <row r="884" ht="15.75" customHeight="1">
      <c r="J884" s="5"/>
      <c r="N884" s="7"/>
    </row>
    <row r="885" ht="15.75" customHeight="1">
      <c r="J885" s="5"/>
      <c r="N885" s="7"/>
    </row>
    <row r="886" ht="15.75" customHeight="1">
      <c r="J886" s="5"/>
      <c r="N886" s="7"/>
    </row>
    <row r="887" ht="15.75" customHeight="1">
      <c r="J887" s="5"/>
      <c r="N887" s="7"/>
    </row>
    <row r="888" ht="15.75" customHeight="1">
      <c r="J888" s="5"/>
      <c r="N888" s="7"/>
    </row>
    <row r="889" ht="15.75" customHeight="1">
      <c r="J889" s="5"/>
      <c r="N889" s="7"/>
    </row>
    <row r="890" ht="15.75" customHeight="1">
      <c r="J890" s="5"/>
      <c r="N890" s="7"/>
    </row>
    <row r="891" ht="15.75" customHeight="1">
      <c r="J891" s="5"/>
      <c r="N891" s="7"/>
    </row>
    <row r="892" ht="15.75" customHeight="1">
      <c r="J892" s="5"/>
      <c r="N892" s="7"/>
    </row>
    <row r="893" ht="15.75" customHeight="1">
      <c r="J893" s="5"/>
      <c r="N893" s="7"/>
    </row>
    <row r="894" ht="15.75" customHeight="1">
      <c r="J894" s="5"/>
      <c r="N894" s="7"/>
    </row>
    <row r="895" ht="15.75" customHeight="1">
      <c r="J895" s="5"/>
      <c r="N895" s="7"/>
    </row>
    <row r="896" ht="15.75" customHeight="1">
      <c r="J896" s="5"/>
      <c r="N896" s="7"/>
    </row>
    <row r="897" ht="15.75" customHeight="1">
      <c r="J897" s="5"/>
      <c r="N897" s="7"/>
    </row>
    <row r="898" ht="15.75" customHeight="1">
      <c r="J898" s="5"/>
      <c r="N898" s="7"/>
    </row>
    <row r="899" ht="15.75" customHeight="1">
      <c r="J899" s="5"/>
      <c r="N899" s="7"/>
    </row>
    <row r="900" ht="15.75" customHeight="1">
      <c r="J900" s="5"/>
      <c r="N900" s="7"/>
    </row>
    <row r="901" ht="15.75" customHeight="1">
      <c r="J901" s="5"/>
      <c r="N901" s="7"/>
    </row>
    <row r="902" ht="15.75" customHeight="1">
      <c r="J902" s="5"/>
      <c r="N902" s="7"/>
    </row>
    <row r="903" ht="15.75" customHeight="1">
      <c r="J903" s="5"/>
      <c r="N903" s="7"/>
    </row>
    <row r="904" ht="15.75" customHeight="1">
      <c r="J904" s="5"/>
      <c r="N904" s="7"/>
    </row>
    <row r="905" ht="15.75" customHeight="1">
      <c r="J905" s="5"/>
      <c r="N905" s="7"/>
    </row>
    <row r="906" ht="15.75" customHeight="1">
      <c r="J906" s="5"/>
      <c r="N906" s="7"/>
    </row>
    <row r="907" ht="15.75" customHeight="1">
      <c r="J907" s="5"/>
      <c r="N907" s="7"/>
    </row>
    <row r="908" ht="15.75" customHeight="1">
      <c r="J908" s="5"/>
      <c r="N908" s="7"/>
    </row>
    <row r="909" ht="15.75" customHeight="1">
      <c r="J909" s="5"/>
      <c r="N909" s="7"/>
    </row>
    <row r="910" ht="15.75" customHeight="1">
      <c r="J910" s="5"/>
      <c r="N910" s="7"/>
    </row>
    <row r="911" ht="15.75" customHeight="1">
      <c r="J911" s="5"/>
      <c r="N911" s="7"/>
    </row>
    <row r="912" ht="15.75" customHeight="1">
      <c r="J912" s="5"/>
      <c r="N912" s="7"/>
    </row>
    <row r="913" ht="15.75" customHeight="1">
      <c r="J913" s="5"/>
      <c r="N913" s="7"/>
    </row>
    <row r="914" ht="15.75" customHeight="1">
      <c r="J914" s="5"/>
      <c r="N914" s="7"/>
    </row>
    <row r="915" ht="15.75" customHeight="1">
      <c r="J915" s="5"/>
      <c r="N915" s="7"/>
    </row>
    <row r="916" ht="15.75" customHeight="1">
      <c r="J916" s="5"/>
      <c r="N916" s="7"/>
    </row>
    <row r="917" ht="15.75" customHeight="1">
      <c r="J917" s="5"/>
      <c r="N917" s="7"/>
    </row>
    <row r="918" ht="15.75" customHeight="1">
      <c r="J918" s="5"/>
      <c r="N918" s="7"/>
    </row>
    <row r="919" ht="15.75" customHeight="1">
      <c r="J919" s="5"/>
      <c r="N919" s="7"/>
    </row>
    <row r="920" ht="15.75" customHeight="1">
      <c r="J920" s="5"/>
      <c r="N920" s="7"/>
    </row>
    <row r="921" ht="15.75" customHeight="1">
      <c r="J921" s="5"/>
      <c r="N921" s="7"/>
    </row>
    <row r="922" ht="15.75" customHeight="1">
      <c r="J922" s="5"/>
      <c r="N922" s="7"/>
    </row>
    <row r="923" ht="15.75" customHeight="1">
      <c r="J923" s="5"/>
      <c r="N923" s="7"/>
    </row>
    <row r="924" ht="15.75" customHeight="1">
      <c r="J924" s="5"/>
      <c r="N924" s="7"/>
    </row>
    <row r="925" ht="15.75" customHeight="1">
      <c r="J925" s="5"/>
      <c r="N925" s="7"/>
    </row>
    <row r="926" ht="15.75" customHeight="1">
      <c r="J926" s="5"/>
      <c r="N926" s="7"/>
    </row>
    <row r="927" ht="15.75" customHeight="1">
      <c r="J927" s="5"/>
      <c r="N927" s="7"/>
    </row>
    <row r="928" ht="15.75" customHeight="1">
      <c r="J928" s="5"/>
      <c r="N928" s="7"/>
    </row>
    <row r="929" ht="15.75" customHeight="1">
      <c r="J929" s="5"/>
      <c r="N929" s="7"/>
    </row>
    <row r="930" ht="15.75" customHeight="1">
      <c r="J930" s="5"/>
      <c r="N930" s="7"/>
    </row>
    <row r="931" ht="15.75" customHeight="1">
      <c r="J931" s="5"/>
      <c r="N931" s="7"/>
    </row>
    <row r="932" ht="15.75" customHeight="1">
      <c r="J932" s="5"/>
      <c r="N932" s="7"/>
    </row>
    <row r="933" ht="15.75" customHeight="1">
      <c r="J933" s="5"/>
      <c r="N933" s="7"/>
    </row>
    <row r="934" ht="15.75" customHeight="1">
      <c r="J934" s="5"/>
      <c r="N934" s="7"/>
    </row>
    <row r="935" ht="15.75" customHeight="1">
      <c r="J935" s="5"/>
      <c r="N935" s="7"/>
    </row>
    <row r="936" ht="15.75" customHeight="1">
      <c r="J936" s="5"/>
      <c r="N936" s="7"/>
    </row>
    <row r="937" ht="15.75" customHeight="1">
      <c r="J937" s="5"/>
      <c r="N937" s="7"/>
    </row>
    <row r="938" ht="15.75" customHeight="1">
      <c r="J938" s="5"/>
      <c r="N938" s="7"/>
    </row>
    <row r="939" ht="15.75" customHeight="1">
      <c r="J939" s="5"/>
      <c r="N939" s="7"/>
    </row>
    <row r="940" ht="15.75" customHeight="1">
      <c r="J940" s="5"/>
      <c r="N940" s="7"/>
    </row>
    <row r="941" ht="15.75" customHeight="1">
      <c r="J941" s="5"/>
      <c r="N941" s="7"/>
    </row>
    <row r="942" ht="15.75" customHeight="1">
      <c r="J942" s="5"/>
      <c r="N942" s="7"/>
    </row>
    <row r="943" ht="15.75" customHeight="1">
      <c r="J943" s="5"/>
      <c r="N943" s="7"/>
    </row>
    <row r="944" ht="15.75" customHeight="1">
      <c r="J944" s="5"/>
      <c r="N944" s="7"/>
    </row>
    <row r="945" ht="15.75" customHeight="1">
      <c r="J945" s="5"/>
      <c r="N945" s="7"/>
    </row>
    <row r="946" ht="15.75" customHeight="1">
      <c r="J946" s="5"/>
      <c r="N946" s="7"/>
    </row>
    <row r="947" ht="15.75" customHeight="1">
      <c r="J947" s="5"/>
      <c r="N947" s="7"/>
    </row>
    <row r="948" ht="15.75" customHeight="1">
      <c r="J948" s="5"/>
      <c r="N948" s="7"/>
    </row>
    <row r="949" ht="15.75" customHeight="1">
      <c r="J949" s="5"/>
      <c r="N949" s="7"/>
    </row>
    <row r="950" ht="15.75" customHeight="1">
      <c r="J950" s="5"/>
      <c r="N950" s="7"/>
    </row>
    <row r="951" ht="15.75" customHeight="1">
      <c r="J951" s="5"/>
      <c r="N951" s="7"/>
    </row>
    <row r="952" ht="15.75" customHeight="1">
      <c r="J952" s="5"/>
      <c r="N952" s="7"/>
    </row>
    <row r="953" ht="15.75" customHeight="1">
      <c r="J953" s="5"/>
      <c r="N953" s="7"/>
    </row>
    <row r="954" ht="15.75" customHeight="1">
      <c r="J954" s="5"/>
      <c r="N954" s="7"/>
    </row>
    <row r="955" ht="15.75" customHeight="1">
      <c r="J955" s="5"/>
      <c r="N955" s="7"/>
    </row>
    <row r="956" ht="15.75" customHeight="1">
      <c r="J956" s="5"/>
      <c r="N956" s="7"/>
    </row>
    <row r="957" ht="15.75" customHeight="1">
      <c r="J957" s="5"/>
      <c r="N957" s="7"/>
    </row>
    <row r="958" ht="15.75" customHeight="1">
      <c r="J958" s="5"/>
      <c r="N958" s="7"/>
    </row>
    <row r="959" ht="15.75" customHeight="1">
      <c r="J959" s="5"/>
      <c r="N959" s="7"/>
    </row>
    <row r="960" ht="15.75" customHeight="1">
      <c r="J960" s="5"/>
      <c r="N960" s="7"/>
    </row>
    <row r="961" ht="15.75" customHeight="1">
      <c r="J961" s="5"/>
      <c r="N961" s="7"/>
    </row>
    <row r="962" ht="15.75" customHeight="1">
      <c r="J962" s="5"/>
      <c r="N962" s="7"/>
    </row>
    <row r="963" ht="15.75" customHeight="1">
      <c r="J963" s="5"/>
      <c r="N963" s="7"/>
    </row>
    <row r="964" ht="15.75" customHeight="1">
      <c r="J964" s="5"/>
      <c r="N964" s="7"/>
    </row>
    <row r="965" ht="15.75" customHeight="1">
      <c r="J965" s="5"/>
      <c r="N965" s="7"/>
    </row>
    <row r="966" ht="15.75" customHeight="1">
      <c r="J966" s="5"/>
      <c r="N966" s="7"/>
    </row>
    <row r="967" ht="15.75" customHeight="1">
      <c r="J967" s="5"/>
      <c r="N967" s="7"/>
    </row>
    <row r="968" ht="15.75" customHeight="1">
      <c r="J968" s="5"/>
      <c r="N968" s="7"/>
    </row>
    <row r="969" ht="15.75" customHeight="1">
      <c r="J969" s="5"/>
      <c r="N969" s="7"/>
    </row>
    <row r="970" ht="15.75" customHeight="1">
      <c r="J970" s="5"/>
      <c r="N970" s="7"/>
    </row>
    <row r="971" ht="15.75" customHeight="1">
      <c r="J971" s="5"/>
      <c r="N971" s="7"/>
    </row>
    <row r="972" ht="15.75" customHeight="1">
      <c r="J972" s="5"/>
      <c r="N972" s="7"/>
    </row>
    <row r="973" ht="15.75" customHeight="1">
      <c r="J973" s="5"/>
      <c r="N973" s="7"/>
    </row>
    <row r="974" ht="15.75" customHeight="1">
      <c r="J974" s="5"/>
      <c r="N974" s="7"/>
    </row>
    <row r="975" ht="15.75" customHeight="1">
      <c r="J975" s="5"/>
      <c r="N975" s="7"/>
    </row>
    <row r="976" ht="15.75" customHeight="1">
      <c r="J976" s="5"/>
      <c r="N976" s="7"/>
    </row>
    <row r="977" ht="15.75" customHeight="1">
      <c r="J977" s="5"/>
      <c r="N977" s="7"/>
    </row>
    <row r="978" ht="15.75" customHeight="1">
      <c r="J978" s="5"/>
      <c r="N978" s="7"/>
    </row>
    <row r="979" ht="15.75" customHeight="1">
      <c r="J979" s="5"/>
      <c r="N979" s="7"/>
    </row>
    <row r="980" ht="15.75" customHeight="1">
      <c r="J980" s="5"/>
      <c r="N980" s="7"/>
    </row>
    <row r="981" ht="15.75" customHeight="1">
      <c r="J981" s="5"/>
      <c r="N981" s="7"/>
    </row>
    <row r="982" ht="15.75" customHeight="1">
      <c r="J982" s="5"/>
      <c r="N982" s="7"/>
    </row>
    <row r="983" ht="15.75" customHeight="1">
      <c r="J983" s="5"/>
      <c r="N983" s="7"/>
    </row>
    <row r="984" ht="15.75" customHeight="1">
      <c r="J984" s="5"/>
      <c r="N984" s="7"/>
    </row>
    <row r="985" ht="15.75" customHeight="1">
      <c r="J985" s="5"/>
      <c r="N985" s="7"/>
    </row>
    <row r="986" ht="15.75" customHeight="1">
      <c r="J986" s="5"/>
      <c r="N986" s="7"/>
    </row>
    <row r="987" ht="15.75" customHeight="1">
      <c r="J987" s="5"/>
      <c r="N987" s="7"/>
    </row>
    <row r="988" ht="15.75" customHeight="1">
      <c r="J988" s="5"/>
      <c r="N988" s="7"/>
    </row>
    <row r="989" ht="15.75" customHeight="1">
      <c r="J989" s="5"/>
      <c r="N989" s="7"/>
    </row>
    <row r="990" ht="15.75" customHeight="1">
      <c r="J990" s="5"/>
      <c r="N990" s="7"/>
    </row>
    <row r="991" ht="15.75" customHeight="1">
      <c r="J991" s="5"/>
      <c r="N991" s="7"/>
    </row>
    <row r="992" ht="15.75" customHeight="1">
      <c r="J992" s="5"/>
      <c r="N992" s="7"/>
    </row>
    <row r="993" ht="15.75" customHeight="1"/>
    <row r="994" ht="15.75" customHeight="1"/>
    <row r="995" ht="15.75" customHeight="1"/>
    <row r="996" ht="15.75" customHeight="1"/>
    <row r="997" ht="15.75" customHeight="1"/>
  </sheetData>
  <mergeCells count="20">
    <mergeCell ref="G6:G7"/>
    <mergeCell ref="H6:H7"/>
    <mergeCell ref="I6:I7"/>
    <mergeCell ref="J6:J7"/>
    <mergeCell ref="H9:H10"/>
    <mergeCell ref="I9:I10"/>
    <mergeCell ref="J9:J10"/>
    <mergeCell ref="I16:I21"/>
    <mergeCell ref="J16:J21"/>
    <mergeCell ref="G23:G24"/>
    <mergeCell ref="H23:H24"/>
    <mergeCell ref="I23:I24"/>
    <mergeCell ref="J23:J24"/>
    <mergeCell ref="G9:G10"/>
    <mergeCell ref="G12:G14"/>
    <mergeCell ref="H12:H14"/>
    <mergeCell ref="I12:I14"/>
    <mergeCell ref="J12:J14"/>
    <mergeCell ref="G16:G21"/>
    <mergeCell ref="H16:H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44"/>
    <col customWidth="1" min="3" max="3" width="12.78"/>
    <col customWidth="1" min="4" max="4" width="18.56"/>
    <col customWidth="1" min="5" max="5" width="12.78"/>
    <col customWidth="1" min="6" max="6" width="16.22"/>
    <col customWidth="1" min="7" max="8" width="12.78"/>
    <col customWidth="1" min="9" max="10" width="20.56"/>
    <col customWidth="1" min="11" max="26" width="10.44"/>
  </cols>
  <sheetData>
    <row r="1" ht="15.75" customHeight="1">
      <c r="A1" s="3"/>
    </row>
    <row r="2">
      <c r="A2" s="3"/>
      <c r="B2" s="6" t="s">
        <v>4</v>
      </c>
      <c r="C2" s="8"/>
      <c r="E2" s="9"/>
    </row>
    <row r="3" ht="15.75" customHeight="1">
      <c r="A3" s="3"/>
      <c r="B3" s="6"/>
      <c r="E3" s="9"/>
    </row>
    <row r="4" ht="15.75" customHeight="1">
      <c r="A4" s="3"/>
      <c r="B4" s="11"/>
      <c r="C4" s="13"/>
      <c r="D4" s="11"/>
      <c r="E4" s="11"/>
      <c r="F4" s="11"/>
      <c r="G4" s="11"/>
      <c r="H4" s="13"/>
      <c r="I4" s="11"/>
      <c r="J4" s="9"/>
    </row>
    <row r="5" ht="15.75" customHeight="1">
      <c r="A5" s="3"/>
      <c r="B5" s="11"/>
      <c r="C5" s="11"/>
      <c r="D5" s="11"/>
      <c r="E5" s="11"/>
      <c r="F5" s="11"/>
      <c r="G5" s="11"/>
      <c r="H5" s="11"/>
      <c r="I5" s="11"/>
    </row>
    <row r="6">
      <c r="A6" s="15"/>
      <c r="B6" s="16" t="s">
        <v>10</v>
      </c>
      <c r="C6" s="17" t="s">
        <v>12</v>
      </c>
      <c r="D6" s="17" t="s">
        <v>14</v>
      </c>
      <c r="E6" s="17" t="s">
        <v>16</v>
      </c>
      <c r="F6" s="17" t="s">
        <v>17</v>
      </c>
      <c r="G6" s="17" t="s">
        <v>19</v>
      </c>
      <c r="H6" s="21" t="s">
        <v>20</v>
      </c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3"/>
      <c r="B7" s="25" t="s">
        <v>12</v>
      </c>
      <c r="C7" s="2">
        <v>1575063.0720613373</v>
      </c>
      <c r="D7" s="2">
        <v>166141.13747404178</v>
      </c>
      <c r="E7" s="2">
        <v>313066.03253921296</v>
      </c>
      <c r="F7" s="2">
        <v>7009.481366271993</v>
      </c>
      <c r="G7" s="2">
        <v>7198.7725358764665</v>
      </c>
      <c r="H7" s="34">
        <f t="shared" ref="H7:H11" si="1">SUM(C7:G7)</f>
        <v>2068478.496</v>
      </c>
      <c r="I7" s="13"/>
    </row>
    <row r="8" ht="15.75" customHeight="1">
      <c r="A8" s="3"/>
      <c r="B8" s="25" t="s">
        <v>14</v>
      </c>
      <c r="C8" s="2">
        <v>603236.3599721023</v>
      </c>
      <c r="D8" s="2">
        <v>5342673.566534134</v>
      </c>
      <c r="E8" s="2">
        <v>4212308.809272636</v>
      </c>
      <c r="F8" s="2">
        <v>68160.82369621572</v>
      </c>
      <c r="G8" s="2">
        <v>60030.72167342525</v>
      </c>
      <c r="H8" s="34">
        <f t="shared" si="1"/>
        <v>10286410.28</v>
      </c>
      <c r="I8" s="11"/>
    </row>
    <row r="9" ht="15.75" customHeight="1">
      <c r="A9" s="3"/>
      <c r="B9" s="25" t="s">
        <v>16</v>
      </c>
      <c r="C9" s="2">
        <v>70144.96783525364</v>
      </c>
      <c r="D9" s="2">
        <v>495784.00225520565</v>
      </c>
      <c r="E9" s="2">
        <v>4275434.070829842</v>
      </c>
      <c r="F9" s="2">
        <v>14654.416770275882</v>
      </c>
      <c r="G9" s="2">
        <v>19119.126914489752</v>
      </c>
      <c r="H9" s="34">
        <f t="shared" si="1"/>
        <v>4875136.585</v>
      </c>
      <c r="I9" s="11"/>
    </row>
    <row r="10" ht="15.75" customHeight="1">
      <c r="A10" s="3"/>
      <c r="B10" s="25" t="s">
        <v>17</v>
      </c>
      <c r="C10" s="2">
        <v>6013.46027479248</v>
      </c>
      <c r="D10" s="2">
        <v>50151.51161959223</v>
      </c>
      <c r="E10" s="2">
        <v>46306.3810520567</v>
      </c>
      <c r="F10" s="2">
        <v>234105.6437534066</v>
      </c>
      <c r="G10" s="2">
        <v>3341.456015417484</v>
      </c>
      <c r="H10" s="34">
        <f t="shared" si="1"/>
        <v>339918.4527</v>
      </c>
      <c r="I10" s="11"/>
    </row>
    <row r="11" ht="15.75" customHeight="1">
      <c r="A11" s="3"/>
      <c r="B11" s="25" t="s">
        <v>19</v>
      </c>
      <c r="C11" s="2">
        <v>11291.21041188354</v>
      </c>
      <c r="D11" s="2">
        <v>45188.95759368286</v>
      </c>
      <c r="E11" s="2">
        <v>19015.113444250466</v>
      </c>
      <c r="F11" s="2">
        <v>4737.653489276121</v>
      </c>
      <c r="G11" s="2">
        <v>1743339.3988899603</v>
      </c>
      <c r="H11" s="34">
        <f t="shared" si="1"/>
        <v>1823572.334</v>
      </c>
      <c r="I11" s="11"/>
    </row>
    <row r="12" ht="15.75" customHeight="1">
      <c r="A12" s="3"/>
      <c r="B12" s="44" t="s">
        <v>29</v>
      </c>
      <c r="C12" s="34">
        <f t="shared" ref="C12:H12" si="2">SUM(C7:C11)</f>
        <v>2265749.071</v>
      </c>
      <c r="D12" s="34">
        <f t="shared" si="2"/>
        <v>6099939.175</v>
      </c>
      <c r="E12" s="34">
        <f t="shared" si="2"/>
        <v>8866130.407</v>
      </c>
      <c r="F12" s="34">
        <f t="shared" si="2"/>
        <v>328668.0191</v>
      </c>
      <c r="G12" s="34">
        <f t="shared" si="2"/>
        <v>1833029.476</v>
      </c>
      <c r="H12" s="34">
        <f t="shared" si="2"/>
        <v>19393516.15</v>
      </c>
      <c r="I12" s="11"/>
    </row>
    <row r="13" ht="15.75" customHeight="1">
      <c r="A13" s="3"/>
    </row>
    <row r="14" ht="15.75" customHeight="1">
      <c r="A14" s="3"/>
    </row>
    <row r="15" ht="15.75" customHeight="1">
      <c r="A15" s="3"/>
      <c r="B15" s="48"/>
      <c r="C15" s="49" t="s">
        <v>31</v>
      </c>
      <c r="D15" s="49" t="s">
        <v>24</v>
      </c>
      <c r="E15" s="49" t="s">
        <v>32</v>
      </c>
      <c r="F15" s="51" t="s">
        <v>18</v>
      </c>
    </row>
    <row r="16" ht="15.75" customHeight="1">
      <c r="A16" s="3"/>
      <c r="B16" s="52" t="s">
        <v>31</v>
      </c>
      <c r="C16" s="9">
        <f>SUM(C7:D8)</f>
        <v>7687114.136</v>
      </c>
      <c r="D16" s="9">
        <f>SUM(E7:E8)</f>
        <v>4525374.842</v>
      </c>
      <c r="E16" s="9">
        <f>SUM(F7:G8)</f>
        <v>142399.7993</v>
      </c>
      <c r="F16" s="53">
        <f t="shared" ref="F16:F18" si="3">SUM(C16:E16)</f>
        <v>12354888.78</v>
      </c>
    </row>
    <row r="17" ht="15.75" customHeight="1">
      <c r="A17" s="3"/>
      <c r="B17" s="52" t="s">
        <v>24</v>
      </c>
      <c r="C17" s="9">
        <f>C9+D9</f>
        <v>565928.9701</v>
      </c>
      <c r="D17" s="9">
        <f>E9</f>
        <v>4275434.071</v>
      </c>
      <c r="E17" s="9">
        <f>SUM(F9:G9)</f>
        <v>33773.54368</v>
      </c>
      <c r="F17" s="53">
        <f t="shared" si="3"/>
        <v>4875136.585</v>
      </c>
    </row>
    <row r="18" ht="15.75" customHeight="1">
      <c r="A18" s="3"/>
      <c r="B18" s="52" t="s">
        <v>32</v>
      </c>
      <c r="C18" s="9">
        <f>SUM(C10:D11)</f>
        <v>112645.1399</v>
      </c>
      <c r="D18" s="9">
        <f>E10+E11</f>
        <v>65321.4945</v>
      </c>
      <c r="E18" s="9">
        <f>SUM(F10:G11)</f>
        <v>1985524.152</v>
      </c>
      <c r="F18" s="53">
        <f t="shared" si="3"/>
        <v>2163490.787</v>
      </c>
    </row>
    <row r="19" ht="15.75" customHeight="1">
      <c r="A19" s="3"/>
      <c r="B19" s="59" t="s">
        <v>18</v>
      </c>
      <c r="C19" s="62">
        <f t="shared" ref="C19:E19" si="4">SUM(C16:C18)</f>
        <v>8365688.246</v>
      </c>
      <c r="D19" s="62">
        <f t="shared" si="4"/>
        <v>8866130.407</v>
      </c>
      <c r="E19" s="62">
        <f t="shared" si="4"/>
        <v>2161697.495</v>
      </c>
      <c r="F19" s="66">
        <f>SUM(C16:E18)</f>
        <v>19393516.15</v>
      </c>
    </row>
    <row r="20" ht="15.75" customHeight="1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6.56"/>
    <col customWidth="1" min="2" max="2" width="18.56"/>
    <col customWidth="1" min="3" max="3" width="18.0"/>
    <col customWidth="1" min="4" max="4" width="16.44"/>
    <col customWidth="1" min="5" max="5" width="14.56"/>
    <col customWidth="1" min="6" max="41" width="15.0"/>
    <col customWidth="1" min="42" max="42" width="15.67"/>
    <col customWidth="1" min="43" max="43" width="12.11"/>
    <col customWidth="1" min="44" max="44" width="15.11"/>
    <col customWidth="1" min="45" max="45" width="14.44"/>
    <col customWidth="1" min="46" max="46" width="34.11"/>
    <col customWidth="1" min="47" max="47" width="14.0"/>
  </cols>
  <sheetData>
    <row r="1" ht="15.75" customHeight="1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>
      <c r="A2" s="77" t="s">
        <v>13</v>
      </c>
      <c r="B2" s="9"/>
      <c r="C2" s="9"/>
      <c r="D2" s="7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ht="15.75" customHeight="1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ht="15.75" customHeight="1">
      <c r="B4" s="82">
        <v>1985.0</v>
      </c>
      <c r="C4" s="82">
        <v>1986.0</v>
      </c>
      <c r="D4" s="82">
        <v>1987.0</v>
      </c>
      <c r="E4" s="82">
        <v>1988.0</v>
      </c>
      <c r="F4" s="82">
        <v>1989.0</v>
      </c>
      <c r="G4" s="82">
        <v>1990.0</v>
      </c>
      <c r="H4" s="82">
        <v>1991.0</v>
      </c>
      <c r="I4" s="82">
        <v>1992.0</v>
      </c>
      <c r="J4" s="82">
        <v>1993.0</v>
      </c>
      <c r="K4" s="82">
        <v>1994.0</v>
      </c>
      <c r="L4" s="82">
        <v>1995.0</v>
      </c>
      <c r="M4" s="82">
        <v>1996.0</v>
      </c>
      <c r="N4" s="82">
        <v>1997.0</v>
      </c>
      <c r="O4" s="82">
        <v>1998.0</v>
      </c>
      <c r="P4" s="82">
        <v>1999.0</v>
      </c>
      <c r="Q4" s="82">
        <v>2000.0</v>
      </c>
      <c r="R4" s="82">
        <v>2001.0</v>
      </c>
      <c r="S4" s="82">
        <v>2002.0</v>
      </c>
      <c r="T4" s="82">
        <v>2003.0</v>
      </c>
      <c r="U4" s="82">
        <v>2004.0</v>
      </c>
      <c r="V4" s="82">
        <v>2005.0</v>
      </c>
      <c r="W4" s="82">
        <v>2006.0</v>
      </c>
      <c r="X4" s="82">
        <v>2007.0</v>
      </c>
      <c r="Y4" s="82">
        <v>2008.0</v>
      </c>
      <c r="Z4" s="82">
        <v>2009.0</v>
      </c>
      <c r="AA4" s="82">
        <v>2010.0</v>
      </c>
      <c r="AB4" s="82">
        <v>2011.0</v>
      </c>
      <c r="AC4" s="82">
        <v>2012.0</v>
      </c>
      <c r="AD4" s="82">
        <v>2013.0</v>
      </c>
      <c r="AE4" s="82">
        <v>2014.0</v>
      </c>
      <c r="AF4" s="82">
        <v>2015.0</v>
      </c>
      <c r="AG4" s="82">
        <v>2016.0</v>
      </c>
      <c r="AH4" s="82">
        <v>2017.0</v>
      </c>
      <c r="AI4" s="82">
        <v>2018.0</v>
      </c>
      <c r="AJ4" s="82">
        <v>2019.0</v>
      </c>
      <c r="AK4" s="82">
        <v>2020.0</v>
      </c>
      <c r="AL4" s="82">
        <v>2021.0</v>
      </c>
      <c r="AM4" s="82">
        <v>2022.0</v>
      </c>
      <c r="AN4" s="82">
        <v>2023.0</v>
      </c>
      <c r="AO4" s="82">
        <v>2024.0</v>
      </c>
      <c r="AP4" s="82">
        <v>2025.0</v>
      </c>
      <c r="AQ4" s="88"/>
    </row>
    <row r="5" ht="15.75" customHeight="1">
      <c r="A5" s="89" t="s">
        <v>12</v>
      </c>
      <c r="B5" s="89">
        <v>2068478.4959767975</v>
      </c>
      <c r="C5" s="89">
        <v>2049037.374621635</v>
      </c>
      <c r="D5" s="89">
        <v>2063989.7837758278</v>
      </c>
      <c r="E5" s="89">
        <v>2068942.4852007898</v>
      </c>
      <c r="F5" s="89">
        <v>2066885.2669306383</v>
      </c>
      <c r="G5" s="89">
        <v>2076565.941652251</v>
      </c>
      <c r="H5" s="89">
        <v>2080820.870377378</v>
      </c>
      <c r="I5" s="89">
        <v>2090082.905923048</v>
      </c>
      <c r="J5" s="89">
        <v>2080975.9116145945</v>
      </c>
      <c r="K5" s="89">
        <v>2105144.639516459</v>
      </c>
      <c r="L5" s="89">
        <v>2108446.734052311</v>
      </c>
      <c r="M5" s="89">
        <v>2132017.922201168</v>
      </c>
      <c r="N5" s="89">
        <v>2151858.026253823</v>
      </c>
      <c r="O5" s="89">
        <v>2166711.033023944</v>
      </c>
      <c r="P5" s="89">
        <v>2186150.5555356196</v>
      </c>
      <c r="Q5" s="89">
        <v>2188719.7232499514</v>
      </c>
      <c r="R5" s="89">
        <v>2195635.512060521</v>
      </c>
      <c r="S5" s="89">
        <v>2186410.563885477</v>
      </c>
      <c r="T5" s="89">
        <v>2193978.520048524</v>
      </c>
      <c r="U5" s="89">
        <v>2207259.319257994</v>
      </c>
      <c r="V5" s="89">
        <v>2216253.268875808</v>
      </c>
      <c r="W5" s="89">
        <v>2248551.8050725847</v>
      </c>
      <c r="X5" s="89">
        <v>2269439.2823893186</v>
      </c>
      <c r="Y5" s="89">
        <v>2276353.9806476342</v>
      </c>
      <c r="Z5" s="89">
        <v>2289258.558089872</v>
      </c>
      <c r="AA5" s="89">
        <v>2296313.854691936</v>
      </c>
      <c r="AB5" s="89">
        <v>2307058.4777201116</v>
      </c>
      <c r="AC5" s="89">
        <v>2309487.3869147426</v>
      </c>
      <c r="AD5" s="89">
        <v>2302694.0520828073</v>
      </c>
      <c r="AE5" s="89">
        <v>2316516.647399253</v>
      </c>
      <c r="AF5" s="89">
        <v>2340090.3668734604</v>
      </c>
      <c r="AG5" s="89">
        <v>2357130.3723864635</v>
      </c>
      <c r="AH5" s="89">
        <v>2369588.82078801</v>
      </c>
      <c r="AI5" s="89">
        <v>2364834.659581015</v>
      </c>
      <c r="AJ5" s="89">
        <v>2371541.533474536</v>
      </c>
      <c r="AK5" s="89">
        <v>2368753.5571031244</v>
      </c>
      <c r="AL5" s="89">
        <v>2328280.8979716455</v>
      </c>
      <c r="AM5" s="90">
        <v>2325537.1501100785</v>
      </c>
      <c r="AN5" s="90">
        <v>2337451.217951355</v>
      </c>
      <c r="AO5" s="90">
        <v>2332087.1464686873</v>
      </c>
      <c r="AP5" s="90">
        <v>2265749.0705553945</v>
      </c>
      <c r="AQ5" s="32"/>
      <c r="AR5" s="91">
        <f t="shared" ref="AR5:AR36" si="1">AP5-B5</f>
        <v>197270.5746</v>
      </c>
      <c r="AS5" s="92">
        <f t="shared" ref="AS5:AS6" si="2">AR5/B5</f>
        <v>0.09536989384</v>
      </c>
      <c r="AT5" s="5" t="s">
        <v>78</v>
      </c>
      <c r="AU5" s="93">
        <f>(AP5+AP12)/AP36</f>
        <v>0.4313652141</v>
      </c>
    </row>
    <row r="6" ht="15.75" customHeight="1">
      <c r="A6" s="95" t="s">
        <v>23</v>
      </c>
      <c r="B6" s="96">
        <v>2045912.522384543</v>
      </c>
      <c r="C6" s="96">
        <v>2029053.23549149</v>
      </c>
      <c r="D6" s="96">
        <v>2046117.641754844</v>
      </c>
      <c r="E6" s="96">
        <v>2051779.517288601</v>
      </c>
      <c r="F6" s="96">
        <v>2049481.812522118</v>
      </c>
      <c r="G6" s="96">
        <v>2058778.230072594</v>
      </c>
      <c r="H6" s="96">
        <v>2062803.662298118</v>
      </c>
      <c r="I6" s="96">
        <v>2072520.174636537</v>
      </c>
      <c r="J6" s="96">
        <v>2063967.049473115</v>
      </c>
      <c r="K6" s="96">
        <v>2087978.617264158</v>
      </c>
      <c r="L6" s="96">
        <v>2090985.332632713</v>
      </c>
      <c r="M6" s="96">
        <v>2114754.21654258</v>
      </c>
      <c r="N6" s="96">
        <v>2134859.770795785</v>
      </c>
      <c r="O6" s="96">
        <v>2149984.014534625</v>
      </c>
      <c r="P6" s="96">
        <v>2169399.198781683</v>
      </c>
      <c r="Q6" s="96">
        <v>2172336.968450733</v>
      </c>
      <c r="R6" s="96">
        <v>2179524.847544121</v>
      </c>
      <c r="S6" s="96">
        <v>2170239.198596329</v>
      </c>
      <c r="T6" s="96">
        <v>2177831.153201637</v>
      </c>
      <c r="U6" s="96">
        <v>2191011.670707939</v>
      </c>
      <c r="V6" s="96">
        <v>2199962.838601095</v>
      </c>
      <c r="W6" s="96">
        <v>2231836.415250093</v>
      </c>
      <c r="X6" s="96">
        <v>2251327.323385974</v>
      </c>
      <c r="Y6" s="96">
        <v>2257954.128893014</v>
      </c>
      <c r="Z6" s="96">
        <v>2270684.754467307</v>
      </c>
      <c r="AA6" s="96">
        <v>2277743.22949475</v>
      </c>
      <c r="AB6" s="96">
        <v>2287187.052943439</v>
      </c>
      <c r="AC6" s="96">
        <v>2289966.459734585</v>
      </c>
      <c r="AD6" s="96">
        <v>2285104.665090968</v>
      </c>
      <c r="AE6" s="96">
        <v>2298214.264345109</v>
      </c>
      <c r="AF6" s="96">
        <v>2320635.104571715</v>
      </c>
      <c r="AG6" s="96">
        <v>2337571.666071089</v>
      </c>
      <c r="AH6" s="96">
        <v>2350201.230750516</v>
      </c>
      <c r="AI6" s="96">
        <v>2344993.193949588</v>
      </c>
      <c r="AJ6" s="96">
        <v>2351472.37517298</v>
      </c>
      <c r="AK6" s="96">
        <v>2348726.364605639</v>
      </c>
      <c r="AL6" s="96">
        <v>2308239.031371285</v>
      </c>
      <c r="AM6" s="96">
        <v>2305104.606828993</v>
      </c>
      <c r="AN6" s="96">
        <v>2316274.67061803</v>
      </c>
      <c r="AO6" s="96">
        <v>2309718.173059428</v>
      </c>
      <c r="AP6" s="96">
        <v>2244129.089309185</v>
      </c>
      <c r="AQ6" s="96"/>
      <c r="AR6" s="91">
        <f t="shared" si="1"/>
        <v>198216.5669</v>
      </c>
      <c r="AS6" s="92">
        <f t="shared" si="2"/>
        <v>0.09688418481</v>
      </c>
      <c r="AT6" s="9" t="s">
        <v>80</v>
      </c>
      <c r="AU6" s="98">
        <f>AR5+AR12</f>
        <v>-3989200.531</v>
      </c>
    </row>
    <row r="7" ht="15.75" customHeight="1">
      <c r="A7" s="100" t="s">
        <v>30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1">
        <f t="shared" si="1"/>
        <v>0</v>
      </c>
      <c r="AS7" s="92" t="s">
        <v>74</v>
      </c>
      <c r="AT7" s="9" t="s">
        <v>84</v>
      </c>
      <c r="AU7" s="93">
        <f>AU6/(B5+B12)</f>
        <v>-0.3228843742</v>
      </c>
    </row>
    <row r="8" ht="15.75" customHeight="1">
      <c r="A8" s="103" t="s">
        <v>33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1">
        <f t="shared" si="1"/>
        <v>0</v>
      </c>
      <c r="AS8" s="92" t="s">
        <v>74</v>
      </c>
      <c r="AT8" s="9" t="s">
        <v>86</v>
      </c>
      <c r="AU8" s="104">
        <f>AR23/B23</f>
        <v>8.397811892</v>
      </c>
    </row>
    <row r="9" ht="15.75" customHeight="1">
      <c r="A9" s="103" t="s">
        <v>34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1">
        <f t="shared" si="1"/>
        <v>0</v>
      </c>
      <c r="AS9" s="92" t="s">
        <v>74</v>
      </c>
      <c r="AT9" s="9"/>
      <c r="AU9" s="5"/>
    </row>
    <row r="10" ht="15.75" customHeight="1">
      <c r="A10" s="103" t="s">
        <v>39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1">
        <f t="shared" si="1"/>
        <v>0</v>
      </c>
      <c r="AS10" s="92" t="s">
        <v>74</v>
      </c>
      <c r="AT10" s="108"/>
    </row>
    <row r="11" ht="15.75" customHeight="1">
      <c r="A11" s="103" t="s">
        <v>42</v>
      </c>
      <c r="B11" s="96">
        <v>22565.97359225457</v>
      </c>
      <c r="C11" s="96">
        <v>19984.13913014515</v>
      </c>
      <c r="D11" s="96">
        <v>17872.14202098381</v>
      </c>
      <c r="E11" s="96">
        <v>17162.96791218864</v>
      </c>
      <c r="F11" s="96">
        <v>17403.45440852034</v>
      </c>
      <c r="G11" s="96">
        <v>17787.71157965688</v>
      </c>
      <c r="H11" s="96">
        <v>18017.20807926014</v>
      </c>
      <c r="I11" s="96">
        <v>17562.73128651116</v>
      </c>
      <c r="J11" s="96">
        <v>17008.86214147945</v>
      </c>
      <c r="K11" s="96">
        <v>17166.02225230096</v>
      </c>
      <c r="L11" s="96">
        <v>17461.40141959831</v>
      </c>
      <c r="M11" s="96">
        <v>17263.7056585876</v>
      </c>
      <c r="N11" s="96">
        <v>16998.25545803826</v>
      </c>
      <c r="O11" s="96">
        <v>16727.01848931879</v>
      </c>
      <c r="P11" s="96">
        <v>16751.35675393661</v>
      </c>
      <c r="Q11" s="96">
        <v>16382.75479921859</v>
      </c>
      <c r="R11" s="96">
        <v>16110.66451639999</v>
      </c>
      <c r="S11" s="96">
        <v>16171.36528914779</v>
      </c>
      <c r="T11" s="96">
        <v>16147.36684688703</v>
      </c>
      <c r="U11" s="96">
        <v>16247.64855005476</v>
      </c>
      <c r="V11" s="96">
        <v>16290.43027471295</v>
      </c>
      <c r="W11" s="96">
        <v>16715.3898224913</v>
      </c>
      <c r="X11" s="96">
        <v>18111.95900334455</v>
      </c>
      <c r="Y11" s="96">
        <v>18399.85175462022</v>
      </c>
      <c r="Z11" s="96">
        <v>18573.80362256465</v>
      </c>
      <c r="AA11" s="96">
        <v>18570.62519718613</v>
      </c>
      <c r="AB11" s="96">
        <v>19871.42477667229</v>
      </c>
      <c r="AC11" s="96">
        <v>19520.92718015741</v>
      </c>
      <c r="AD11" s="96">
        <v>17589.38699183954</v>
      </c>
      <c r="AE11" s="96">
        <v>18302.38305414421</v>
      </c>
      <c r="AF11" s="96">
        <v>19455.26230174551</v>
      </c>
      <c r="AG11" s="96">
        <v>19558.70631537468</v>
      </c>
      <c r="AH11" s="96">
        <v>19387.59003749383</v>
      </c>
      <c r="AI11" s="96">
        <v>19841.46563142682</v>
      </c>
      <c r="AJ11" s="96">
        <v>20069.15830155623</v>
      </c>
      <c r="AK11" s="96">
        <v>20027.1924974852</v>
      </c>
      <c r="AL11" s="96">
        <v>20041.86660036003</v>
      </c>
      <c r="AM11" s="96">
        <v>20432.54328108511</v>
      </c>
      <c r="AN11" s="96">
        <v>21176.5473333252</v>
      </c>
      <c r="AO11" s="96">
        <v>22368.97340925902</v>
      </c>
      <c r="AP11" s="96">
        <v>21619.98124620969</v>
      </c>
      <c r="AQ11" s="96"/>
      <c r="AR11" s="91">
        <f t="shared" si="1"/>
        <v>-945.992346</v>
      </c>
      <c r="AS11" s="92">
        <f t="shared" ref="AS11:AS15" si="3">AR11/B11</f>
        <v>-0.04192118466</v>
      </c>
    </row>
    <row r="12" ht="15.75" customHeight="1">
      <c r="A12" s="89" t="s">
        <v>14</v>
      </c>
      <c r="B12" s="89">
        <v>1.028641028114911E7</v>
      </c>
      <c r="C12" s="89">
        <v>1.0272980188134352E7</v>
      </c>
      <c r="D12" s="89">
        <v>1.0041415238969127E7</v>
      </c>
      <c r="E12" s="89">
        <v>9782123.284435824</v>
      </c>
      <c r="F12" s="89">
        <v>9547411.700318148</v>
      </c>
      <c r="G12" s="89">
        <v>9375282.40046005</v>
      </c>
      <c r="H12" s="89">
        <v>9215615.13737118</v>
      </c>
      <c r="I12" s="89">
        <v>9156261.830878094</v>
      </c>
      <c r="J12" s="89">
        <v>9113794.476338858</v>
      </c>
      <c r="K12" s="89">
        <v>9020227.332808744</v>
      </c>
      <c r="L12" s="89">
        <v>8957130.983366536</v>
      </c>
      <c r="M12" s="89">
        <v>8893097.104455024</v>
      </c>
      <c r="N12" s="89">
        <v>8797248.950633803</v>
      </c>
      <c r="O12" s="89">
        <v>8678509.554771442</v>
      </c>
      <c r="P12" s="89">
        <v>8572726.77821022</v>
      </c>
      <c r="Q12" s="89">
        <v>8534311.523319643</v>
      </c>
      <c r="R12" s="89">
        <v>8493572.735247495</v>
      </c>
      <c r="S12" s="89">
        <v>8422773.180545386</v>
      </c>
      <c r="T12" s="89">
        <v>8304306.41181817</v>
      </c>
      <c r="U12" s="89">
        <v>8167911.603834646</v>
      </c>
      <c r="V12" s="89">
        <v>8139115.145405426</v>
      </c>
      <c r="W12" s="89">
        <v>8073065.964310065</v>
      </c>
      <c r="X12" s="89">
        <v>7998867.481352574</v>
      </c>
      <c r="Y12" s="89">
        <v>7951397.21251151</v>
      </c>
      <c r="Z12" s="89">
        <v>7903286.477265784</v>
      </c>
      <c r="AA12" s="89">
        <v>7771616.455231709</v>
      </c>
      <c r="AB12" s="89">
        <v>7630096.635426344</v>
      </c>
      <c r="AC12" s="89">
        <v>7491952.770392492</v>
      </c>
      <c r="AD12" s="89">
        <v>7358413.893404141</v>
      </c>
      <c r="AE12" s="89">
        <v>7256815.871221635</v>
      </c>
      <c r="AF12" s="89">
        <v>7175741.614496698</v>
      </c>
      <c r="AG12" s="89">
        <v>7104449.760225098</v>
      </c>
      <c r="AH12" s="89">
        <v>6991254.145890417</v>
      </c>
      <c r="AI12" s="89">
        <v>6877822.3652357515</v>
      </c>
      <c r="AJ12" s="89">
        <v>6723295.011814117</v>
      </c>
      <c r="AK12" s="89">
        <v>6629720.647161745</v>
      </c>
      <c r="AL12" s="89">
        <v>6479322.8663457595</v>
      </c>
      <c r="AM12" s="90">
        <v>6360870.228135896</v>
      </c>
      <c r="AN12" s="90">
        <v>6243982.525378898</v>
      </c>
      <c r="AO12" s="90">
        <v>6172898.520167958</v>
      </c>
      <c r="AP12" s="90">
        <v>6099939.175476563</v>
      </c>
      <c r="AQ12" s="32"/>
      <c r="AR12" s="91">
        <f t="shared" si="1"/>
        <v>-4186471.106</v>
      </c>
      <c r="AS12" s="92">
        <f t="shared" si="3"/>
        <v>-0.4069904847</v>
      </c>
    </row>
    <row r="13" ht="15.75" customHeight="1">
      <c r="A13" s="32" t="s">
        <v>44</v>
      </c>
      <c r="B13" s="96">
        <v>362282.1904983186</v>
      </c>
      <c r="C13" s="96">
        <v>360586.1344351468</v>
      </c>
      <c r="D13" s="96">
        <v>360598.7063036158</v>
      </c>
      <c r="E13" s="96">
        <v>357399.0127082521</v>
      </c>
      <c r="F13" s="96">
        <v>355385.7797136603</v>
      </c>
      <c r="G13" s="96">
        <v>352025.8255996291</v>
      </c>
      <c r="H13" s="96">
        <v>350641.7910389607</v>
      </c>
      <c r="I13" s="96">
        <v>350068.6332597301</v>
      </c>
      <c r="J13" s="96">
        <v>349660.8635138011</v>
      </c>
      <c r="K13" s="96">
        <v>348847.9286892096</v>
      </c>
      <c r="L13" s="96">
        <v>347865.7347981932</v>
      </c>
      <c r="M13" s="96">
        <v>346671.4413380141</v>
      </c>
      <c r="N13" s="96">
        <v>346108.4036709714</v>
      </c>
      <c r="O13" s="96">
        <v>343725.372354164</v>
      </c>
      <c r="P13" s="96">
        <v>345909.559919056</v>
      </c>
      <c r="Q13" s="96">
        <v>355839.8300244187</v>
      </c>
      <c r="R13" s="96">
        <v>358601.5596234135</v>
      </c>
      <c r="S13" s="96">
        <v>358754.7368968527</v>
      </c>
      <c r="T13" s="96">
        <v>358046.6243357293</v>
      </c>
      <c r="U13" s="96">
        <v>360052.6200114632</v>
      </c>
      <c r="V13" s="96">
        <v>360132.1140989509</v>
      </c>
      <c r="W13" s="96">
        <v>360905.9794814643</v>
      </c>
      <c r="X13" s="96">
        <v>362120.6545078327</v>
      </c>
      <c r="Y13" s="96">
        <v>364822.2413350953</v>
      </c>
      <c r="Z13" s="96">
        <v>365636.6349365534</v>
      </c>
      <c r="AA13" s="96">
        <v>364429.5163423039</v>
      </c>
      <c r="AB13" s="96">
        <v>364747.1084369463</v>
      </c>
      <c r="AC13" s="96">
        <v>362889.6105513077</v>
      </c>
      <c r="AD13" s="96">
        <v>361752.9891289741</v>
      </c>
      <c r="AE13" s="96">
        <v>359645.2073332409</v>
      </c>
      <c r="AF13" s="96">
        <v>357769.8593662434</v>
      </c>
      <c r="AG13" s="96">
        <v>354602.4517285048</v>
      </c>
      <c r="AH13" s="96">
        <v>352225.437964868</v>
      </c>
      <c r="AI13" s="96">
        <v>351835.0006738108</v>
      </c>
      <c r="AJ13" s="96">
        <v>349918.397751484</v>
      </c>
      <c r="AK13" s="96">
        <v>346974.0726400965</v>
      </c>
      <c r="AL13" s="96">
        <v>347973.9089405034</v>
      </c>
      <c r="AM13" s="96">
        <v>363909.3422791829</v>
      </c>
      <c r="AN13" s="96">
        <v>372011.9545035281</v>
      </c>
      <c r="AO13" s="96">
        <v>369723.9820562874</v>
      </c>
      <c r="AP13" s="96">
        <v>369639.7612918774</v>
      </c>
      <c r="AQ13" s="96"/>
      <c r="AR13" s="91">
        <f t="shared" si="1"/>
        <v>7357.570794</v>
      </c>
      <c r="AS13" s="92">
        <f t="shared" si="3"/>
        <v>0.02030894973</v>
      </c>
    </row>
    <row r="14" ht="15.75" customHeight="1">
      <c r="A14" s="32" t="s">
        <v>46</v>
      </c>
      <c r="B14" s="96">
        <v>7621.3228816224</v>
      </c>
      <c r="C14" s="96">
        <v>7587.402237011824</v>
      </c>
      <c r="D14" s="96">
        <v>7294.373052288969</v>
      </c>
      <c r="E14" s="96">
        <v>7305.630460150219</v>
      </c>
      <c r="F14" s="96">
        <v>7291.190898260611</v>
      </c>
      <c r="G14" s="96">
        <v>7283.099263177621</v>
      </c>
      <c r="H14" s="96">
        <v>7298.511803137313</v>
      </c>
      <c r="I14" s="96">
        <v>7278.494415283335</v>
      </c>
      <c r="J14" s="96">
        <v>7365.327280767962</v>
      </c>
      <c r="K14" s="96">
        <v>7298.334035638542</v>
      </c>
      <c r="L14" s="96">
        <v>7171.751521423394</v>
      </c>
      <c r="M14" s="96">
        <v>7321.732652923697</v>
      </c>
      <c r="N14" s="96">
        <v>7300.630735107524</v>
      </c>
      <c r="O14" s="96">
        <v>7411.781270623775</v>
      </c>
      <c r="P14" s="96">
        <v>7459.476221319695</v>
      </c>
      <c r="Q14" s="96">
        <v>7774.884028924604</v>
      </c>
      <c r="R14" s="96">
        <v>7539.416489434831</v>
      </c>
      <c r="S14" s="96">
        <v>7460.326397412149</v>
      </c>
      <c r="T14" s="96">
        <v>7529.531970513972</v>
      </c>
      <c r="U14" s="96">
        <v>7619.447349334824</v>
      </c>
      <c r="V14" s="96">
        <v>7609.146054467844</v>
      </c>
      <c r="W14" s="96">
        <v>7489.51460994263</v>
      </c>
      <c r="X14" s="96">
        <v>7541.543873852553</v>
      </c>
      <c r="Y14" s="96">
        <v>7655.128613458368</v>
      </c>
      <c r="Z14" s="96">
        <v>7400.626805981581</v>
      </c>
      <c r="AA14" s="96">
        <v>7363.086630426203</v>
      </c>
      <c r="AB14" s="96">
        <v>7346.282251831207</v>
      </c>
      <c r="AC14" s="96">
        <v>7305.039701904442</v>
      </c>
      <c r="AD14" s="96">
        <v>7317.059644738902</v>
      </c>
      <c r="AE14" s="96">
        <v>7284.919740094162</v>
      </c>
      <c r="AF14" s="96">
        <v>7155.815657537922</v>
      </c>
      <c r="AG14" s="96">
        <v>6913.21195321668</v>
      </c>
      <c r="AH14" s="96">
        <v>6908.038797589239</v>
      </c>
      <c r="AI14" s="96">
        <v>6838.741533648812</v>
      </c>
      <c r="AJ14" s="96">
        <v>6730.557673388732</v>
      </c>
      <c r="AK14" s="96">
        <v>6649.856316772495</v>
      </c>
      <c r="AL14" s="96">
        <v>6672.020882183911</v>
      </c>
      <c r="AM14" s="96">
        <v>6798.74473629166</v>
      </c>
      <c r="AN14" s="96">
        <v>6925.688239618019</v>
      </c>
      <c r="AO14" s="96">
        <v>6834.731879138339</v>
      </c>
      <c r="AP14" s="96">
        <v>6943.142555865512</v>
      </c>
      <c r="AQ14" s="96"/>
      <c r="AR14" s="91">
        <f t="shared" si="1"/>
        <v>-678.1803258</v>
      </c>
      <c r="AS14" s="92">
        <f t="shared" si="3"/>
        <v>-0.08898459445</v>
      </c>
    </row>
    <row r="15" ht="15.75" customHeight="1">
      <c r="A15" s="32" t="s">
        <v>47</v>
      </c>
      <c r="B15" s="96">
        <v>9757986.644398596</v>
      </c>
      <c r="C15" s="96">
        <v>9746603.02555445</v>
      </c>
      <c r="D15" s="96">
        <v>9520493.061562344</v>
      </c>
      <c r="E15" s="96">
        <v>9268794.931426754</v>
      </c>
      <c r="F15" s="96">
        <v>9039470.334979879</v>
      </c>
      <c r="G15" s="96">
        <v>8875278.266084572</v>
      </c>
      <c r="H15" s="96">
        <v>8717211.64397406</v>
      </c>
      <c r="I15" s="96">
        <v>8657574.979886979</v>
      </c>
      <c r="J15" s="96">
        <v>8614770.322778452</v>
      </c>
      <c r="K15" s="96">
        <v>8520956.443851206</v>
      </c>
      <c r="L15" s="96">
        <v>8460050.520779422</v>
      </c>
      <c r="M15" s="96">
        <v>8395220.714105856</v>
      </c>
      <c r="N15" s="96">
        <v>8299391.225205931</v>
      </c>
      <c r="O15" s="96">
        <v>8184267.721043348</v>
      </c>
      <c r="P15" s="96">
        <v>8076825.828727733</v>
      </c>
      <c r="Q15" s="96">
        <v>8026747.175732837</v>
      </c>
      <c r="R15" s="96">
        <v>7982315.877893686</v>
      </c>
      <c r="S15" s="96">
        <v>7913259.28321673</v>
      </c>
      <c r="T15" s="96">
        <v>7796629.807950745</v>
      </c>
      <c r="U15" s="96">
        <v>7653037.80700895</v>
      </c>
      <c r="V15" s="96">
        <v>7622693.677818116</v>
      </c>
      <c r="W15" s="96">
        <v>7555651.205752186</v>
      </c>
      <c r="X15" s="96">
        <v>7479600.642672543</v>
      </c>
      <c r="Y15" s="96">
        <v>7426997.313554662</v>
      </c>
      <c r="Z15" s="96">
        <v>7378389.1702568</v>
      </c>
      <c r="AA15" s="96">
        <v>7248902.094975655</v>
      </c>
      <c r="AB15" s="96">
        <v>7107577.857495014</v>
      </c>
      <c r="AC15" s="96">
        <v>6970284.414735953</v>
      </c>
      <c r="AD15" s="96">
        <v>6836850.518403896</v>
      </c>
      <c r="AE15" s="96">
        <v>6734781.459355136</v>
      </c>
      <c r="AF15" s="96">
        <v>6656253.607088432</v>
      </c>
      <c r="AG15" s="96">
        <v>6588614.615006438</v>
      </c>
      <c r="AH15" s="96">
        <v>6478626.798995135</v>
      </c>
      <c r="AI15" s="96">
        <v>6366378.074238962</v>
      </c>
      <c r="AJ15" s="96">
        <v>6215450.645872387</v>
      </c>
      <c r="AK15" s="96">
        <v>6124873.211524975</v>
      </c>
      <c r="AL15" s="96">
        <v>5971491.294726948</v>
      </c>
      <c r="AM15" s="96">
        <v>5837844.390174011</v>
      </c>
      <c r="AN15" s="96">
        <v>5714506.899068845</v>
      </c>
      <c r="AO15" s="96">
        <v>5648560.199671736</v>
      </c>
      <c r="AP15" s="96">
        <v>5573090.181131287</v>
      </c>
      <c r="AQ15" s="96"/>
      <c r="AR15" s="91">
        <f t="shared" si="1"/>
        <v>-4184896.463</v>
      </c>
      <c r="AS15" s="92">
        <f t="shared" si="3"/>
        <v>-0.4288688452</v>
      </c>
    </row>
    <row r="16" ht="15.75" customHeight="1">
      <c r="A16" s="32" t="s">
        <v>60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1">
        <f t="shared" si="1"/>
        <v>0</v>
      </c>
      <c r="AS16" s="92" t="s">
        <v>74</v>
      </c>
    </row>
    <row r="17" ht="15.75" customHeight="1">
      <c r="A17" s="95" t="s">
        <v>75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1">
        <f t="shared" si="1"/>
        <v>0</v>
      </c>
      <c r="AS17" s="92" t="s">
        <v>74</v>
      </c>
    </row>
    <row r="18" ht="15.75" customHeight="1">
      <c r="A18" s="32" t="s">
        <v>76</v>
      </c>
      <c r="B18" s="96">
        <v>23839.63724345688</v>
      </c>
      <c r="C18" s="96">
        <v>23838.71594022812</v>
      </c>
      <c r="D18" s="96">
        <v>23830.97347673326</v>
      </c>
      <c r="E18" s="96">
        <v>23838.02853645613</v>
      </c>
      <c r="F18" s="96">
        <v>23829.25334944442</v>
      </c>
      <c r="G18" s="96">
        <v>23828.37951036971</v>
      </c>
      <c r="H18" s="96">
        <v>23841.70289420149</v>
      </c>
      <c r="I18" s="96">
        <v>23838.15702934555</v>
      </c>
      <c r="J18" s="96">
        <v>23832.97247625718</v>
      </c>
      <c r="K18" s="96">
        <v>23829.98215303329</v>
      </c>
      <c r="L18" s="96">
        <v>23823.82961055892</v>
      </c>
      <c r="M18" s="96">
        <v>23821.66896721175</v>
      </c>
      <c r="N18" s="96">
        <v>23827.24690610335</v>
      </c>
      <c r="O18" s="96">
        <v>23833.58799954207</v>
      </c>
      <c r="P18" s="96">
        <v>23844.31540418684</v>
      </c>
      <c r="Q18" s="96">
        <v>23850.99773699323</v>
      </c>
      <c r="R18" s="96">
        <v>23835.34556375716</v>
      </c>
      <c r="S18" s="96">
        <v>23835.68925629256</v>
      </c>
      <c r="T18" s="96">
        <v>23827.64995561506</v>
      </c>
      <c r="U18" s="96">
        <v>23811.20263298323</v>
      </c>
      <c r="V18" s="96">
        <v>23804.10842484725</v>
      </c>
      <c r="W18" s="96">
        <v>23796.07879341414</v>
      </c>
      <c r="X18" s="96">
        <v>23792.42164693586</v>
      </c>
      <c r="Y18" s="96">
        <v>23783.01418756697</v>
      </c>
      <c r="Z18" s="96">
        <v>23785.53519660628</v>
      </c>
      <c r="AA18" s="96">
        <v>23786.08116578963</v>
      </c>
      <c r="AB18" s="96">
        <v>23770.34993233018</v>
      </c>
      <c r="AC18" s="96">
        <v>23768.66457534165</v>
      </c>
      <c r="AD18" s="96">
        <v>23761.15121586288</v>
      </c>
      <c r="AE18" s="96">
        <v>23758.71241453232</v>
      </c>
      <c r="AF18" s="96">
        <v>23776.16499108261</v>
      </c>
      <c r="AG18" s="96">
        <v>23778.67252084336</v>
      </c>
      <c r="AH18" s="96">
        <v>23776.50897916854</v>
      </c>
      <c r="AI18" s="96">
        <v>23768.56665546249</v>
      </c>
      <c r="AJ18" s="96">
        <v>23764.52373332504</v>
      </c>
      <c r="AK18" s="96">
        <v>23757.27563109726</v>
      </c>
      <c r="AL18" s="96">
        <v>23753.28076688217</v>
      </c>
      <c r="AM18" s="96">
        <v>23746.24855393051</v>
      </c>
      <c r="AN18" s="96">
        <v>23741.75971270736</v>
      </c>
      <c r="AO18" s="96">
        <v>23743.5518394896</v>
      </c>
      <c r="AP18" s="96">
        <v>23730.79552589708</v>
      </c>
      <c r="AQ18" s="96"/>
      <c r="AR18" s="91">
        <f t="shared" si="1"/>
        <v>-108.8417176</v>
      </c>
      <c r="AS18" s="92">
        <f t="shared" ref="AS18:AS28" si="4">AR18/B18</f>
        <v>-0.004565577758</v>
      </c>
      <c r="AT18" s="108"/>
    </row>
    <row r="19" ht="15.75" customHeight="1">
      <c r="A19" s="32" t="s">
        <v>77</v>
      </c>
      <c r="B19" s="96">
        <v>134680.4861271161</v>
      </c>
      <c r="C19" s="96">
        <v>134364.9099675154</v>
      </c>
      <c r="D19" s="96">
        <v>129198.1245741443</v>
      </c>
      <c r="E19" s="96">
        <v>124785.6813042106</v>
      </c>
      <c r="F19" s="96">
        <v>121435.1413769043</v>
      </c>
      <c r="G19" s="96">
        <v>116866.8300023008</v>
      </c>
      <c r="H19" s="96">
        <v>116621.4876608211</v>
      </c>
      <c r="I19" s="96">
        <v>117501.5662867551</v>
      </c>
      <c r="J19" s="96">
        <v>118164.9902895805</v>
      </c>
      <c r="K19" s="96">
        <v>119294.644079656</v>
      </c>
      <c r="L19" s="96">
        <v>118219.146656939</v>
      </c>
      <c r="M19" s="96">
        <v>120061.5473910205</v>
      </c>
      <c r="N19" s="96">
        <v>120621.4441156908</v>
      </c>
      <c r="O19" s="96">
        <v>119271.0921037651</v>
      </c>
      <c r="P19" s="96">
        <v>118687.5979379267</v>
      </c>
      <c r="Q19" s="96">
        <v>120098.6357964712</v>
      </c>
      <c r="R19" s="96">
        <v>121280.5356772027</v>
      </c>
      <c r="S19" s="96">
        <v>119463.1447780997</v>
      </c>
      <c r="T19" s="96">
        <v>118272.7976055657</v>
      </c>
      <c r="U19" s="96">
        <v>123390.5268319144</v>
      </c>
      <c r="V19" s="96">
        <v>124876.0990090448</v>
      </c>
      <c r="W19" s="96">
        <v>125223.185673058</v>
      </c>
      <c r="X19" s="96">
        <v>125812.2186514092</v>
      </c>
      <c r="Y19" s="96">
        <v>128139.5148207268</v>
      </c>
      <c r="Z19" s="96">
        <v>128074.5100698422</v>
      </c>
      <c r="AA19" s="96">
        <v>127135.6761175349</v>
      </c>
      <c r="AB19" s="96">
        <v>126655.0373102228</v>
      </c>
      <c r="AC19" s="96">
        <v>127705.0408279848</v>
      </c>
      <c r="AD19" s="96">
        <v>128732.1750106687</v>
      </c>
      <c r="AE19" s="96">
        <v>131345.5723786311</v>
      </c>
      <c r="AF19" s="96">
        <v>130786.1673934019</v>
      </c>
      <c r="AG19" s="96">
        <v>130540.8090160949</v>
      </c>
      <c r="AH19" s="96">
        <v>129717.3611536557</v>
      </c>
      <c r="AI19" s="96">
        <v>129001.982133868</v>
      </c>
      <c r="AJ19" s="96">
        <v>127430.8867835322</v>
      </c>
      <c r="AK19" s="96">
        <v>127466.2310488034</v>
      </c>
      <c r="AL19" s="96">
        <v>129432.3610292417</v>
      </c>
      <c r="AM19" s="96">
        <v>128571.5023924803</v>
      </c>
      <c r="AN19" s="96">
        <v>126796.223854199</v>
      </c>
      <c r="AO19" s="96">
        <v>124036.0547213071</v>
      </c>
      <c r="AP19" s="96">
        <v>126535.2949716367</v>
      </c>
      <c r="AQ19" s="96"/>
      <c r="AR19" s="91">
        <f t="shared" si="1"/>
        <v>-8145.191155</v>
      </c>
      <c r="AS19" s="92">
        <f t="shared" si="4"/>
        <v>-0.06047788651</v>
      </c>
      <c r="AT19" s="9"/>
      <c r="AU19" s="2"/>
    </row>
    <row r="20" ht="15.75" customHeight="1">
      <c r="A20" s="90" t="s">
        <v>16</v>
      </c>
      <c r="B20" s="89">
        <v>4875136.584605044</v>
      </c>
      <c r="C20" s="89">
        <v>4904151.462007206</v>
      </c>
      <c r="D20" s="89">
        <v>5120844.15175435</v>
      </c>
      <c r="E20" s="89">
        <v>5383804.46301088</v>
      </c>
      <c r="F20" s="89">
        <v>5620564.603484677</v>
      </c>
      <c r="G20" s="89">
        <v>5776182.86582402</v>
      </c>
      <c r="H20" s="89">
        <v>5934835.35015783</v>
      </c>
      <c r="I20" s="89">
        <v>5985557.269955848</v>
      </c>
      <c r="J20" s="89">
        <v>6038293.253537277</v>
      </c>
      <c r="K20" s="89">
        <v>6107665.933044876</v>
      </c>
      <c r="L20" s="89">
        <v>6167855.033872419</v>
      </c>
      <c r="M20" s="89">
        <v>6210821.619563863</v>
      </c>
      <c r="N20" s="89">
        <v>6286342.718043577</v>
      </c>
      <c r="O20" s="89">
        <v>6375313.849521598</v>
      </c>
      <c r="P20" s="89">
        <v>6454488.075135744</v>
      </c>
      <c r="Q20" s="89">
        <v>6509715.591719544</v>
      </c>
      <c r="R20" s="89">
        <v>6541021.831547816</v>
      </c>
      <c r="S20" s="89">
        <v>6613453.395302455</v>
      </c>
      <c r="T20" s="89">
        <v>6717142.317379169</v>
      </c>
      <c r="U20" s="89">
        <v>6855459.680283045</v>
      </c>
      <c r="V20" s="89">
        <v>6878040.348774754</v>
      </c>
      <c r="W20" s="89">
        <v>6917864.132232759</v>
      </c>
      <c r="X20" s="89">
        <v>6972504.594265212</v>
      </c>
      <c r="Y20" s="89">
        <v>7016409.256416116</v>
      </c>
      <c r="Z20" s="89">
        <v>7054989.395089762</v>
      </c>
      <c r="AA20" s="89">
        <v>7175346.902760231</v>
      </c>
      <c r="AB20" s="89">
        <v>7311137.330293838</v>
      </c>
      <c r="AC20" s="89">
        <v>7441939.550601378</v>
      </c>
      <c r="AD20" s="89">
        <v>7572126.345560285</v>
      </c>
      <c r="AE20" s="89">
        <v>7653838.803374547</v>
      </c>
      <c r="AF20" s="89">
        <v>7708816.529718675</v>
      </c>
      <c r="AG20" s="89">
        <v>7761080.3711643</v>
      </c>
      <c r="AH20" s="89">
        <v>7859043.182084859</v>
      </c>
      <c r="AI20" s="89">
        <v>7979519.538597638</v>
      </c>
      <c r="AJ20" s="89">
        <v>8126523.1590217</v>
      </c>
      <c r="AK20" s="89">
        <v>8227216.269343783</v>
      </c>
      <c r="AL20" s="89">
        <v>8420214.043237818</v>
      </c>
      <c r="AM20" s="90">
        <v>8559833.581249623</v>
      </c>
      <c r="AN20" s="90">
        <v>8666627.940466281</v>
      </c>
      <c r="AO20" s="90">
        <v>8726132.443127591</v>
      </c>
      <c r="AP20" s="90">
        <v>8866130.407138003</v>
      </c>
      <c r="AQ20" s="32"/>
      <c r="AR20" s="91">
        <f t="shared" si="1"/>
        <v>3990993.823</v>
      </c>
      <c r="AS20" s="92">
        <f t="shared" si="4"/>
        <v>0.8186424633</v>
      </c>
    </row>
    <row r="21" ht="15.75" customHeight="1">
      <c r="A21" s="95" t="s">
        <v>79</v>
      </c>
      <c r="B21" s="96">
        <v>329.4893183105469</v>
      </c>
      <c r="C21" s="96">
        <v>306.3392964172362</v>
      </c>
      <c r="D21" s="96">
        <v>300.4548852539062</v>
      </c>
      <c r="E21" s="96">
        <v>297.248713671875</v>
      </c>
      <c r="F21" s="96">
        <v>319.3818209411621</v>
      </c>
      <c r="G21" s="96">
        <v>312.6538518310547</v>
      </c>
      <c r="H21" s="96">
        <v>303.4048044799806</v>
      </c>
      <c r="I21" s="96">
        <v>298.4693450439453</v>
      </c>
      <c r="J21" s="96">
        <v>298.8810498657226</v>
      </c>
      <c r="K21" s="96">
        <v>308.4347233215332</v>
      </c>
      <c r="L21" s="96">
        <v>303.4736356262208</v>
      </c>
      <c r="M21" s="96">
        <v>325.9555875915528</v>
      </c>
      <c r="N21" s="96">
        <v>331.6805976501466</v>
      </c>
      <c r="O21" s="96">
        <v>339.283807763672</v>
      </c>
      <c r="P21" s="96">
        <v>349.4369843505858</v>
      </c>
      <c r="Q21" s="96">
        <v>345.5793795776368</v>
      </c>
      <c r="R21" s="96">
        <v>324.7887314636232</v>
      </c>
      <c r="S21" s="96">
        <v>303.5904357421877</v>
      </c>
      <c r="T21" s="96">
        <v>296.3769591125488</v>
      </c>
      <c r="U21" s="96">
        <v>277.0498940734864</v>
      </c>
      <c r="V21" s="96">
        <v>242.6529776916504</v>
      </c>
      <c r="W21" s="96">
        <v>226.9802614318848</v>
      </c>
      <c r="X21" s="96">
        <v>212.855469378662</v>
      </c>
      <c r="Y21" s="96">
        <v>211.2223135803222</v>
      </c>
      <c r="Z21" s="96">
        <v>197.3679128051758</v>
      </c>
      <c r="AA21" s="96">
        <v>182.1331392028808</v>
      </c>
      <c r="AB21" s="96">
        <v>167.2712861633301</v>
      </c>
      <c r="AC21" s="96">
        <v>153.4229725036621</v>
      </c>
      <c r="AD21" s="96">
        <v>140.2392457092285</v>
      </c>
      <c r="AE21" s="96">
        <v>136.5217202087402</v>
      </c>
      <c r="AF21" s="96">
        <v>138.5016705993653</v>
      </c>
      <c r="AG21" s="96">
        <v>139.4988390197753</v>
      </c>
      <c r="AH21" s="96">
        <v>133.7069496582031</v>
      </c>
      <c r="AI21" s="96">
        <v>140.7649230651855</v>
      </c>
      <c r="AJ21" s="96">
        <v>145.0167821472168</v>
      </c>
      <c r="AK21" s="96">
        <v>151.0805478271485</v>
      </c>
      <c r="AL21" s="96">
        <v>152.5680570739746</v>
      </c>
      <c r="AM21" s="96">
        <v>152.84842678833</v>
      </c>
      <c r="AN21" s="96">
        <v>143.864118005371</v>
      </c>
      <c r="AO21" s="96">
        <v>153.1704645324707</v>
      </c>
      <c r="AP21" s="96">
        <v>155.6810541564942</v>
      </c>
      <c r="AQ21" s="96"/>
      <c r="AR21" s="91">
        <f t="shared" si="1"/>
        <v>-173.8082642</v>
      </c>
      <c r="AS21" s="92">
        <f t="shared" si="4"/>
        <v>-0.5275080389</v>
      </c>
      <c r="AT21" s="9"/>
    </row>
    <row r="22" ht="15.75" customHeight="1">
      <c r="A22" s="32" t="s">
        <v>81</v>
      </c>
      <c r="B22" s="96">
        <v>3532409.6153777437</v>
      </c>
      <c r="C22" s="96">
        <v>3767542.8108256627</v>
      </c>
      <c r="D22" s="96">
        <v>3973829.0544575555</v>
      </c>
      <c r="E22" s="96">
        <v>4123542.7642243905</v>
      </c>
      <c r="F22" s="96">
        <v>4236302.399064249</v>
      </c>
      <c r="G22" s="96">
        <v>4302625.44930227</v>
      </c>
      <c r="H22" s="96">
        <v>4366430.093783547</v>
      </c>
      <c r="I22" s="96">
        <v>4375711.8170748</v>
      </c>
      <c r="J22" s="96">
        <v>4478485.668755888</v>
      </c>
      <c r="K22" s="96">
        <v>4554413.666787865</v>
      </c>
      <c r="L22" s="96">
        <v>4632789.285582749</v>
      </c>
      <c r="M22" s="96">
        <v>4693568.357666079</v>
      </c>
      <c r="N22" s="96">
        <v>4722573.524605938</v>
      </c>
      <c r="O22" s="96">
        <v>4737013.622709838</v>
      </c>
      <c r="P22" s="96">
        <v>4760682.275399256</v>
      </c>
      <c r="Q22" s="96">
        <v>4760664.9095805315</v>
      </c>
      <c r="R22" s="96">
        <v>4769819.265879264</v>
      </c>
      <c r="S22" s="96">
        <v>4854446.48926707</v>
      </c>
      <c r="T22" s="96">
        <v>4870222.526713275</v>
      </c>
      <c r="U22" s="96">
        <v>4977114.652440051</v>
      </c>
      <c r="V22" s="96">
        <v>5060514.016836384</v>
      </c>
      <c r="W22" s="96">
        <v>5161672.414464489</v>
      </c>
      <c r="X22" s="96">
        <v>5288608.170385301</v>
      </c>
      <c r="Y22" s="96">
        <v>5358783.79440465</v>
      </c>
      <c r="Z22" s="96">
        <v>5433338.448268391</v>
      </c>
      <c r="AA22" s="96">
        <v>5456144.835478194</v>
      </c>
      <c r="AB22" s="96">
        <v>5483518.030873946</v>
      </c>
      <c r="AC22" s="96">
        <v>5545400.67095425</v>
      </c>
      <c r="AD22" s="96">
        <v>5648190.654455451</v>
      </c>
      <c r="AE22" s="96">
        <v>5784372.413300322</v>
      </c>
      <c r="AF22" s="96">
        <v>5889320.749090897</v>
      </c>
      <c r="AG22" s="96">
        <v>5961958.659901739</v>
      </c>
      <c r="AH22" s="96">
        <v>6062196.003961059</v>
      </c>
      <c r="AI22" s="96">
        <v>6076112.573279877</v>
      </c>
      <c r="AJ22" s="96">
        <v>6138833.358887416</v>
      </c>
      <c r="AK22" s="96">
        <v>6143853.855783109</v>
      </c>
      <c r="AL22" s="96">
        <v>6163961.286368395</v>
      </c>
      <c r="AM22" s="96">
        <v>6011843.067060283</v>
      </c>
      <c r="AN22" s="96">
        <v>5909676.1134949345</v>
      </c>
      <c r="AO22" s="96">
        <v>5670363.657185987</v>
      </c>
      <c r="AP22" s="96">
        <v>5820365.585889261</v>
      </c>
      <c r="AQ22" s="96"/>
      <c r="AR22" s="91">
        <f t="shared" si="1"/>
        <v>2287955.971</v>
      </c>
      <c r="AS22" s="92">
        <f t="shared" si="4"/>
        <v>0.6477040376</v>
      </c>
    </row>
    <row r="23" ht="15.75" customHeight="1">
      <c r="A23" s="32" t="s">
        <v>82</v>
      </c>
      <c r="B23" s="96">
        <v>77597.43915354587</v>
      </c>
      <c r="C23" s="96">
        <v>95358.65710793417</v>
      </c>
      <c r="D23" s="96">
        <v>120023.1426370844</v>
      </c>
      <c r="E23" s="96">
        <v>168347.3491097168</v>
      </c>
      <c r="F23" s="96">
        <v>199358.7427094853</v>
      </c>
      <c r="G23" s="96">
        <v>218462.7335908876</v>
      </c>
      <c r="H23" s="96">
        <v>231468.4549718573</v>
      </c>
      <c r="I23" s="96">
        <v>247031.1326420779</v>
      </c>
      <c r="J23" s="96">
        <v>259685.8273814146</v>
      </c>
      <c r="K23" s="96">
        <v>267627.9256179926</v>
      </c>
      <c r="L23" s="96">
        <v>274119.9659033258</v>
      </c>
      <c r="M23" s="96">
        <v>281497.1357638977</v>
      </c>
      <c r="N23" s="96">
        <v>289606.3809536002</v>
      </c>
      <c r="O23" s="96">
        <v>296900.3070699102</v>
      </c>
      <c r="P23" s="96">
        <v>303382.6549841374</v>
      </c>
      <c r="Q23" s="96">
        <v>312763.3350642252</v>
      </c>
      <c r="R23" s="96">
        <v>319800.5259268603</v>
      </c>
      <c r="S23" s="96">
        <v>327258.8386669857</v>
      </c>
      <c r="T23" s="96">
        <v>334542.5794829206</v>
      </c>
      <c r="U23" s="96">
        <v>341104.6952480142</v>
      </c>
      <c r="V23" s="96">
        <v>362451.0028055997</v>
      </c>
      <c r="W23" s="96">
        <v>390389.7961950126</v>
      </c>
      <c r="X23" s="96">
        <v>421215.5616098227</v>
      </c>
      <c r="Y23" s="96">
        <v>473474.6322117242</v>
      </c>
      <c r="Z23" s="96">
        <v>513318.7184726629</v>
      </c>
      <c r="AA23" s="96">
        <v>562955.5059506419</v>
      </c>
      <c r="AB23" s="96">
        <v>588516.1591855795</v>
      </c>
      <c r="AC23" s="96">
        <v>623979.7677803383</v>
      </c>
      <c r="AD23" s="96">
        <v>653209.8848855187</v>
      </c>
      <c r="AE23" s="96">
        <v>660668.4292020174</v>
      </c>
      <c r="AF23" s="96">
        <v>667316.2093965157</v>
      </c>
      <c r="AG23" s="96">
        <v>672024.0142124058</v>
      </c>
      <c r="AH23" s="96">
        <v>680761.1446962646</v>
      </c>
      <c r="AI23" s="96">
        <v>685515.0825345346</v>
      </c>
      <c r="AJ23" s="96">
        <v>693388.4230711241</v>
      </c>
      <c r="AK23" s="96">
        <v>703301.8494260542</v>
      </c>
      <c r="AL23" s="96">
        <v>724828.6405791144</v>
      </c>
      <c r="AM23" s="96">
        <v>727138.6088325985</v>
      </c>
      <c r="AN23" s="96">
        <v>728893.4067883282</v>
      </c>
      <c r="AO23" s="96">
        <v>730767.1907265965</v>
      </c>
      <c r="AP23" s="96">
        <v>729246.136497477</v>
      </c>
      <c r="AQ23" s="96"/>
      <c r="AR23" s="91">
        <f t="shared" si="1"/>
        <v>651648.6973</v>
      </c>
      <c r="AS23" s="92">
        <f t="shared" si="4"/>
        <v>8.397811892</v>
      </c>
      <c r="AT23" s="108"/>
    </row>
    <row r="24" ht="15.75" customHeight="1">
      <c r="A24" s="95" t="s">
        <v>85</v>
      </c>
      <c r="B24" s="96">
        <v>1264800.040755443</v>
      </c>
      <c r="C24" s="96">
        <v>1040943.654777192</v>
      </c>
      <c r="D24" s="96">
        <v>1026691.499774457</v>
      </c>
      <c r="E24" s="96">
        <v>1091617.100963101</v>
      </c>
      <c r="F24" s="96">
        <v>1184584.079890002</v>
      </c>
      <c r="G24" s="96">
        <v>1254782.02907903</v>
      </c>
      <c r="H24" s="96">
        <v>1336633.396597945</v>
      </c>
      <c r="I24" s="96">
        <v>1362515.850893926</v>
      </c>
      <c r="J24" s="96">
        <v>1299822.876350108</v>
      </c>
      <c r="K24" s="96">
        <v>1285315.905915697</v>
      </c>
      <c r="L24" s="96">
        <v>1260642.308750718</v>
      </c>
      <c r="M24" s="96">
        <v>1235430.170546294</v>
      </c>
      <c r="N24" s="96">
        <v>1273831.131886388</v>
      </c>
      <c r="O24" s="96">
        <v>1341060.635934086</v>
      </c>
      <c r="P24" s="96">
        <v>1390073.707768001</v>
      </c>
      <c r="Q24" s="96">
        <v>1435941.76769521</v>
      </c>
      <c r="R24" s="96">
        <v>1451077.251010229</v>
      </c>
      <c r="S24" s="96">
        <v>1431444.476932657</v>
      </c>
      <c r="T24" s="96">
        <v>1512080.834223861</v>
      </c>
      <c r="U24" s="96">
        <v>1536963.282700907</v>
      </c>
      <c r="V24" s="96">
        <v>1454832.676155078</v>
      </c>
      <c r="W24" s="96">
        <v>1365574.941311826</v>
      </c>
      <c r="X24" s="96">
        <v>1262468.00680071</v>
      </c>
      <c r="Y24" s="96">
        <v>1183939.607486161</v>
      </c>
      <c r="Z24" s="96">
        <v>1108134.860435902</v>
      </c>
      <c r="AA24" s="96">
        <v>1156064.428192192</v>
      </c>
      <c r="AB24" s="96">
        <v>1238935.868948149</v>
      </c>
      <c r="AC24" s="96">
        <v>1272405.688894286</v>
      </c>
      <c r="AD24" s="96">
        <v>1270585.566973606</v>
      </c>
      <c r="AE24" s="96">
        <v>1208661.439151998</v>
      </c>
      <c r="AF24" s="96">
        <v>1152041.069560663</v>
      </c>
      <c r="AG24" s="96">
        <v>1126958.198211135</v>
      </c>
      <c r="AH24" s="96">
        <v>1115952.326477878</v>
      </c>
      <c r="AI24" s="96">
        <v>1217751.117860161</v>
      </c>
      <c r="AJ24" s="96">
        <v>1294156.360281013</v>
      </c>
      <c r="AK24" s="96">
        <v>1379909.483586793</v>
      </c>
      <c r="AL24" s="96">
        <v>1531271.548233234</v>
      </c>
      <c r="AM24" s="96">
        <v>1820699.056929953</v>
      </c>
      <c r="AN24" s="96">
        <v>2027914.556065013</v>
      </c>
      <c r="AO24" s="96">
        <v>2324848.424750475</v>
      </c>
      <c r="AP24" s="96">
        <v>2316363.003697108</v>
      </c>
      <c r="AQ24" s="96"/>
      <c r="AR24" s="91">
        <f t="shared" si="1"/>
        <v>1051562.963</v>
      </c>
      <c r="AS24" s="92">
        <f t="shared" si="4"/>
        <v>0.8314064904</v>
      </c>
    </row>
    <row r="25" ht="15.75" customHeight="1">
      <c r="A25" s="90" t="s">
        <v>17</v>
      </c>
      <c r="B25" s="89">
        <v>339918.4527152712</v>
      </c>
      <c r="C25" s="89">
        <v>339755.30255290493</v>
      </c>
      <c r="D25" s="89">
        <v>337596.1825779234</v>
      </c>
      <c r="E25" s="89">
        <v>338122.88111552026</v>
      </c>
      <c r="F25" s="89">
        <v>339678.06128693745</v>
      </c>
      <c r="G25" s="89">
        <v>335889.22709038464</v>
      </c>
      <c r="H25" s="89">
        <v>330758.7809097634</v>
      </c>
      <c r="I25" s="89">
        <v>325640.54065686505</v>
      </c>
      <c r="J25" s="89">
        <v>324085.16524591635</v>
      </c>
      <c r="K25" s="89">
        <v>323298.26105997927</v>
      </c>
      <c r="L25" s="89">
        <v>323068.7741570376</v>
      </c>
      <c r="M25" s="89">
        <v>321115.26691436704</v>
      </c>
      <c r="N25" s="89">
        <v>317334.20061000506</v>
      </c>
      <c r="O25" s="89">
        <v>315417.1825060806</v>
      </c>
      <c r="P25" s="89">
        <v>322514.83062232134</v>
      </c>
      <c r="Q25" s="89">
        <v>326170.80276750063</v>
      </c>
      <c r="R25" s="89">
        <v>327658.6166575827</v>
      </c>
      <c r="S25" s="89">
        <v>331042.94317365985</v>
      </c>
      <c r="T25" s="89">
        <v>337284.2349007701</v>
      </c>
      <c r="U25" s="89">
        <v>333798.2843944105</v>
      </c>
      <c r="V25" s="89">
        <v>332768.0937039824</v>
      </c>
      <c r="W25" s="89">
        <v>331558.2813438694</v>
      </c>
      <c r="X25" s="89">
        <v>326863.89200500824</v>
      </c>
      <c r="Y25" s="89">
        <v>325424.2287026345</v>
      </c>
      <c r="Z25" s="89">
        <v>322317.9995365194</v>
      </c>
      <c r="AA25" s="89">
        <v>318932.0234585776</v>
      </c>
      <c r="AB25" s="89">
        <v>318118.0943479481</v>
      </c>
      <c r="AC25" s="89">
        <v>321470.27469139686</v>
      </c>
      <c r="AD25" s="89">
        <v>319471.03721406794</v>
      </c>
      <c r="AE25" s="89">
        <v>320422.9893743944</v>
      </c>
      <c r="AF25" s="89">
        <v>320117.59360084735</v>
      </c>
      <c r="AG25" s="89">
        <v>319750.61191392597</v>
      </c>
      <c r="AH25" s="89">
        <v>321837.9787226722</v>
      </c>
      <c r="AI25" s="89">
        <v>322448.2985804855</v>
      </c>
      <c r="AJ25" s="89">
        <v>323286.18008924334</v>
      </c>
      <c r="AK25" s="89">
        <v>325838.0090339491</v>
      </c>
      <c r="AL25" s="89">
        <v>325181.4932090838</v>
      </c>
      <c r="AM25" s="90">
        <v>323778.30730739946</v>
      </c>
      <c r="AN25" s="90">
        <v>324999.25075067463</v>
      </c>
      <c r="AO25" s="90">
        <v>327810.55068079446</v>
      </c>
      <c r="AP25" s="90">
        <v>328668.0190754658</v>
      </c>
      <c r="AQ25" s="32"/>
      <c r="AR25" s="91">
        <f t="shared" si="1"/>
        <v>-11250.43364</v>
      </c>
      <c r="AS25" s="92">
        <f t="shared" si="4"/>
        <v>-0.03309744896</v>
      </c>
    </row>
    <row r="26" ht="15.75" customHeight="1">
      <c r="A26" s="95" t="s">
        <v>87</v>
      </c>
      <c r="B26" s="96">
        <v>186273.6086292294</v>
      </c>
      <c r="C26" s="96">
        <v>186164.7392662714</v>
      </c>
      <c r="D26" s="96">
        <v>185347.3516835933</v>
      </c>
      <c r="E26" s="96">
        <v>187783.4499352713</v>
      </c>
      <c r="F26" s="96">
        <v>187956.1333720937</v>
      </c>
      <c r="G26" s="96">
        <v>183674.6079089753</v>
      </c>
      <c r="H26" s="96">
        <v>178849.2657908482</v>
      </c>
      <c r="I26" s="96">
        <v>176452.2862169842</v>
      </c>
      <c r="J26" s="96">
        <v>174696.3319502737</v>
      </c>
      <c r="K26" s="96">
        <v>171743.1725335624</v>
      </c>
      <c r="L26" s="96">
        <v>169940.4281357284</v>
      </c>
      <c r="M26" s="96">
        <v>167138.4649900135</v>
      </c>
      <c r="N26" s="96">
        <v>161572.8741330018</v>
      </c>
      <c r="O26" s="96">
        <v>158063.8368649728</v>
      </c>
      <c r="P26" s="96">
        <v>158691.0686890139</v>
      </c>
      <c r="Q26" s="96">
        <v>157998.5707824409</v>
      </c>
      <c r="R26" s="96">
        <v>156868.1129673407</v>
      </c>
      <c r="S26" s="96">
        <v>158147.9563992803</v>
      </c>
      <c r="T26" s="96">
        <v>160449.9911768798</v>
      </c>
      <c r="U26" s="96">
        <v>156886.2937548894</v>
      </c>
      <c r="V26" s="96">
        <v>155505.1439497629</v>
      </c>
      <c r="W26" s="96">
        <v>154568.066125904</v>
      </c>
      <c r="X26" s="96">
        <v>152132.5258886669</v>
      </c>
      <c r="Y26" s="96">
        <v>150516.4478389723</v>
      </c>
      <c r="Z26" s="96">
        <v>148363.8243079532</v>
      </c>
      <c r="AA26" s="96">
        <v>145484.1764126468</v>
      </c>
      <c r="AB26" s="96">
        <v>143236.5316064586</v>
      </c>
      <c r="AC26" s="96">
        <v>142547.1039882577</v>
      </c>
      <c r="AD26" s="96">
        <v>137136.3140295</v>
      </c>
      <c r="AE26" s="96">
        <v>134778.6352593584</v>
      </c>
      <c r="AF26" s="96">
        <v>133181.5861699784</v>
      </c>
      <c r="AG26" s="96">
        <v>132227.4584231699</v>
      </c>
      <c r="AH26" s="96">
        <v>132286.1139614879</v>
      </c>
      <c r="AI26" s="96">
        <v>131466.3471204298</v>
      </c>
      <c r="AJ26" s="96">
        <v>131800.7553366529</v>
      </c>
      <c r="AK26" s="96">
        <v>131730.3226408334</v>
      </c>
      <c r="AL26" s="96">
        <v>130086.6745906685</v>
      </c>
      <c r="AM26" s="96">
        <v>128856.6483484496</v>
      </c>
      <c r="AN26" s="96">
        <v>128269.5117486942</v>
      </c>
      <c r="AO26" s="96">
        <v>128515.0720429131</v>
      </c>
      <c r="AP26" s="96">
        <v>127603.254594482</v>
      </c>
      <c r="AQ26" s="96"/>
      <c r="AR26" s="91">
        <f t="shared" si="1"/>
        <v>-58670.35403</v>
      </c>
      <c r="AS26" s="92">
        <f t="shared" si="4"/>
        <v>-0.3149686875</v>
      </c>
    </row>
    <row r="27" ht="15.75" customHeight="1">
      <c r="A27" s="95" t="s">
        <v>88</v>
      </c>
      <c r="B27" s="96">
        <v>86758.49211557694</v>
      </c>
      <c r="C27" s="96">
        <v>87898.0632119268</v>
      </c>
      <c r="D27" s="96">
        <v>88806.20362121015</v>
      </c>
      <c r="E27" s="96">
        <v>90377.3024391419</v>
      </c>
      <c r="F27" s="96">
        <v>92231.73099680796</v>
      </c>
      <c r="G27" s="96">
        <v>93757.45696508262</v>
      </c>
      <c r="H27" s="96">
        <v>95479.40724769355</v>
      </c>
      <c r="I27" s="96">
        <v>97130.57032175963</v>
      </c>
      <c r="J27" s="96">
        <v>98582.17654873116</v>
      </c>
      <c r="K27" s="96">
        <v>100295.7215369761</v>
      </c>
      <c r="L27" s="96">
        <v>102160.154563265</v>
      </c>
      <c r="M27" s="96">
        <v>103570.6694431463</v>
      </c>
      <c r="N27" s="96">
        <v>105584.7411778028</v>
      </c>
      <c r="O27" s="96">
        <v>108020.5706733405</v>
      </c>
      <c r="P27" s="96">
        <v>111014.8634055427</v>
      </c>
      <c r="Q27" s="96">
        <v>113127.7470041821</v>
      </c>
      <c r="R27" s="96">
        <v>114753.2576293533</v>
      </c>
      <c r="S27" s="96">
        <v>116412.8471688254</v>
      </c>
      <c r="T27" s="96">
        <v>117961.8177954175</v>
      </c>
      <c r="U27" s="96">
        <v>118868.682353071</v>
      </c>
      <c r="V27" s="96">
        <v>119813.2867019125</v>
      </c>
      <c r="W27" s="96">
        <v>120778.3239624113</v>
      </c>
      <c r="X27" s="96">
        <v>121747.7045855431</v>
      </c>
      <c r="Y27" s="96">
        <v>122587.2600294704</v>
      </c>
      <c r="Z27" s="96">
        <v>123608.2127501056</v>
      </c>
      <c r="AA27" s="96">
        <v>124883.8574470722</v>
      </c>
      <c r="AB27" s="96">
        <v>126293.2297283853</v>
      </c>
      <c r="AC27" s="96">
        <v>127994.1907222249</v>
      </c>
      <c r="AD27" s="96">
        <v>129617.6176246862</v>
      </c>
      <c r="AE27" s="96">
        <v>131018.928299179</v>
      </c>
      <c r="AF27" s="96">
        <v>132222.0191746799</v>
      </c>
      <c r="AG27" s="96">
        <v>133296.0898883389</v>
      </c>
      <c r="AH27" s="96">
        <v>134430.3831604884</v>
      </c>
      <c r="AI27" s="96">
        <v>135564.476789615</v>
      </c>
      <c r="AJ27" s="96">
        <v>136641.6377608302</v>
      </c>
      <c r="AK27" s="96">
        <v>137557.070437238</v>
      </c>
      <c r="AL27" s="96">
        <v>138589.5787756479</v>
      </c>
      <c r="AM27" s="96">
        <v>139483.2705258993</v>
      </c>
      <c r="AN27" s="96">
        <v>140507.5276430694</v>
      </c>
      <c r="AO27" s="96">
        <v>142502.5792261383</v>
      </c>
      <c r="AP27" s="96">
        <v>144145.5956403346</v>
      </c>
      <c r="AQ27" s="96"/>
      <c r="AR27" s="91">
        <f t="shared" si="1"/>
        <v>57387.10352</v>
      </c>
      <c r="AS27" s="92">
        <f t="shared" si="4"/>
        <v>0.6614580559</v>
      </c>
    </row>
    <row r="28" ht="15.75" customHeight="1">
      <c r="A28" s="32" t="s">
        <v>89</v>
      </c>
      <c r="B28" s="96">
        <v>1231.061474359127</v>
      </c>
      <c r="C28" s="96">
        <v>1456.085964892575</v>
      </c>
      <c r="D28" s="96">
        <v>1606.860344049065</v>
      </c>
      <c r="E28" s="96">
        <v>1726.148409924311</v>
      </c>
      <c r="F28" s="96">
        <v>1838.634072027574</v>
      </c>
      <c r="G28" s="96">
        <v>1953.688478723139</v>
      </c>
      <c r="H28" s="96">
        <v>2050.322770727525</v>
      </c>
      <c r="I28" s="96">
        <v>2146.363727905257</v>
      </c>
      <c r="J28" s="96">
        <v>2248.906781701647</v>
      </c>
      <c r="K28" s="96">
        <v>2389.419264129616</v>
      </c>
      <c r="L28" s="96">
        <v>2445.903456500245</v>
      </c>
      <c r="M28" s="96">
        <v>2443.971735150146</v>
      </c>
      <c r="N28" s="96">
        <v>2473.626631768798</v>
      </c>
      <c r="O28" s="96">
        <v>2625.853335711655</v>
      </c>
      <c r="P28" s="96">
        <v>2719.186193041965</v>
      </c>
      <c r="Q28" s="96">
        <v>2797.425661291491</v>
      </c>
      <c r="R28" s="96">
        <v>2861.748741638178</v>
      </c>
      <c r="S28" s="96">
        <v>2934.364913574204</v>
      </c>
      <c r="T28" s="96">
        <v>2999.778557019035</v>
      </c>
      <c r="U28" s="96">
        <v>2924.098674200418</v>
      </c>
      <c r="V28" s="96">
        <v>2945.918122650149</v>
      </c>
      <c r="W28" s="96">
        <v>2980.779652124036</v>
      </c>
      <c r="X28" s="96">
        <v>3057.800075109883</v>
      </c>
      <c r="Y28" s="96">
        <v>3120.575314678972</v>
      </c>
      <c r="Z28" s="96">
        <v>3116.565743713395</v>
      </c>
      <c r="AA28" s="96">
        <v>3142.761336816423</v>
      </c>
      <c r="AB28" s="96">
        <v>3194.2190355774</v>
      </c>
      <c r="AC28" s="96">
        <v>3282.898835247803</v>
      </c>
      <c r="AD28" s="96">
        <v>3498.544326702932</v>
      </c>
      <c r="AE28" s="96">
        <v>3699.253160119673</v>
      </c>
      <c r="AF28" s="96">
        <v>3775.526485229525</v>
      </c>
      <c r="AG28" s="96">
        <v>3736.233826574746</v>
      </c>
      <c r="AH28" s="96">
        <v>3779.793635290554</v>
      </c>
      <c r="AI28" s="96">
        <v>3851.51199094851</v>
      </c>
      <c r="AJ28" s="96">
        <v>3904.662544097933</v>
      </c>
      <c r="AK28" s="96">
        <v>4155.981551788353</v>
      </c>
      <c r="AL28" s="96">
        <v>4337.015917565926</v>
      </c>
      <c r="AM28" s="96">
        <v>4410.844435998523</v>
      </c>
      <c r="AN28" s="96">
        <v>4520.073653594915</v>
      </c>
      <c r="AO28" s="96">
        <v>4756.072659582495</v>
      </c>
      <c r="AP28" s="96">
        <v>4955.337560619999</v>
      </c>
      <c r="AQ28" s="96"/>
      <c r="AR28" s="91">
        <f t="shared" si="1"/>
        <v>3724.276086</v>
      </c>
      <c r="AS28" s="92">
        <f t="shared" si="4"/>
        <v>3.025255979</v>
      </c>
    </row>
    <row r="29" ht="15.75" customHeight="1">
      <c r="A29" s="32" t="s">
        <v>90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1">
        <f t="shared" si="1"/>
        <v>0</v>
      </c>
      <c r="AS29" s="92" t="s">
        <v>74</v>
      </c>
    </row>
    <row r="30" ht="15.75" customHeight="1">
      <c r="A30" s="32" t="s">
        <v>91</v>
      </c>
      <c r="B30" s="96">
        <v>0.0</v>
      </c>
      <c r="C30" s="96">
        <v>0.0</v>
      </c>
      <c r="D30" s="96">
        <v>0.0</v>
      </c>
      <c r="E30" s="96">
        <v>0.0</v>
      </c>
      <c r="F30" s="96">
        <v>0.0</v>
      </c>
      <c r="G30" s="96">
        <v>0.0</v>
      </c>
      <c r="H30" s="96">
        <v>0.0</v>
      </c>
      <c r="I30" s="96">
        <v>0.0</v>
      </c>
      <c r="J30" s="96">
        <v>0.0</v>
      </c>
      <c r="K30" s="96">
        <v>0.0</v>
      </c>
      <c r="L30" s="96">
        <v>0.0</v>
      </c>
      <c r="M30" s="96">
        <v>0.0</v>
      </c>
      <c r="N30" s="96">
        <v>0.0</v>
      </c>
      <c r="O30" s="96">
        <v>0.0</v>
      </c>
      <c r="P30" s="96">
        <v>0.0</v>
      </c>
      <c r="Q30" s="96">
        <v>0.0</v>
      </c>
      <c r="R30" s="96">
        <v>0.0</v>
      </c>
      <c r="S30" s="96">
        <v>0.0</v>
      </c>
      <c r="T30" s="96">
        <v>0.0</v>
      </c>
      <c r="U30" s="96">
        <v>0.0</v>
      </c>
      <c r="V30" s="96">
        <v>0.0</v>
      </c>
      <c r="W30" s="96">
        <v>0.0</v>
      </c>
      <c r="X30" s="96">
        <v>0.0</v>
      </c>
      <c r="Y30" s="96">
        <v>0.0</v>
      </c>
      <c r="Z30" s="96">
        <v>0.0</v>
      </c>
      <c r="AA30" s="96">
        <v>0.0</v>
      </c>
      <c r="AB30" s="96">
        <v>0.0</v>
      </c>
      <c r="AC30" s="96">
        <v>0.0</v>
      </c>
      <c r="AD30" s="96">
        <v>0.0</v>
      </c>
      <c r="AE30" s="96">
        <v>0.0</v>
      </c>
      <c r="AF30" s="96">
        <v>0.0</v>
      </c>
      <c r="AG30" s="96">
        <v>94.62963443603513</v>
      </c>
      <c r="AH30" s="96">
        <v>879.4391033264146</v>
      </c>
      <c r="AI30" s="96">
        <v>964.5526063354488</v>
      </c>
      <c r="AJ30" s="96">
        <v>1008.966589447021</v>
      </c>
      <c r="AK30" s="96">
        <v>1091.361953155517</v>
      </c>
      <c r="AL30" s="96">
        <v>1185.009910125731</v>
      </c>
      <c r="AM30" s="96">
        <v>1424.594409521485</v>
      </c>
      <c r="AN30" s="96">
        <v>1506.376671484376</v>
      </c>
      <c r="AO30" s="96">
        <v>1590.640904382325</v>
      </c>
      <c r="AP30" s="96">
        <v>1695.644624328615</v>
      </c>
      <c r="AQ30" s="96"/>
      <c r="AR30" s="91">
        <f t="shared" si="1"/>
        <v>1695.644624</v>
      </c>
      <c r="AS30" s="92" t="s">
        <v>74</v>
      </c>
    </row>
    <row r="31" ht="15.75" customHeight="1">
      <c r="A31" s="95" t="s">
        <v>92</v>
      </c>
      <c r="B31" s="96">
        <v>65655.29049610572</v>
      </c>
      <c r="C31" s="96">
        <v>64236.41410981416</v>
      </c>
      <c r="D31" s="96">
        <v>61835.76692907094</v>
      </c>
      <c r="E31" s="96">
        <v>58235.98033118277</v>
      </c>
      <c r="F31" s="96">
        <v>57651.5628460082</v>
      </c>
      <c r="G31" s="96">
        <v>56503.47373760366</v>
      </c>
      <c r="H31" s="96">
        <v>54379.78510049419</v>
      </c>
      <c r="I31" s="96">
        <v>49911.32039021595</v>
      </c>
      <c r="J31" s="96">
        <v>48557.74996520981</v>
      </c>
      <c r="K31" s="96">
        <v>48869.94772531113</v>
      </c>
      <c r="L31" s="96">
        <v>48522.28800154395</v>
      </c>
      <c r="M31" s="96">
        <v>47962.16074605705</v>
      </c>
      <c r="N31" s="96">
        <v>47702.95866743167</v>
      </c>
      <c r="O31" s="96">
        <v>46706.92163205565</v>
      </c>
      <c r="P31" s="96">
        <v>50089.7123347228</v>
      </c>
      <c r="Q31" s="96">
        <v>52247.05931958607</v>
      </c>
      <c r="R31" s="96">
        <v>53175.49731925046</v>
      </c>
      <c r="S31" s="96">
        <v>53547.77469197996</v>
      </c>
      <c r="T31" s="96">
        <v>55872.64737145381</v>
      </c>
      <c r="U31" s="96">
        <v>55119.20961224967</v>
      </c>
      <c r="V31" s="96">
        <v>54503.7449296569</v>
      </c>
      <c r="W31" s="96">
        <v>53231.11160343004</v>
      </c>
      <c r="X31" s="96">
        <v>49925.86145568837</v>
      </c>
      <c r="Y31" s="96">
        <v>49199.94551951285</v>
      </c>
      <c r="Z31" s="96">
        <v>47229.39673474721</v>
      </c>
      <c r="AA31" s="96">
        <v>45421.22826204214</v>
      </c>
      <c r="AB31" s="96">
        <v>45394.11397752681</v>
      </c>
      <c r="AC31" s="96">
        <v>47646.08114566648</v>
      </c>
      <c r="AD31" s="96">
        <v>49218.56123317876</v>
      </c>
      <c r="AE31" s="96">
        <v>50926.17265573733</v>
      </c>
      <c r="AF31" s="96">
        <v>50938.46177095949</v>
      </c>
      <c r="AG31" s="96">
        <v>50396.20014140631</v>
      </c>
      <c r="AH31" s="96">
        <v>50462.24886207892</v>
      </c>
      <c r="AI31" s="96">
        <v>50601.41007315673</v>
      </c>
      <c r="AJ31" s="96">
        <v>49930.15785821534</v>
      </c>
      <c r="AK31" s="96">
        <v>51303.27245093384</v>
      </c>
      <c r="AL31" s="96">
        <v>50983.21401507571</v>
      </c>
      <c r="AM31" s="96">
        <v>49602.9495875305</v>
      </c>
      <c r="AN31" s="96">
        <v>50195.76103383169</v>
      </c>
      <c r="AO31" s="96">
        <v>50446.18584777823</v>
      </c>
      <c r="AP31" s="96">
        <v>50268.18665570062</v>
      </c>
      <c r="AQ31" s="96"/>
      <c r="AR31" s="91">
        <f t="shared" si="1"/>
        <v>-15387.10384</v>
      </c>
      <c r="AS31" s="92">
        <f t="shared" ref="AS31:AS33" si="5">AR31/B31</f>
        <v>-0.2343619794</v>
      </c>
    </row>
    <row r="32" ht="15.75" customHeight="1">
      <c r="A32" s="90" t="s">
        <v>19</v>
      </c>
      <c r="B32" s="89">
        <v>1823572.333829062</v>
      </c>
      <c r="C32" s="89">
        <v>1827591.8209592171</v>
      </c>
      <c r="D32" s="89">
        <v>1829670.7911978413</v>
      </c>
      <c r="E32" s="89">
        <v>1820523.0345119692</v>
      </c>
      <c r="F32" s="89">
        <v>1818976.5162545722</v>
      </c>
      <c r="G32" s="89">
        <v>1829595.7132483025</v>
      </c>
      <c r="H32" s="89">
        <v>1831486.0094587514</v>
      </c>
      <c r="I32" s="89">
        <v>1835973.6008611317</v>
      </c>
      <c r="J32" s="89">
        <v>1836367.3415383785</v>
      </c>
      <c r="K32" s="89">
        <v>1837179.981844907</v>
      </c>
      <c r="L32" s="89">
        <v>1837014.622826712</v>
      </c>
      <c r="M32" s="89">
        <v>1836464.2351406491</v>
      </c>
      <c r="N32" s="89">
        <v>1840732.252733704</v>
      </c>
      <c r="O32" s="89">
        <v>1857564.5284519128</v>
      </c>
      <c r="P32" s="89">
        <v>1857635.908770881</v>
      </c>
      <c r="Q32" s="89">
        <v>1834598.5072182603</v>
      </c>
      <c r="R32" s="89">
        <v>1835627.4527615516</v>
      </c>
      <c r="S32" s="89">
        <v>1839836.0653680153</v>
      </c>
      <c r="T32" s="89">
        <v>1840804.6641281703</v>
      </c>
      <c r="U32" s="89">
        <v>1829087.2605048171</v>
      </c>
      <c r="V32" s="89">
        <v>1827339.291514883</v>
      </c>
      <c r="W32" s="89">
        <v>1822475.9653156945</v>
      </c>
      <c r="X32" s="89">
        <v>1825840.898262742</v>
      </c>
      <c r="Y32" s="89">
        <v>1823931.4699970079</v>
      </c>
      <c r="Z32" s="89">
        <v>1823663.7182928692</v>
      </c>
      <c r="AA32" s="89">
        <v>1831306.9121323943</v>
      </c>
      <c r="AB32" s="89">
        <v>1827105.6104862106</v>
      </c>
      <c r="AC32" s="89">
        <v>1828666.1656746545</v>
      </c>
      <c r="AD32" s="89">
        <v>1840810.820013431</v>
      </c>
      <c r="AE32" s="89">
        <v>1845921.8369047034</v>
      </c>
      <c r="AF32" s="89">
        <v>1848750.0435849046</v>
      </c>
      <c r="AG32" s="89">
        <v>1851105.0325847769</v>
      </c>
      <c r="AH32" s="89">
        <v>1851792.0207885623</v>
      </c>
      <c r="AI32" s="89">
        <v>1848891.286279443</v>
      </c>
      <c r="AJ32" s="89">
        <v>1848870.2638749024</v>
      </c>
      <c r="AK32" s="89">
        <v>1841987.6656321057</v>
      </c>
      <c r="AL32" s="89">
        <v>1840516.847510335</v>
      </c>
      <c r="AM32" s="90">
        <v>1823496.881471609</v>
      </c>
      <c r="AN32" s="90">
        <v>1820455.2137273918</v>
      </c>
      <c r="AO32" s="90">
        <v>1834587.4878292768</v>
      </c>
      <c r="AP32" s="90">
        <v>1833029.476029178</v>
      </c>
      <c r="AQ32" s="32"/>
      <c r="AR32" s="91">
        <f t="shared" si="1"/>
        <v>9457.1422</v>
      </c>
      <c r="AS32" s="92">
        <f t="shared" si="5"/>
        <v>0.005186052686</v>
      </c>
    </row>
    <row r="33" ht="15.75" customHeight="1">
      <c r="A33" s="116" t="s">
        <v>93</v>
      </c>
      <c r="B33" s="96">
        <v>1823572.333829062</v>
      </c>
      <c r="C33" s="96">
        <v>1827589.671782795</v>
      </c>
      <c r="D33" s="96">
        <v>1829658.061286971</v>
      </c>
      <c r="E33" s="96">
        <v>1820506.801528052</v>
      </c>
      <c r="F33" s="96">
        <v>1818961.287361646</v>
      </c>
      <c r="G33" s="96">
        <v>1829593.321273394</v>
      </c>
      <c r="H33" s="96">
        <v>1831482.926680016</v>
      </c>
      <c r="I33" s="96">
        <v>1835958.225761217</v>
      </c>
      <c r="J33" s="96">
        <v>1836325.201192236</v>
      </c>
      <c r="K33" s="96">
        <v>1837137.424799393</v>
      </c>
      <c r="L33" s="96">
        <v>1836973.732179837</v>
      </c>
      <c r="M33" s="96">
        <v>1836433.727499664</v>
      </c>
      <c r="N33" s="96">
        <v>1840685.05929809</v>
      </c>
      <c r="O33" s="96">
        <v>1857488.583424038</v>
      </c>
      <c r="P33" s="96">
        <v>1857545.65507732</v>
      </c>
      <c r="Q33" s="96">
        <v>1834501.715367363</v>
      </c>
      <c r="R33" s="96">
        <v>1835526.647845304</v>
      </c>
      <c r="S33" s="96">
        <v>1839731.285293296</v>
      </c>
      <c r="T33" s="96">
        <v>1840695.750364706</v>
      </c>
      <c r="U33" s="96">
        <v>1828967.920965193</v>
      </c>
      <c r="V33" s="96">
        <v>1827210.817884689</v>
      </c>
      <c r="W33" s="96">
        <v>1822330.601688253</v>
      </c>
      <c r="X33" s="96">
        <v>1825688.58772053</v>
      </c>
      <c r="Y33" s="96">
        <v>1823771.287017827</v>
      </c>
      <c r="Z33" s="96">
        <v>1823514.137554234</v>
      </c>
      <c r="AA33" s="96">
        <v>1831158.318056314</v>
      </c>
      <c r="AB33" s="96">
        <v>1826923.010038536</v>
      </c>
      <c r="AC33" s="96">
        <v>1828468.482930868</v>
      </c>
      <c r="AD33" s="96">
        <v>1840574.734109024</v>
      </c>
      <c r="AE33" s="96">
        <v>1845660.960110404</v>
      </c>
      <c r="AF33" s="96">
        <v>1848508.963453856</v>
      </c>
      <c r="AG33" s="96">
        <v>1850872.92926798</v>
      </c>
      <c r="AH33" s="96">
        <v>1851549.783821277</v>
      </c>
      <c r="AI33" s="96">
        <v>1848616.891246722</v>
      </c>
      <c r="AJ33" s="96">
        <v>1848597.18224917</v>
      </c>
      <c r="AK33" s="96">
        <v>1841795.574881764</v>
      </c>
      <c r="AL33" s="96">
        <v>1840333.038726015</v>
      </c>
      <c r="AM33" s="96">
        <v>1823315.221583108</v>
      </c>
      <c r="AN33" s="96">
        <v>1820279.83777788</v>
      </c>
      <c r="AO33" s="96">
        <v>1834411.180193504</v>
      </c>
      <c r="AP33" s="96">
        <v>1832849.801733487</v>
      </c>
      <c r="AQ33" s="96"/>
      <c r="AR33" s="91">
        <f t="shared" si="1"/>
        <v>9277.467904</v>
      </c>
      <c r="AS33" s="92">
        <f t="shared" si="5"/>
        <v>0.00508752394</v>
      </c>
    </row>
    <row r="34" ht="15.75" customHeight="1">
      <c r="A34" s="116" t="s">
        <v>95</v>
      </c>
      <c r="B34" s="96">
        <v>0.0</v>
      </c>
      <c r="C34" s="96">
        <v>2.149176422119141</v>
      </c>
      <c r="D34" s="96">
        <v>12.72991087036133</v>
      </c>
      <c r="E34" s="96">
        <v>16.23298391723633</v>
      </c>
      <c r="F34" s="96">
        <v>15.22889292602539</v>
      </c>
      <c r="G34" s="96">
        <v>2.391974908447266</v>
      </c>
      <c r="H34" s="96">
        <v>3.082778735351563</v>
      </c>
      <c r="I34" s="96">
        <v>15.37509991455078</v>
      </c>
      <c r="J34" s="96">
        <v>42.14034614257822</v>
      </c>
      <c r="K34" s="96">
        <v>42.5570455139161</v>
      </c>
      <c r="L34" s="96">
        <v>40.89064687500006</v>
      </c>
      <c r="M34" s="96">
        <v>30.50764098510746</v>
      </c>
      <c r="N34" s="96">
        <v>47.19343561401371</v>
      </c>
      <c r="O34" s="96">
        <v>75.94502787475594</v>
      </c>
      <c r="P34" s="96">
        <v>90.25369356079094</v>
      </c>
      <c r="Q34" s="96">
        <v>96.79185089721669</v>
      </c>
      <c r="R34" s="96">
        <v>100.8049162475584</v>
      </c>
      <c r="S34" s="96">
        <v>104.780074719238</v>
      </c>
      <c r="T34" s="96">
        <v>108.9137634643552</v>
      </c>
      <c r="U34" s="96">
        <v>119.3395396240234</v>
      </c>
      <c r="V34" s="96">
        <v>128.4736301940918</v>
      </c>
      <c r="W34" s="96">
        <v>145.3636274414061</v>
      </c>
      <c r="X34" s="96">
        <v>152.310542211914</v>
      </c>
      <c r="Y34" s="96">
        <v>160.1829791809082</v>
      </c>
      <c r="Z34" s="96">
        <v>149.580738635254</v>
      </c>
      <c r="AA34" s="96">
        <v>148.5940760803223</v>
      </c>
      <c r="AB34" s="96">
        <v>182.6004476745606</v>
      </c>
      <c r="AC34" s="96">
        <v>197.6827437866211</v>
      </c>
      <c r="AD34" s="96">
        <v>236.0859044067383</v>
      </c>
      <c r="AE34" s="96">
        <v>260.8767942993165</v>
      </c>
      <c r="AF34" s="96">
        <v>241.080131048584</v>
      </c>
      <c r="AG34" s="96">
        <v>232.1033167968749</v>
      </c>
      <c r="AH34" s="96">
        <v>242.2369672851563</v>
      </c>
      <c r="AI34" s="96">
        <v>274.3950327209471</v>
      </c>
      <c r="AJ34" s="96">
        <v>273.0816257324217</v>
      </c>
      <c r="AK34" s="96">
        <v>192.0907503417967</v>
      </c>
      <c r="AL34" s="96">
        <v>183.8087843200682</v>
      </c>
      <c r="AM34" s="96">
        <v>181.6598885009764</v>
      </c>
      <c r="AN34" s="96">
        <v>175.3759495117186</v>
      </c>
      <c r="AO34" s="96">
        <v>176.3076357727049</v>
      </c>
      <c r="AP34" s="96">
        <v>179.6742956909179</v>
      </c>
      <c r="AQ34" s="96"/>
      <c r="AR34" s="91">
        <f t="shared" si="1"/>
        <v>179.6742957</v>
      </c>
      <c r="AS34" s="92" t="s">
        <v>74</v>
      </c>
    </row>
    <row r="35" ht="15.75" customHeight="1">
      <c r="A35" s="89" t="s">
        <v>96</v>
      </c>
      <c r="B35" s="89">
        <v>0.0</v>
      </c>
      <c r="C35" s="89">
        <v>0.0</v>
      </c>
      <c r="D35" s="89">
        <v>0.0</v>
      </c>
      <c r="E35" s="89">
        <v>0.0</v>
      </c>
      <c r="F35" s="89">
        <v>0.0</v>
      </c>
      <c r="G35" s="89">
        <v>0.0</v>
      </c>
      <c r="H35" s="89">
        <v>0.0</v>
      </c>
      <c r="I35" s="89">
        <v>0.0</v>
      </c>
      <c r="J35" s="89">
        <v>0.0</v>
      </c>
      <c r="K35" s="89">
        <v>0.0</v>
      </c>
      <c r="L35" s="89">
        <v>0.0</v>
      </c>
      <c r="M35" s="89">
        <v>0.0</v>
      </c>
      <c r="N35" s="89">
        <v>0.0</v>
      </c>
      <c r="O35" s="89">
        <v>0.0</v>
      </c>
      <c r="P35" s="89">
        <v>0.0</v>
      </c>
      <c r="Q35" s="89">
        <v>0.0</v>
      </c>
      <c r="R35" s="89">
        <v>0.0</v>
      </c>
      <c r="S35" s="89">
        <v>0.0</v>
      </c>
      <c r="T35" s="89">
        <v>0.0</v>
      </c>
      <c r="U35" s="89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9">
        <v>0.0</v>
      </c>
      <c r="AG35" s="89">
        <v>0.0</v>
      </c>
      <c r="AH35" s="89">
        <v>0.0</v>
      </c>
      <c r="AI35" s="89">
        <v>0.0</v>
      </c>
      <c r="AJ35" s="89">
        <v>0.0</v>
      </c>
      <c r="AK35" s="89">
        <v>0.0</v>
      </c>
      <c r="AL35" s="89">
        <v>0.0</v>
      </c>
      <c r="AM35" s="89">
        <v>0.0</v>
      </c>
      <c r="AN35" s="89">
        <v>0.0</v>
      </c>
      <c r="AO35" s="89">
        <v>0.0</v>
      </c>
      <c r="AP35" s="89">
        <v>0.0</v>
      </c>
      <c r="AQ35" s="32"/>
      <c r="AR35" s="91">
        <f t="shared" si="1"/>
        <v>0</v>
      </c>
      <c r="AS35" s="92" t="s">
        <v>74</v>
      </c>
    </row>
    <row r="36" ht="15.75" customHeight="1">
      <c r="A36" s="117" t="s">
        <v>97</v>
      </c>
      <c r="B36" s="118">
        <f t="shared" ref="B36:AP36" si="6">SUM(B5,B12,B20,B25,B32,B35)</f>
        <v>19393516.15</v>
      </c>
      <c r="C36" s="118">
        <f t="shared" si="6"/>
        <v>19393516.15</v>
      </c>
      <c r="D36" s="118">
        <f t="shared" si="6"/>
        <v>19393516.15</v>
      </c>
      <c r="E36" s="118">
        <f t="shared" si="6"/>
        <v>19393516.15</v>
      </c>
      <c r="F36" s="118">
        <f t="shared" si="6"/>
        <v>19393516.15</v>
      </c>
      <c r="G36" s="118">
        <f t="shared" si="6"/>
        <v>19393516.15</v>
      </c>
      <c r="H36" s="118">
        <f t="shared" si="6"/>
        <v>19393516.15</v>
      </c>
      <c r="I36" s="118">
        <f t="shared" si="6"/>
        <v>19393516.15</v>
      </c>
      <c r="J36" s="118">
        <f t="shared" si="6"/>
        <v>19393516.15</v>
      </c>
      <c r="K36" s="118">
        <f t="shared" si="6"/>
        <v>19393516.15</v>
      </c>
      <c r="L36" s="118">
        <f t="shared" si="6"/>
        <v>19393516.15</v>
      </c>
      <c r="M36" s="118">
        <f t="shared" si="6"/>
        <v>19393516.15</v>
      </c>
      <c r="N36" s="118">
        <f t="shared" si="6"/>
        <v>19393516.15</v>
      </c>
      <c r="O36" s="118">
        <f t="shared" si="6"/>
        <v>19393516.15</v>
      </c>
      <c r="P36" s="118">
        <f t="shared" si="6"/>
        <v>19393516.15</v>
      </c>
      <c r="Q36" s="118">
        <f t="shared" si="6"/>
        <v>19393516.15</v>
      </c>
      <c r="R36" s="118">
        <f t="shared" si="6"/>
        <v>19393516.15</v>
      </c>
      <c r="S36" s="118">
        <f t="shared" si="6"/>
        <v>19393516.15</v>
      </c>
      <c r="T36" s="118">
        <f t="shared" si="6"/>
        <v>19393516.15</v>
      </c>
      <c r="U36" s="118">
        <f t="shared" si="6"/>
        <v>19393516.15</v>
      </c>
      <c r="V36" s="118">
        <f t="shared" si="6"/>
        <v>19393516.15</v>
      </c>
      <c r="W36" s="118">
        <f t="shared" si="6"/>
        <v>19393516.15</v>
      </c>
      <c r="X36" s="118">
        <f t="shared" si="6"/>
        <v>19393516.15</v>
      </c>
      <c r="Y36" s="118">
        <f t="shared" si="6"/>
        <v>19393516.15</v>
      </c>
      <c r="Z36" s="118">
        <f t="shared" si="6"/>
        <v>19393516.15</v>
      </c>
      <c r="AA36" s="118">
        <f t="shared" si="6"/>
        <v>19393516.15</v>
      </c>
      <c r="AB36" s="118">
        <f t="shared" si="6"/>
        <v>19393516.15</v>
      </c>
      <c r="AC36" s="118">
        <f t="shared" si="6"/>
        <v>19393516.15</v>
      </c>
      <c r="AD36" s="118">
        <f t="shared" si="6"/>
        <v>19393516.15</v>
      </c>
      <c r="AE36" s="118">
        <f t="shared" si="6"/>
        <v>19393516.15</v>
      </c>
      <c r="AF36" s="118">
        <f t="shared" si="6"/>
        <v>19393516.15</v>
      </c>
      <c r="AG36" s="118">
        <f t="shared" si="6"/>
        <v>19393516.15</v>
      </c>
      <c r="AH36" s="118">
        <f t="shared" si="6"/>
        <v>19393516.15</v>
      </c>
      <c r="AI36" s="118">
        <f t="shared" si="6"/>
        <v>19393516.15</v>
      </c>
      <c r="AJ36" s="118">
        <f t="shared" si="6"/>
        <v>19393516.15</v>
      </c>
      <c r="AK36" s="118">
        <f t="shared" si="6"/>
        <v>19393516.15</v>
      </c>
      <c r="AL36" s="118">
        <f t="shared" si="6"/>
        <v>19393516.15</v>
      </c>
      <c r="AM36" s="118">
        <f t="shared" si="6"/>
        <v>19393516.15</v>
      </c>
      <c r="AN36" s="118">
        <f t="shared" si="6"/>
        <v>19393516.15</v>
      </c>
      <c r="AO36" s="118">
        <f t="shared" si="6"/>
        <v>19393516.15</v>
      </c>
      <c r="AP36" s="118">
        <f t="shared" si="6"/>
        <v>19393516.15</v>
      </c>
      <c r="AR36" s="91">
        <f t="shared" si="1"/>
        <v>-0.0000006854534149</v>
      </c>
      <c r="AS36" s="92">
        <f>AR36/B36</f>
        <v>0</v>
      </c>
    </row>
    <row r="37" ht="15.75" customHeight="1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ht="15.75" customHeight="1">
      <c r="B38" s="119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R38" s="9"/>
    </row>
    <row r="39" ht="15.75" customHeight="1">
      <c r="B39" s="121"/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</row>
    <row r="40" ht="15.75" customHeight="1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R40" s="9"/>
    </row>
    <row r="41" ht="15.75" customHeight="1">
      <c r="B41" s="82">
        <v>1985.0</v>
      </c>
      <c r="C41" s="82">
        <v>1986.0</v>
      </c>
      <c r="D41" s="82">
        <v>1987.0</v>
      </c>
      <c r="E41" s="82">
        <v>1988.0</v>
      </c>
      <c r="F41" s="82">
        <v>1989.0</v>
      </c>
      <c r="G41" s="82">
        <v>1990.0</v>
      </c>
      <c r="H41" s="82">
        <v>1991.0</v>
      </c>
      <c r="I41" s="82">
        <v>1992.0</v>
      </c>
      <c r="J41" s="82">
        <v>1993.0</v>
      </c>
      <c r="K41" s="82">
        <v>1994.0</v>
      </c>
      <c r="L41" s="82">
        <v>1995.0</v>
      </c>
      <c r="M41" s="82">
        <v>1996.0</v>
      </c>
      <c r="N41" s="82">
        <v>1997.0</v>
      </c>
      <c r="O41" s="82">
        <v>1998.0</v>
      </c>
      <c r="P41" s="82">
        <v>1999.0</v>
      </c>
      <c r="Q41" s="82">
        <v>2000.0</v>
      </c>
      <c r="R41" s="82">
        <v>2001.0</v>
      </c>
      <c r="S41" s="82">
        <v>2002.0</v>
      </c>
      <c r="T41" s="82">
        <v>2003.0</v>
      </c>
      <c r="U41" s="82">
        <v>2004.0</v>
      </c>
      <c r="V41" s="82">
        <v>2005.0</v>
      </c>
      <c r="W41" s="82">
        <v>2006.0</v>
      </c>
      <c r="X41" s="82">
        <v>2007.0</v>
      </c>
      <c r="Y41" s="82">
        <v>2008.0</v>
      </c>
      <c r="Z41" s="82">
        <v>2009.0</v>
      </c>
      <c r="AA41" s="82">
        <v>2010.0</v>
      </c>
      <c r="AB41" s="82">
        <v>2011.0</v>
      </c>
      <c r="AC41" s="82">
        <v>2012.0</v>
      </c>
      <c r="AD41" s="82">
        <v>2013.0</v>
      </c>
      <c r="AE41" s="82">
        <v>2014.0</v>
      </c>
      <c r="AF41" s="82">
        <v>2015.0</v>
      </c>
      <c r="AG41" s="82">
        <v>2016.0</v>
      </c>
      <c r="AH41" s="82">
        <v>2017.0</v>
      </c>
      <c r="AI41" s="82">
        <v>2018.0</v>
      </c>
      <c r="AJ41" s="82">
        <v>2019.0</v>
      </c>
      <c r="AK41" s="82">
        <v>2020.0</v>
      </c>
      <c r="AL41" s="82">
        <v>2021.0</v>
      </c>
      <c r="AM41" s="82">
        <v>2022.0</v>
      </c>
      <c r="AN41" s="82">
        <v>2023.0</v>
      </c>
      <c r="AO41" s="82">
        <v>2024.0</v>
      </c>
      <c r="AP41" s="82">
        <v>2025.0</v>
      </c>
    </row>
    <row r="42" ht="15.75" customHeight="1">
      <c r="A42" s="2" t="s">
        <v>21</v>
      </c>
      <c r="B42" s="9">
        <f t="shared" ref="B42:AP42" si="7">B5</f>
        <v>2068478.496</v>
      </c>
      <c r="C42" s="9">
        <f t="shared" si="7"/>
        <v>2049037.375</v>
      </c>
      <c r="D42" s="9">
        <f t="shared" si="7"/>
        <v>2063989.784</v>
      </c>
      <c r="E42" s="9">
        <f t="shared" si="7"/>
        <v>2068942.485</v>
      </c>
      <c r="F42" s="9">
        <f t="shared" si="7"/>
        <v>2066885.267</v>
      </c>
      <c r="G42" s="9">
        <f t="shared" si="7"/>
        <v>2076565.942</v>
      </c>
      <c r="H42" s="9">
        <f t="shared" si="7"/>
        <v>2080820.87</v>
      </c>
      <c r="I42" s="9">
        <f t="shared" si="7"/>
        <v>2090082.906</v>
      </c>
      <c r="J42" s="9">
        <f t="shared" si="7"/>
        <v>2080975.912</v>
      </c>
      <c r="K42" s="9">
        <f t="shared" si="7"/>
        <v>2105144.64</v>
      </c>
      <c r="L42" s="9">
        <f t="shared" si="7"/>
        <v>2108446.734</v>
      </c>
      <c r="M42" s="9">
        <f t="shared" si="7"/>
        <v>2132017.922</v>
      </c>
      <c r="N42" s="9">
        <f t="shared" si="7"/>
        <v>2151858.026</v>
      </c>
      <c r="O42" s="9">
        <f t="shared" si="7"/>
        <v>2166711.033</v>
      </c>
      <c r="P42" s="9">
        <f t="shared" si="7"/>
        <v>2186150.556</v>
      </c>
      <c r="Q42" s="9">
        <f t="shared" si="7"/>
        <v>2188719.723</v>
      </c>
      <c r="R42" s="9">
        <f t="shared" si="7"/>
        <v>2195635.512</v>
      </c>
      <c r="S42" s="9">
        <f t="shared" si="7"/>
        <v>2186410.564</v>
      </c>
      <c r="T42" s="9">
        <f t="shared" si="7"/>
        <v>2193978.52</v>
      </c>
      <c r="U42" s="9">
        <f t="shared" si="7"/>
        <v>2207259.319</v>
      </c>
      <c r="V42" s="9">
        <f t="shared" si="7"/>
        <v>2216253.269</v>
      </c>
      <c r="W42" s="9">
        <f t="shared" si="7"/>
        <v>2248551.805</v>
      </c>
      <c r="X42" s="9">
        <f t="shared" si="7"/>
        <v>2269439.282</v>
      </c>
      <c r="Y42" s="9">
        <f t="shared" si="7"/>
        <v>2276353.981</v>
      </c>
      <c r="Z42" s="9">
        <f t="shared" si="7"/>
        <v>2289258.558</v>
      </c>
      <c r="AA42" s="9">
        <f t="shared" si="7"/>
        <v>2296313.855</v>
      </c>
      <c r="AB42" s="9">
        <f t="shared" si="7"/>
        <v>2307058.478</v>
      </c>
      <c r="AC42" s="9">
        <f t="shared" si="7"/>
        <v>2309487.387</v>
      </c>
      <c r="AD42" s="9">
        <f t="shared" si="7"/>
        <v>2302694.052</v>
      </c>
      <c r="AE42" s="9">
        <f t="shared" si="7"/>
        <v>2316516.647</v>
      </c>
      <c r="AF42" s="9">
        <f t="shared" si="7"/>
        <v>2340090.367</v>
      </c>
      <c r="AG42" s="9">
        <f t="shared" si="7"/>
        <v>2357130.372</v>
      </c>
      <c r="AH42" s="9">
        <f t="shared" si="7"/>
        <v>2369588.821</v>
      </c>
      <c r="AI42" s="9">
        <f t="shared" si="7"/>
        <v>2364834.66</v>
      </c>
      <c r="AJ42" s="9">
        <f t="shared" si="7"/>
        <v>2371541.533</v>
      </c>
      <c r="AK42" s="9">
        <f t="shared" si="7"/>
        <v>2368753.557</v>
      </c>
      <c r="AL42" s="9">
        <f t="shared" si="7"/>
        <v>2328280.898</v>
      </c>
      <c r="AM42" s="9">
        <f t="shared" si="7"/>
        <v>2325537.15</v>
      </c>
      <c r="AN42" s="9">
        <f t="shared" si="7"/>
        <v>2337451.218</v>
      </c>
      <c r="AO42" s="9">
        <f t="shared" si="7"/>
        <v>2332087.146</v>
      </c>
      <c r="AP42" s="9">
        <f t="shared" si="7"/>
        <v>2265749.071</v>
      </c>
    </row>
    <row r="43" ht="15.75" customHeight="1">
      <c r="A43" s="2" t="s">
        <v>98</v>
      </c>
      <c r="B43" s="9">
        <f t="shared" ref="B43:AP43" si="8">B12</f>
        <v>10286410.28</v>
      </c>
      <c r="C43" s="9">
        <f t="shared" si="8"/>
        <v>10272980.19</v>
      </c>
      <c r="D43" s="9">
        <f t="shared" si="8"/>
        <v>10041415.24</v>
      </c>
      <c r="E43" s="9">
        <f t="shared" si="8"/>
        <v>9782123.284</v>
      </c>
      <c r="F43" s="9">
        <f t="shared" si="8"/>
        <v>9547411.7</v>
      </c>
      <c r="G43" s="9">
        <f t="shared" si="8"/>
        <v>9375282.4</v>
      </c>
      <c r="H43" s="9">
        <f t="shared" si="8"/>
        <v>9215615.137</v>
      </c>
      <c r="I43" s="9">
        <f t="shared" si="8"/>
        <v>9156261.831</v>
      </c>
      <c r="J43" s="9">
        <f t="shared" si="8"/>
        <v>9113794.476</v>
      </c>
      <c r="K43" s="9">
        <f t="shared" si="8"/>
        <v>9020227.333</v>
      </c>
      <c r="L43" s="9">
        <f t="shared" si="8"/>
        <v>8957130.983</v>
      </c>
      <c r="M43" s="9">
        <f t="shared" si="8"/>
        <v>8893097.104</v>
      </c>
      <c r="N43" s="9">
        <f t="shared" si="8"/>
        <v>8797248.951</v>
      </c>
      <c r="O43" s="9">
        <f t="shared" si="8"/>
        <v>8678509.555</v>
      </c>
      <c r="P43" s="9">
        <f t="shared" si="8"/>
        <v>8572726.778</v>
      </c>
      <c r="Q43" s="9">
        <f t="shared" si="8"/>
        <v>8534311.523</v>
      </c>
      <c r="R43" s="9">
        <f t="shared" si="8"/>
        <v>8493572.735</v>
      </c>
      <c r="S43" s="9">
        <f t="shared" si="8"/>
        <v>8422773.181</v>
      </c>
      <c r="T43" s="9">
        <f t="shared" si="8"/>
        <v>8304306.412</v>
      </c>
      <c r="U43" s="9">
        <f t="shared" si="8"/>
        <v>8167911.604</v>
      </c>
      <c r="V43" s="9">
        <f t="shared" si="8"/>
        <v>8139115.145</v>
      </c>
      <c r="W43" s="9">
        <f t="shared" si="8"/>
        <v>8073065.964</v>
      </c>
      <c r="X43" s="9">
        <f t="shared" si="8"/>
        <v>7998867.481</v>
      </c>
      <c r="Y43" s="9">
        <f t="shared" si="8"/>
        <v>7951397.213</v>
      </c>
      <c r="Z43" s="9">
        <f t="shared" si="8"/>
        <v>7903286.477</v>
      </c>
      <c r="AA43" s="9">
        <f t="shared" si="8"/>
        <v>7771616.455</v>
      </c>
      <c r="AB43" s="9">
        <f t="shared" si="8"/>
        <v>7630096.635</v>
      </c>
      <c r="AC43" s="9">
        <f t="shared" si="8"/>
        <v>7491952.77</v>
      </c>
      <c r="AD43" s="9">
        <f t="shared" si="8"/>
        <v>7358413.893</v>
      </c>
      <c r="AE43" s="9">
        <f t="shared" si="8"/>
        <v>7256815.871</v>
      </c>
      <c r="AF43" s="9">
        <f t="shared" si="8"/>
        <v>7175741.614</v>
      </c>
      <c r="AG43" s="9">
        <f t="shared" si="8"/>
        <v>7104449.76</v>
      </c>
      <c r="AH43" s="9">
        <f t="shared" si="8"/>
        <v>6991254.146</v>
      </c>
      <c r="AI43" s="9">
        <f t="shared" si="8"/>
        <v>6877822.365</v>
      </c>
      <c r="AJ43" s="9">
        <f t="shared" si="8"/>
        <v>6723295.012</v>
      </c>
      <c r="AK43" s="9">
        <f t="shared" si="8"/>
        <v>6629720.647</v>
      </c>
      <c r="AL43" s="9">
        <f t="shared" si="8"/>
        <v>6479322.866</v>
      </c>
      <c r="AM43" s="9">
        <f t="shared" si="8"/>
        <v>6360870.228</v>
      </c>
      <c r="AN43" s="9">
        <f t="shared" si="8"/>
        <v>6243982.525</v>
      </c>
      <c r="AO43" s="9">
        <f t="shared" si="8"/>
        <v>6172898.52</v>
      </c>
      <c r="AP43" s="9">
        <f t="shared" si="8"/>
        <v>6099939.175</v>
      </c>
    </row>
    <row r="44" ht="15.75" customHeight="1">
      <c r="A44" s="9" t="s">
        <v>24</v>
      </c>
      <c r="B44" s="9">
        <f t="shared" ref="B44:AP44" si="9">B20</f>
        <v>4875136.585</v>
      </c>
      <c r="C44" s="9">
        <f t="shared" si="9"/>
        <v>4904151.462</v>
      </c>
      <c r="D44" s="9">
        <f t="shared" si="9"/>
        <v>5120844.152</v>
      </c>
      <c r="E44" s="9">
        <f t="shared" si="9"/>
        <v>5383804.463</v>
      </c>
      <c r="F44" s="9">
        <f t="shared" si="9"/>
        <v>5620564.603</v>
      </c>
      <c r="G44" s="9">
        <f t="shared" si="9"/>
        <v>5776182.866</v>
      </c>
      <c r="H44" s="9">
        <f t="shared" si="9"/>
        <v>5934835.35</v>
      </c>
      <c r="I44" s="9">
        <f t="shared" si="9"/>
        <v>5985557.27</v>
      </c>
      <c r="J44" s="9">
        <f t="shared" si="9"/>
        <v>6038293.254</v>
      </c>
      <c r="K44" s="9">
        <f t="shared" si="9"/>
        <v>6107665.933</v>
      </c>
      <c r="L44" s="9">
        <f t="shared" si="9"/>
        <v>6167855.034</v>
      </c>
      <c r="M44" s="9">
        <f t="shared" si="9"/>
        <v>6210821.62</v>
      </c>
      <c r="N44" s="9">
        <f t="shared" si="9"/>
        <v>6286342.718</v>
      </c>
      <c r="O44" s="9">
        <f t="shared" si="9"/>
        <v>6375313.85</v>
      </c>
      <c r="P44" s="9">
        <f t="shared" si="9"/>
        <v>6454488.075</v>
      </c>
      <c r="Q44" s="9">
        <f t="shared" si="9"/>
        <v>6509715.592</v>
      </c>
      <c r="R44" s="9">
        <f t="shared" si="9"/>
        <v>6541021.832</v>
      </c>
      <c r="S44" s="9">
        <f t="shared" si="9"/>
        <v>6613453.395</v>
      </c>
      <c r="T44" s="9">
        <f t="shared" si="9"/>
        <v>6717142.317</v>
      </c>
      <c r="U44" s="9">
        <f t="shared" si="9"/>
        <v>6855459.68</v>
      </c>
      <c r="V44" s="9">
        <f t="shared" si="9"/>
        <v>6878040.349</v>
      </c>
      <c r="W44" s="9">
        <f t="shared" si="9"/>
        <v>6917864.132</v>
      </c>
      <c r="X44" s="9">
        <f t="shared" si="9"/>
        <v>6972504.594</v>
      </c>
      <c r="Y44" s="9">
        <f t="shared" si="9"/>
        <v>7016409.256</v>
      </c>
      <c r="Z44" s="9">
        <f t="shared" si="9"/>
        <v>7054989.395</v>
      </c>
      <c r="AA44" s="9">
        <f t="shared" si="9"/>
        <v>7175346.903</v>
      </c>
      <c r="AB44" s="9">
        <f t="shared" si="9"/>
        <v>7311137.33</v>
      </c>
      <c r="AC44" s="9">
        <f t="shared" si="9"/>
        <v>7441939.551</v>
      </c>
      <c r="AD44" s="9">
        <f t="shared" si="9"/>
        <v>7572126.346</v>
      </c>
      <c r="AE44" s="9">
        <f t="shared" si="9"/>
        <v>7653838.803</v>
      </c>
      <c r="AF44" s="9">
        <f t="shared" si="9"/>
        <v>7708816.53</v>
      </c>
      <c r="AG44" s="9">
        <f t="shared" si="9"/>
        <v>7761080.371</v>
      </c>
      <c r="AH44" s="9">
        <f t="shared" si="9"/>
        <v>7859043.182</v>
      </c>
      <c r="AI44" s="9">
        <f t="shared" si="9"/>
        <v>7979519.539</v>
      </c>
      <c r="AJ44" s="9">
        <f t="shared" si="9"/>
        <v>8126523.159</v>
      </c>
      <c r="AK44" s="9">
        <f t="shared" si="9"/>
        <v>8227216.269</v>
      </c>
      <c r="AL44" s="9">
        <f t="shared" si="9"/>
        <v>8420214.043</v>
      </c>
      <c r="AM44" s="9">
        <f t="shared" si="9"/>
        <v>8559833.581</v>
      </c>
      <c r="AN44" s="9">
        <f t="shared" si="9"/>
        <v>8666627.94</v>
      </c>
      <c r="AO44" s="9">
        <f t="shared" si="9"/>
        <v>8726132.443</v>
      </c>
      <c r="AP44" s="9">
        <f t="shared" si="9"/>
        <v>8866130.407</v>
      </c>
    </row>
    <row r="45" ht="15.75" customHeight="1">
      <c r="A45" s="9" t="s">
        <v>32</v>
      </c>
      <c r="B45" s="9">
        <f t="shared" ref="B45:AP45" si="10">B25+B32</f>
        <v>2163490.787</v>
      </c>
      <c r="C45" s="9">
        <f t="shared" si="10"/>
        <v>2167347.124</v>
      </c>
      <c r="D45" s="9">
        <f t="shared" si="10"/>
        <v>2167266.974</v>
      </c>
      <c r="E45" s="9">
        <f t="shared" si="10"/>
        <v>2158645.916</v>
      </c>
      <c r="F45" s="9">
        <f t="shared" si="10"/>
        <v>2158654.578</v>
      </c>
      <c r="G45" s="9">
        <f t="shared" si="10"/>
        <v>2165484.94</v>
      </c>
      <c r="H45" s="9">
        <f t="shared" si="10"/>
        <v>2162244.79</v>
      </c>
      <c r="I45" s="9">
        <f t="shared" si="10"/>
        <v>2161614.142</v>
      </c>
      <c r="J45" s="9">
        <f t="shared" si="10"/>
        <v>2160452.507</v>
      </c>
      <c r="K45" s="9">
        <f t="shared" si="10"/>
        <v>2160478.243</v>
      </c>
      <c r="L45" s="9">
        <f t="shared" si="10"/>
        <v>2160083.397</v>
      </c>
      <c r="M45" s="9">
        <f t="shared" si="10"/>
        <v>2157579.502</v>
      </c>
      <c r="N45" s="9">
        <f t="shared" si="10"/>
        <v>2158066.453</v>
      </c>
      <c r="O45" s="9">
        <f t="shared" si="10"/>
        <v>2172981.711</v>
      </c>
      <c r="P45" s="9">
        <f t="shared" si="10"/>
        <v>2180150.739</v>
      </c>
      <c r="Q45" s="9">
        <f t="shared" si="10"/>
        <v>2160769.31</v>
      </c>
      <c r="R45" s="9">
        <f t="shared" si="10"/>
        <v>2163286.069</v>
      </c>
      <c r="S45" s="9">
        <f t="shared" si="10"/>
        <v>2170879.009</v>
      </c>
      <c r="T45" s="9">
        <f t="shared" si="10"/>
        <v>2178088.899</v>
      </c>
      <c r="U45" s="9">
        <f t="shared" si="10"/>
        <v>2162885.545</v>
      </c>
      <c r="V45" s="9">
        <f t="shared" si="10"/>
        <v>2160107.385</v>
      </c>
      <c r="W45" s="9">
        <f t="shared" si="10"/>
        <v>2154034.247</v>
      </c>
      <c r="X45" s="9">
        <f t="shared" si="10"/>
        <v>2152704.79</v>
      </c>
      <c r="Y45" s="9">
        <f t="shared" si="10"/>
        <v>2149355.699</v>
      </c>
      <c r="Z45" s="9">
        <f t="shared" si="10"/>
        <v>2145981.718</v>
      </c>
      <c r="AA45" s="9">
        <f t="shared" si="10"/>
        <v>2150238.936</v>
      </c>
      <c r="AB45" s="9">
        <f t="shared" si="10"/>
        <v>2145223.705</v>
      </c>
      <c r="AC45" s="9">
        <f t="shared" si="10"/>
        <v>2150136.44</v>
      </c>
      <c r="AD45" s="9">
        <f t="shared" si="10"/>
        <v>2160281.857</v>
      </c>
      <c r="AE45" s="9">
        <f t="shared" si="10"/>
        <v>2166344.826</v>
      </c>
      <c r="AF45" s="9">
        <f t="shared" si="10"/>
        <v>2168867.637</v>
      </c>
      <c r="AG45" s="9">
        <f t="shared" si="10"/>
        <v>2170855.644</v>
      </c>
      <c r="AH45" s="9">
        <f t="shared" si="10"/>
        <v>2173630</v>
      </c>
      <c r="AI45" s="9">
        <f t="shared" si="10"/>
        <v>2171339.585</v>
      </c>
      <c r="AJ45" s="9">
        <f t="shared" si="10"/>
        <v>2172156.444</v>
      </c>
      <c r="AK45" s="9">
        <f t="shared" si="10"/>
        <v>2167825.675</v>
      </c>
      <c r="AL45" s="9">
        <f t="shared" si="10"/>
        <v>2165698.341</v>
      </c>
      <c r="AM45" s="9">
        <f t="shared" si="10"/>
        <v>2147275.189</v>
      </c>
      <c r="AN45" s="9">
        <f t="shared" si="10"/>
        <v>2145454.464</v>
      </c>
      <c r="AO45" s="9">
        <f t="shared" si="10"/>
        <v>2162398.039</v>
      </c>
      <c r="AP45" s="9">
        <f t="shared" si="10"/>
        <v>2161697.495</v>
      </c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T46" s="122"/>
    </row>
    <row r="47" ht="15.75" customHeight="1">
      <c r="A47" s="123" t="s">
        <v>99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T47" s="122"/>
    </row>
    <row r="48" ht="15.75" customHeight="1">
      <c r="A48" s="124" t="s">
        <v>21</v>
      </c>
      <c r="B48" s="125">
        <f t="shared" ref="B48:AP48" si="11">B42/1000000</f>
        <v>2.068478496</v>
      </c>
      <c r="C48" s="125">
        <f t="shared" si="11"/>
        <v>2.049037375</v>
      </c>
      <c r="D48" s="125">
        <f t="shared" si="11"/>
        <v>2.063989784</v>
      </c>
      <c r="E48" s="125">
        <f t="shared" si="11"/>
        <v>2.068942485</v>
      </c>
      <c r="F48" s="125">
        <f t="shared" si="11"/>
        <v>2.066885267</v>
      </c>
      <c r="G48" s="125">
        <f t="shared" si="11"/>
        <v>2.076565942</v>
      </c>
      <c r="H48" s="125">
        <f t="shared" si="11"/>
        <v>2.08082087</v>
      </c>
      <c r="I48" s="125">
        <f t="shared" si="11"/>
        <v>2.090082906</v>
      </c>
      <c r="J48" s="125">
        <f t="shared" si="11"/>
        <v>2.080975912</v>
      </c>
      <c r="K48" s="125">
        <f t="shared" si="11"/>
        <v>2.10514464</v>
      </c>
      <c r="L48" s="125">
        <f t="shared" si="11"/>
        <v>2.108446734</v>
      </c>
      <c r="M48" s="125">
        <f t="shared" si="11"/>
        <v>2.132017922</v>
      </c>
      <c r="N48" s="125">
        <f t="shared" si="11"/>
        <v>2.151858026</v>
      </c>
      <c r="O48" s="125">
        <f t="shared" si="11"/>
        <v>2.166711033</v>
      </c>
      <c r="P48" s="125">
        <f t="shared" si="11"/>
        <v>2.186150556</v>
      </c>
      <c r="Q48" s="125">
        <f t="shared" si="11"/>
        <v>2.188719723</v>
      </c>
      <c r="R48" s="125">
        <f t="shared" si="11"/>
        <v>2.195635512</v>
      </c>
      <c r="S48" s="125">
        <f t="shared" si="11"/>
        <v>2.186410564</v>
      </c>
      <c r="T48" s="125">
        <f t="shared" si="11"/>
        <v>2.19397852</v>
      </c>
      <c r="U48" s="125">
        <f t="shared" si="11"/>
        <v>2.207259319</v>
      </c>
      <c r="V48" s="125">
        <f t="shared" si="11"/>
        <v>2.216253269</v>
      </c>
      <c r="W48" s="125">
        <f t="shared" si="11"/>
        <v>2.248551805</v>
      </c>
      <c r="X48" s="125">
        <f t="shared" si="11"/>
        <v>2.269439282</v>
      </c>
      <c r="Y48" s="125">
        <f t="shared" si="11"/>
        <v>2.276353981</v>
      </c>
      <c r="Z48" s="125">
        <f t="shared" si="11"/>
        <v>2.289258558</v>
      </c>
      <c r="AA48" s="125">
        <f t="shared" si="11"/>
        <v>2.296313855</v>
      </c>
      <c r="AB48" s="125">
        <f t="shared" si="11"/>
        <v>2.307058478</v>
      </c>
      <c r="AC48" s="125">
        <f t="shared" si="11"/>
        <v>2.309487387</v>
      </c>
      <c r="AD48" s="125">
        <f t="shared" si="11"/>
        <v>2.302694052</v>
      </c>
      <c r="AE48" s="125">
        <f t="shared" si="11"/>
        <v>2.316516647</v>
      </c>
      <c r="AF48" s="125">
        <f t="shared" si="11"/>
        <v>2.340090367</v>
      </c>
      <c r="AG48" s="125">
        <f t="shared" si="11"/>
        <v>2.357130372</v>
      </c>
      <c r="AH48" s="125">
        <f t="shared" si="11"/>
        <v>2.369588821</v>
      </c>
      <c r="AI48" s="125">
        <f t="shared" si="11"/>
        <v>2.36483466</v>
      </c>
      <c r="AJ48" s="125">
        <f t="shared" si="11"/>
        <v>2.371541533</v>
      </c>
      <c r="AK48" s="125">
        <f t="shared" si="11"/>
        <v>2.368753557</v>
      </c>
      <c r="AL48" s="125">
        <f t="shared" si="11"/>
        <v>2.328280898</v>
      </c>
      <c r="AM48" s="125">
        <f t="shared" si="11"/>
        <v>2.32553715</v>
      </c>
      <c r="AN48" s="125">
        <f t="shared" si="11"/>
        <v>2.337451218</v>
      </c>
      <c r="AO48" s="125">
        <f t="shared" si="11"/>
        <v>2.332087146</v>
      </c>
      <c r="AP48" s="125">
        <f t="shared" si="11"/>
        <v>2.265749071</v>
      </c>
      <c r="AQ48" s="122"/>
      <c r="AR48" s="126"/>
      <c r="AS48" s="122"/>
      <c r="AT48" s="122"/>
    </row>
    <row r="49" ht="15.75" customHeight="1">
      <c r="A49" s="124" t="s">
        <v>98</v>
      </c>
      <c r="B49" s="125">
        <f t="shared" ref="B49:AP49" si="12">B43/1000000</f>
        <v>10.28641028</v>
      </c>
      <c r="C49" s="125">
        <f t="shared" si="12"/>
        <v>10.27298019</v>
      </c>
      <c r="D49" s="125">
        <f t="shared" si="12"/>
        <v>10.04141524</v>
      </c>
      <c r="E49" s="125">
        <f t="shared" si="12"/>
        <v>9.782123284</v>
      </c>
      <c r="F49" s="125">
        <f t="shared" si="12"/>
        <v>9.5474117</v>
      </c>
      <c r="G49" s="125">
        <f t="shared" si="12"/>
        <v>9.3752824</v>
      </c>
      <c r="H49" s="125">
        <f t="shared" si="12"/>
        <v>9.215615137</v>
      </c>
      <c r="I49" s="125">
        <f t="shared" si="12"/>
        <v>9.156261831</v>
      </c>
      <c r="J49" s="125">
        <f t="shared" si="12"/>
        <v>9.113794476</v>
      </c>
      <c r="K49" s="125">
        <f t="shared" si="12"/>
        <v>9.020227333</v>
      </c>
      <c r="L49" s="125">
        <f t="shared" si="12"/>
        <v>8.957130983</v>
      </c>
      <c r="M49" s="125">
        <f t="shared" si="12"/>
        <v>8.893097104</v>
      </c>
      <c r="N49" s="125">
        <f t="shared" si="12"/>
        <v>8.797248951</v>
      </c>
      <c r="O49" s="125">
        <f t="shared" si="12"/>
        <v>8.678509555</v>
      </c>
      <c r="P49" s="125">
        <f t="shared" si="12"/>
        <v>8.572726778</v>
      </c>
      <c r="Q49" s="125">
        <f t="shared" si="12"/>
        <v>8.534311523</v>
      </c>
      <c r="R49" s="125">
        <f t="shared" si="12"/>
        <v>8.493572735</v>
      </c>
      <c r="S49" s="125">
        <f t="shared" si="12"/>
        <v>8.422773181</v>
      </c>
      <c r="T49" s="125">
        <f t="shared" si="12"/>
        <v>8.304306412</v>
      </c>
      <c r="U49" s="125">
        <f t="shared" si="12"/>
        <v>8.167911604</v>
      </c>
      <c r="V49" s="125">
        <f t="shared" si="12"/>
        <v>8.139115145</v>
      </c>
      <c r="W49" s="125">
        <f t="shared" si="12"/>
        <v>8.073065964</v>
      </c>
      <c r="X49" s="125">
        <f t="shared" si="12"/>
        <v>7.998867481</v>
      </c>
      <c r="Y49" s="125">
        <f t="shared" si="12"/>
        <v>7.951397213</v>
      </c>
      <c r="Z49" s="125">
        <f t="shared" si="12"/>
        <v>7.903286477</v>
      </c>
      <c r="AA49" s="125">
        <f t="shared" si="12"/>
        <v>7.771616455</v>
      </c>
      <c r="AB49" s="125">
        <f t="shared" si="12"/>
        <v>7.630096635</v>
      </c>
      <c r="AC49" s="125">
        <f t="shared" si="12"/>
        <v>7.49195277</v>
      </c>
      <c r="AD49" s="125">
        <f t="shared" si="12"/>
        <v>7.358413893</v>
      </c>
      <c r="AE49" s="125">
        <f t="shared" si="12"/>
        <v>7.256815871</v>
      </c>
      <c r="AF49" s="125">
        <f t="shared" si="12"/>
        <v>7.175741614</v>
      </c>
      <c r="AG49" s="125">
        <f t="shared" si="12"/>
        <v>7.10444976</v>
      </c>
      <c r="AH49" s="125">
        <f t="shared" si="12"/>
        <v>6.991254146</v>
      </c>
      <c r="AI49" s="125">
        <f t="shared" si="12"/>
        <v>6.877822365</v>
      </c>
      <c r="AJ49" s="125">
        <f t="shared" si="12"/>
        <v>6.723295012</v>
      </c>
      <c r="AK49" s="125">
        <f t="shared" si="12"/>
        <v>6.629720647</v>
      </c>
      <c r="AL49" s="125">
        <f t="shared" si="12"/>
        <v>6.479322866</v>
      </c>
      <c r="AM49" s="125">
        <f t="shared" si="12"/>
        <v>6.360870228</v>
      </c>
      <c r="AN49" s="125">
        <f t="shared" si="12"/>
        <v>6.243982525</v>
      </c>
      <c r="AO49" s="125">
        <f t="shared" si="12"/>
        <v>6.17289852</v>
      </c>
      <c r="AP49" s="125">
        <f t="shared" si="12"/>
        <v>6.099939175</v>
      </c>
      <c r="AQ49" s="122"/>
      <c r="AR49" s="126"/>
      <c r="AS49" s="122"/>
      <c r="AT49" s="122"/>
    </row>
    <row r="50" ht="15.75" customHeight="1">
      <c r="A50" s="124" t="s">
        <v>24</v>
      </c>
      <c r="B50" s="125">
        <f t="shared" ref="B50:AP50" si="13">B44/1000000</f>
        <v>4.875136585</v>
      </c>
      <c r="C50" s="125">
        <f t="shared" si="13"/>
        <v>4.904151462</v>
      </c>
      <c r="D50" s="125">
        <f t="shared" si="13"/>
        <v>5.120844152</v>
      </c>
      <c r="E50" s="125">
        <f t="shared" si="13"/>
        <v>5.383804463</v>
      </c>
      <c r="F50" s="125">
        <f t="shared" si="13"/>
        <v>5.620564603</v>
      </c>
      <c r="G50" s="125">
        <f t="shared" si="13"/>
        <v>5.776182866</v>
      </c>
      <c r="H50" s="125">
        <f t="shared" si="13"/>
        <v>5.93483535</v>
      </c>
      <c r="I50" s="125">
        <f t="shared" si="13"/>
        <v>5.98555727</v>
      </c>
      <c r="J50" s="125">
        <f t="shared" si="13"/>
        <v>6.038293254</v>
      </c>
      <c r="K50" s="125">
        <f t="shared" si="13"/>
        <v>6.107665933</v>
      </c>
      <c r="L50" s="125">
        <f t="shared" si="13"/>
        <v>6.167855034</v>
      </c>
      <c r="M50" s="125">
        <f t="shared" si="13"/>
        <v>6.21082162</v>
      </c>
      <c r="N50" s="125">
        <f t="shared" si="13"/>
        <v>6.286342718</v>
      </c>
      <c r="O50" s="125">
        <f t="shared" si="13"/>
        <v>6.37531385</v>
      </c>
      <c r="P50" s="125">
        <f t="shared" si="13"/>
        <v>6.454488075</v>
      </c>
      <c r="Q50" s="125">
        <f t="shared" si="13"/>
        <v>6.509715592</v>
      </c>
      <c r="R50" s="125">
        <f t="shared" si="13"/>
        <v>6.541021832</v>
      </c>
      <c r="S50" s="125">
        <f t="shared" si="13"/>
        <v>6.613453395</v>
      </c>
      <c r="T50" s="125">
        <f t="shared" si="13"/>
        <v>6.717142317</v>
      </c>
      <c r="U50" s="125">
        <f t="shared" si="13"/>
        <v>6.85545968</v>
      </c>
      <c r="V50" s="125">
        <f t="shared" si="13"/>
        <v>6.878040349</v>
      </c>
      <c r="W50" s="125">
        <f t="shared" si="13"/>
        <v>6.917864132</v>
      </c>
      <c r="X50" s="125">
        <f t="shared" si="13"/>
        <v>6.972504594</v>
      </c>
      <c r="Y50" s="125">
        <f t="shared" si="13"/>
        <v>7.016409256</v>
      </c>
      <c r="Z50" s="125">
        <f t="shared" si="13"/>
        <v>7.054989395</v>
      </c>
      <c r="AA50" s="125">
        <f t="shared" si="13"/>
        <v>7.175346903</v>
      </c>
      <c r="AB50" s="125">
        <f t="shared" si="13"/>
        <v>7.31113733</v>
      </c>
      <c r="AC50" s="125">
        <f t="shared" si="13"/>
        <v>7.441939551</v>
      </c>
      <c r="AD50" s="125">
        <f t="shared" si="13"/>
        <v>7.572126346</v>
      </c>
      <c r="AE50" s="125">
        <f t="shared" si="13"/>
        <v>7.653838803</v>
      </c>
      <c r="AF50" s="125">
        <f t="shared" si="13"/>
        <v>7.70881653</v>
      </c>
      <c r="AG50" s="125">
        <f t="shared" si="13"/>
        <v>7.761080371</v>
      </c>
      <c r="AH50" s="125">
        <f t="shared" si="13"/>
        <v>7.859043182</v>
      </c>
      <c r="AI50" s="125">
        <f t="shared" si="13"/>
        <v>7.979519539</v>
      </c>
      <c r="AJ50" s="125">
        <f t="shared" si="13"/>
        <v>8.126523159</v>
      </c>
      <c r="AK50" s="125">
        <f t="shared" si="13"/>
        <v>8.227216269</v>
      </c>
      <c r="AL50" s="125">
        <f t="shared" si="13"/>
        <v>8.420214043</v>
      </c>
      <c r="AM50" s="125">
        <f t="shared" si="13"/>
        <v>8.559833581</v>
      </c>
      <c r="AN50" s="125">
        <f t="shared" si="13"/>
        <v>8.66662794</v>
      </c>
      <c r="AO50" s="125">
        <f t="shared" si="13"/>
        <v>8.726132443</v>
      </c>
      <c r="AP50" s="125">
        <f t="shared" si="13"/>
        <v>8.866130407</v>
      </c>
      <c r="AQ50" s="122"/>
      <c r="AR50" s="122"/>
      <c r="AS50" s="122"/>
    </row>
    <row r="51" ht="15.75" customHeight="1">
      <c r="A51" s="124" t="s">
        <v>32</v>
      </c>
      <c r="B51" s="125">
        <f t="shared" ref="B51:AP51" si="14">B45/1000000</f>
        <v>2.163490787</v>
      </c>
      <c r="C51" s="125">
        <f t="shared" si="14"/>
        <v>2.167347124</v>
      </c>
      <c r="D51" s="125">
        <f t="shared" si="14"/>
        <v>2.167266974</v>
      </c>
      <c r="E51" s="125">
        <f t="shared" si="14"/>
        <v>2.158645916</v>
      </c>
      <c r="F51" s="125">
        <f t="shared" si="14"/>
        <v>2.158654578</v>
      </c>
      <c r="G51" s="125">
        <f t="shared" si="14"/>
        <v>2.16548494</v>
      </c>
      <c r="H51" s="125">
        <f t="shared" si="14"/>
        <v>2.16224479</v>
      </c>
      <c r="I51" s="125">
        <f t="shared" si="14"/>
        <v>2.161614142</v>
      </c>
      <c r="J51" s="125">
        <f t="shared" si="14"/>
        <v>2.160452507</v>
      </c>
      <c r="K51" s="125">
        <f t="shared" si="14"/>
        <v>2.160478243</v>
      </c>
      <c r="L51" s="125">
        <f t="shared" si="14"/>
        <v>2.160083397</v>
      </c>
      <c r="M51" s="125">
        <f t="shared" si="14"/>
        <v>2.157579502</v>
      </c>
      <c r="N51" s="125">
        <f t="shared" si="14"/>
        <v>2.158066453</v>
      </c>
      <c r="O51" s="125">
        <f t="shared" si="14"/>
        <v>2.172981711</v>
      </c>
      <c r="P51" s="125">
        <f t="shared" si="14"/>
        <v>2.180150739</v>
      </c>
      <c r="Q51" s="125">
        <f t="shared" si="14"/>
        <v>2.16076931</v>
      </c>
      <c r="R51" s="125">
        <f t="shared" si="14"/>
        <v>2.163286069</v>
      </c>
      <c r="S51" s="125">
        <f t="shared" si="14"/>
        <v>2.170879009</v>
      </c>
      <c r="T51" s="125">
        <f t="shared" si="14"/>
        <v>2.178088899</v>
      </c>
      <c r="U51" s="125">
        <f t="shared" si="14"/>
        <v>2.162885545</v>
      </c>
      <c r="V51" s="125">
        <f t="shared" si="14"/>
        <v>2.160107385</v>
      </c>
      <c r="W51" s="125">
        <f t="shared" si="14"/>
        <v>2.154034247</v>
      </c>
      <c r="X51" s="125">
        <f t="shared" si="14"/>
        <v>2.15270479</v>
      </c>
      <c r="Y51" s="125">
        <f t="shared" si="14"/>
        <v>2.149355699</v>
      </c>
      <c r="Z51" s="125">
        <f t="shared" si="14"/>
        <v>2.145981718</v>
      </c>
      <c r="AA51" s="125">
        <f t="shared" si="14"/>
        <v>2.150238936</v>
      </c>
      <c r="AB51" s="125">
        <f t="shared" si="14"/>
        <v>2.145223705</v>
      </c>
      <c r="AC51" s="125">
        <f t="shared" si="14"/>
        <v>2.15013644</v>
      </c>
      <c r="AD51" s="125">
        <f t="shared" si="14"/>
        <v>2.160281857</v>
      </c>
      <c r="AE51" s="125">
        <f t="shared" si="14"/>
        <v>2.166344826</v>
      </c>
      <c r="AF51" s="125">
        <f t="shared" si="14"/>
        <v>2.168867637</v>
      </c>
      <c r="AG51" s="125">
        <f t="shared" si="14"/>
        <v>2.170855644</v>
      </c>
      <c r="AH51" s="125">
        <f t="shared" si="14"/>
        <v>2.17363</v>
      </c>
      <c r="AI51" s="125">
        <f t="shared" si="14"/>
        <v>2.171339585</v>
      </c>
      <c r="AJ51" s="125">
        <f t="shared" si="14"/>
        <v>2.172156444</v>
      </c>
      <c r="AK51" s="125">
        <f t="shared" si="14"/>
        <v>2.167825675</v>
      </c>
      <c r="AL51" s="125">
        <f t="shared" si="14"/>
        <v>2.165698341</v>
      </c>
      <c r="AM51" s="125">
        <f t="shared" si="14"/>
        <v>2.147275189</v>
      </c>
      <c r="AN51" s="125">
        <f t="shared" si="14"/>
        <v>2.145454464</v>
      </c>
      <c r="AO51" s="125">
        <f t="shared" si="14"/>
        <v>2.162398039</v>
      </c>
      <c r="AP51" s="125">
        <f t="shared" si="14"/>
        <v>2.161697495</v>
      </c>
      <c r="AQ51" s="122"/>
      <c r="AR51" s="122"/>
      <c r="AS51" s="122"/>
    </row>
    <row r="52" ht="15.75" customHeight="1">
      <c r="B52" s="127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ht="15.75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ht="15.7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ht="15.7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ht="15.7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ht="15.75" customHeigh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ht="15.75" customHeight="1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ht="15.75" customHeight="1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ht="15.75" customHeight="1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ht="15.75" customHeight="1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ht="15.75" customHeight="1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ht="15.75" customHeight="1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ht="15.75" customHeight="1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ht="15.75" customHeight="1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ht="15.75" customHeight="1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ht="15.75" customHeight="1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ht="15.75" customHeight="1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ht="15.75" customHeight="1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ht="15.75" customHeight="1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ht="15.75" customHeight="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ht="15.75" customHeight="1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ht="15.75" customHeight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ht="15.75" customHeight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ht="15.75" customHeight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ht="15.75" customHeight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ht="15.75" customHeight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ht="15.75" customHeight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ht="15.75" customHeight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ht="15.75" customHeight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ht="15.75" customHeight="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ht="15.75" customHeight="1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ht="15.75" customHeight="1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ht="15.75" customHeight="1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ht="15.75" customHeight="1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ht="15.75" customHeight="1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ht="15.75" customHeight="1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ht="15.75" customHeight="1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ht="15.75" customHeight="1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ht="15.75" customHeight="1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ht="15.75" customHeight="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ht="15.75" customHeight="1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ht="15.75" customHeight="1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ht="15.75" customHeight="1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ht="15.75" customHeight="1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ht="15.75" customHeight="1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ht="15.75" customHeight="1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ht="15.75" customHeight="1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ht="15.75" customHeight="1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ht="15.75" customHeight="1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ht="15.75" customHeight="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t="15.75" customHeight="1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ht="15.75" customHeight="1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ht="15.75" customHeight="1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ht="15.75" customHeight="1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ht="15.75" customHeight="1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ht="15.75" customHeight="1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ht="15.75" customHeight="1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ht="15.75" customHeight="1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ht="15.75" customHeight="1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ht="15.75" customHeight="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ht="15.75" customHeight="1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ht="15.75" customHeight="1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ht="15.75" customHeight="1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ht="15.75" customHeight="1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ht="15.75" customHeight="1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ht="15.75" customHeight="1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ht="15.75" customHeight="1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ht="15.75" customHeight="1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ht="15.75" customHeight="1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ht="15.75" customHeight="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ht="15.75" customHeight="1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ht="15.75" customHeight="1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ht="15.75" customHeight="1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ht="15.75" customHeight="1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ht="15.75" customHeight="1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ht="15.75" customHeight="1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ht="15.75" customHeight="1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ht="15.75" customHeight="1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ht="15.75" customHeight="1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ht="15.75" customHeight="1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ht="15.75" customHeight="1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t="15.75" customHeight="1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t="15.75" customHeight="1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t="15.75" customHeight="1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t="15.75" customHeight="1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t="15.75" customHeight="1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ht="15.75" customHeight="1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t="15.75" customHeight="1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t="15.75" customHeight="1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t="15.75" customHeight="1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t="15.75" customHeight="1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t="15.75" customHeight="1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ht="15.75" customHeight="1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ht="15.75" customHeight="1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t="15.75" customHeight="1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ht="15.75" customHeight="1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ht="15.75" customHeight="1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ht="15.75" customHeight="1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t="15.75" customHeight="1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t="15.75" customHeight="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t="15.75" customHeight="1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ht="15.75" customHeight="1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t="15.75" customHeight="1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t="15.75" customHeight="1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t="15.75" customHeight="1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t="15.75" customHeight="1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ht="15.75" customHeight="1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t="15.75" customHeight="1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t="15.75" customHeight="1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ht="15.75" customHeight="1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ht="15.75" customHeight="1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t="15.75" customHeight="1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ht="15.75" customHeight="1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ht="15.75" customHeight="1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t="15.75" customHeight="1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t="15.75" customHeight="1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t="15.75" customHeight="1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t="15.75" customHeight="1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t="15.75" customHeight="1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ht="15.75" customHeight="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t="15.75" customHeight="1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t="15.75" customHeight="1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ht="15.75" customHeight="1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ht="15.75" customHeight="1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ht="15.75" customHeight="1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 ht="15.75" customHeight="1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ht="15.75" customHeight="1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 ht="15.75" customHeight="1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ht="15.75" customHeight="1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 ht="15.75" customHeight="1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ht="15.75" customHeight="1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 ht="15.75" customHeight="1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 ht="15.75" customHeight="1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 ht="15.75" customHeight="1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 ht="15.75" customHeight="1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 ht="15.75" customHeight="1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 ht="15.75" customHeight="1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 ht="15.75" customHeight="1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 ht="15.75" customHeight="1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 ht="15.75" customHeight="1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 ht="15.75" customHeight="1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 ht="15.75" customHeight="1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 ht="15.75" customHeight="1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 ht="15.75" customHeight="1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 ht="15.75" customHeight="1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 ht="15.75" customHeight="1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 ht="15.75" customHeight="1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 ht="15.75" customHeight="1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 ht="15.75" customHeight="1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 ht="15.75" customHeight="1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 ht="15.75" customHeight="1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 ht="15.75" customHeight="1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 ht="15.75" customHeight="1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 ht="15.75" customHeight="1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 ht="15.75" customHeight="1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 ht="15.75" customHeight="1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 ht="15.75" customHeight="1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 ht="15.75" customHeight="1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 ht="15.75" customHeight="1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 ht="15.75" customHeight="1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 ht="15.75" customHeight="1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 ht="15.75" customHeight="1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 ht="15.75" customHeight="1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 ht="15.75" customHeight="1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 ht="15.75" customHeight="1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 ht="15.75" customHeight="1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 ht="15.75" customHeight="1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 ht="15.75" customHeight="1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 ht="15.75" customHeight="1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 ht="15.75" customHeight="1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ht="15.75" customHeight="1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 ht="15.75" customHeight="1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ht="15.75" customHeight="1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 ht="15.75" customHeight="1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 ht="15.75" customHeight="1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 ht="15.75" customHeight="1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 ht="15.75" customHeight="1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 ht="15.75" customHeight="1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ht="15.75" customHeight="1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 ht="15.75" customHeight="1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ht="15.75" customHeight="1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 ht="15.75" customHeight="1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 ht="15.75" customHeight="1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 ht="15.75" customHeight="1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 ht="15.75" customHeight="1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 ht="15.75" customHeight="1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 ht="15.75" customHeight="1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 ht="15.75" customHeight="1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 ht="15.75" customHeight="1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 ht="15.75" customHeight="1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 ht="15.75" customHeight="1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 ht="15.75" customHeight="1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 ht="15.75" customHeight="1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 ht="15.75" customHeight="1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 ht="15.75" customHeight="1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 ht="15.75" customHeight="1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 ht="15.75" customHeight="1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 ht="15.75" customHeight="1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 ht="15.75" customHeight="1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 ht="15.75" customHeight="1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 ht="15.75" customHeight="1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 ht="15.75" customHeight="1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 ht="15.75" customHeight="1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 ht="15.75" customHeight="1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 ht="15.75" customHeight="1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 ht="15.75" customHeight="1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ht="15.75" customHeight="1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 ht="15.75" customHeight="1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ht="15.75" customHeight="1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 ht="15.75" customHeight="1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 ht="15.75" customHeight="1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 ht="15.75" customHeight="1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 ht="15.75" customHeight="1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 ht="15.75" customHeight="1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 ht="15.75" customHeight="1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 ht="15.75" customHeight="1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 ht="15.75" customHeight="1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 ht="15.75" customHeight="1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ht="15.75" customHeight="1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 ht="15.75" customHeight="1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 ht="15.75" customHeight="1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 ht="15.75" customHeight="1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 ht="15.75" customHeight="1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 ht="15.75" customHeight="1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 ht="15.75" customHeight="1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 ht="15.75" customHeight="1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 ht="15.75" customHeight="1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 ht="15.75" customHeight="1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 ht="15.75" customHeight="1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 ht="15.75" customHeight="1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 ht="15.75" customHeight="1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 ht="15.75" customHeight="1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 ht="15.75" customHeight="1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 ht="15.75" customHeight="1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 ht="15.75" customHeight="1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 ht="15.75" customHeight="1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ht="15.75" customHeight="1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 ht="15.75" customHeight="1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 ht="15.75" customHeight="1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 ht="15.75" customHeight="1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 ht="15.75" customHeight="1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 ht="15.75" customHeight="1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 ht="15.75" customHeight="1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 ht="15.75" customHeight="1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 ht="15.75" customHeight="1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 ht="15.75" customHeight="1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 ht="15.75" customHeight="1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 ht="15.75" customHeight="1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 ht="15.75" customHeight="1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 ht="15.75" customHeight="1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 ht="15.75" customHeight="1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 ht="15.75" customHeight="1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 ht="15.75" customHeight="1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 ht="15.75" customHeight="1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 ht="15.75" customHeight="1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 ht="15.75" customHeight="1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 ht="15.75" customHeight="1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 ht="15.75" customHeight="1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 ht="15.75" customHeight="1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 ht="15.75" customHeight="1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 ht="15.75" customHeight="1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 ht="15.75" customHeight="1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 ht="15.75" customHeight="1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 ht="15.75" customHeight="1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 ht="15.75" customHeight="1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 ht="15.75" customHeight="1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 ht="15.75" customHeight="1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 ht="15.75" customHeight="1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 ht="15.75" customHeight="1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 ht="15.75" customHeight="1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 ht="15.75" customHeight="1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 ht="15.75" customHeight="1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 ht="15.75" customHeight="1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 ht="15.75" customHeight="1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 ht="15.75" customHeight="1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 ht="15.75" customHeight="1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 ht="15.75" customHeight="1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 ht="15.75" customHeight="1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 ht="15.75" customHeight="1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 ht="15.75" customHeight="1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 ht="15.75" customHeight="1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 ht="15.75" customHeight="1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 ht="15.75" customHeight="1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 ht="15.75" customHeight="1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 ht="15.75" customHeight="1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 ht="15.75" customHeight="1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 ht="15.75" customHeight="1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 ht="15.75" customHeight="1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 ht="15.75" customHeight="1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 ht="15.75" customHeight="1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 ht="15.75" customHeight="1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 ht="15.75" customHeight="1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 ht="15.75" customHeight="1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 ht="15.75" customHeight="1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 ht="15.75" customHeight="1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 ht="15.75" customHeight="1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 ht="15.75" customHeight="1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 ht="15.75" customHeight="1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 ht="15.75" customHeight="1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ht="15.75" customHeight="1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 ht="15.75" customHeight="1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 ht="15.75" customHeight="1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 ht="15.75" customHeight="1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 ht="15.75" customHeight="1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 ht="15.75" customHeight="1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 ht="15.75" customHeight="1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 ht="15.75" customHeight="1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 ht="15.75" customHeight="1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 ht="15.75" customHeight="1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 ht="15.75" customHeight="1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 ht="15.75" customHeight="1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 ht="15.75" customHeight="1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 ht="15.75" customHeight="1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 ht="15.75" customHeight="1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 ht="15.75" customHeight="1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 ht="15.75" customHeight="1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 ht="15.75" customHeight="1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 ht="15.75" customHeight="1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ht="15.75" customHeight="1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 ht="15.75" customHeight="1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 ht="15.75" customHeight="1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 ht="15.75" customHeight="1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</row>
    <row r="499" ht="15.75" customHeight="1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 ht="15.75" customHeight="1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 ht="15.75" customHeight="1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 ht="15.75" customHeight="1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 ht="15.75" customHeight="1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 ht="15.75" customHeight="1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</row>
    <row r="505" ht="15.75" customHeight="1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 ht="15.75" customHeight="1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 ht="15.75" customHeight="1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 ht="15.75" customHeight="1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 ht="15.75" customHeight="1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 ht="15.75" customHeight="1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 ht="15.75" customHeight="1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 ht="15.75" customHeight="1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 ht="15.75" customHeight="1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ht="15.75" customHeight="1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 ht="15.75" customHeight="1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 ht="15.75" customHeight="1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 ht="15.75" customHeight="1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 ht="15.75" customHeight="1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 ht="15.75" customHeight="1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 ht="15.75" customHeight="1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 ht="15.75" customHeight="1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 ht="15.75" customHeight="1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 ht="15.75" customHeight="1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 ht="15.75" customHeight="1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 ht="15.75" customHeight="1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 ht="15.75" customHeight="1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 ht="15.75" customHeight="1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 ht="15.75" customHeight="1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 ht="15.75" customHeight="1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 ht="15.75" customHeight="1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 ht="15.75" customHeight="1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 ht="15.75" customHeight="1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 ht="15.75" customHeight="1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 ht="15.75" customHeight="1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 ht="15.75" customHeight="1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 ht="15.75" customHeight="1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 ht="15.75" customHeight="1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 ht="15.75" customHeight="1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 ht="15.75" customHeight="1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 ht="15.75" customHeight="1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 ht="15.75" customHeight="1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 ht="15.75" customHeight="1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 ht="15.75" customHeight="1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 ht="15.75" customHeight="1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 ht="15.75" customHeight="1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 ht="15.75" customHeight="1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 ht="15.75" customHeight="1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 ht="15.75" customHeight="1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 ht="15.75" customHeight="1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 ht="15.75" customHeight="1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 ht="15.75" customHeight="1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 ht="15.75" customHeight="1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 ht="15.75" customHeight="1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 ht="15.75" customHeight="1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 ht="15.75" customHeight="1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 ht="15.75" customHeight="1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 ht="15.75" customHeight="1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 ht="15.75" customHeight="1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 ht="15.75" customHeight="1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 ht="15.75" customHeight="1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 ht="15.75" customHeight="1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 ht="15.75" customHeight="1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 ht="15.75" customHeight="1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 ht="15.75" customHeight="1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 ht="15.75" customHeight="1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 ht="15.75" customHeight="1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 ht="15.75" customHeight="1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 ht="15.75" customHeight="1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 ht="15.75" customHeight="1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 ht="15.75" customHeight="1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 ht="15.75" customHeight="1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 ht="15.75" customHeight="1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 ht="15.75" customHeight="1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 ht="15.75" customHeight="1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 ht="15.75" customHeight="1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 ht="15.75" customHeight="1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 ht="15.75" customHeight="1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 ht="15.75" customHeight="1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 ht="15.75" customHeight="1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 ht="15.75" customHeight="1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 ht="15.75" customHeight="1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</row>
    <row r="582" ht="15.75" customHeight="1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 ht="15.75" customHeight="1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 ht="15.75" customHeight="1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 ht="15.75" customHeight="1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</row>
    <row r="586" ht="15.75" customHeight="1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 ht="15.75" customHeight="1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 ht="15.75" customHeight="1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 ht="15.75" customHeight="1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 ht="15.75" customHeight="1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 ht="15.75" customHeight="1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 ht="15.75" customHeight="1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 ht="15.75" customHeight="1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 ht="15.75" customHeight="1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 ht="15.75" customHeight="1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 ht="15.75" customHeight="1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 ht="15.75" customHeight="1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 ht="15.75" customHeight="1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 ht="15.75" customHeight="1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 ht="15.75" customHeight="1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 ht="15.75" customHeight="1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</row>
    <row r="602" ht="15.75" customHeight="1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 ht="15.75" customHeight="1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 ht="15.75" customHeight="1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 ht="15.75" customHeight="1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</row>
    <row r="606" ht="15.75" customHeight="1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</row>
    <row r="607" ht="15.75" customHeight="1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</row>
    <row r="608" ht="15.75" customHeight="1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</row>
    <row r="609" ht="15.75" customHeight="1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</row>
    <row r="610" ht="15.75" customHeight="1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</row>
    <row r="611" ht="15.75" customHeight="1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</row>
    <row r="612" ht="15.75" customHeight="1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</row>
    <row r="613" ht="15.75" customHeight="1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</row>
    <row r="614" ht="15.75" customHeight="1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</row>
    <row r="615" ht="15.75" customHeight="1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</row>
    <row r="616" ht="15.75" customHeight="1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</row>
    <row r="617" ht="15.75" customHeight="1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</row>
    <row r="618" ht="15.75" customHeight="1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</row>
    <row r="619" ht="15.75" customHeight="1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</row>
    <row r="620" ht="15.75" customHeight="1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 ht="15.75" customHeight="1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</row>
    <row r="622" ht="15.75" customHeight="1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</row>
    <row r="623" ht="15.75" customHeight="1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</row>
    <row r="624" ht="15.75" customHeight="1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</row>
    <row r="625" ht="15.75" customHeight="1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</row>
    <row r="626" ht="15.75" customHeight="1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</row>
    <row r="627" ht="15.75" customHeight="1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 ht="15.75" customHeight="1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 ht="15.75" customHeight="1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 ht="15.75" customHeight="1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 ht="15.75" customHeight="1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 ht="15.75" customHeight="1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 ht="15.75" customHeight="1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 ht="15.75" customHeight="1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 ht="15.75" customHeight="1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 ht="15.75" customHeight="1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 ht="15.75" customHeight="1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 ht="15.75" customHeight="1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 ht="15.75" customHeight="1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 ht="15.75" customHeight="1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 ht="15.75" customHeight="1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 ht="15.75" customHeight="1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 ht="15.75" customHeight="1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 ht="15.75" customHeight="1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 ht="15.75" customHeight="1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 ht="15.75" customHeight="1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 ht="15.75" customHeight="1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 ht="15.75" customHeight="1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 ht="15.75" customHeight="1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 ht="15.75" customHeight="1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 ht="15.75" customHeight="1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</row>
    <row r="652" ht="15.75" customHeight="1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 ht="15.75" customHeight="1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</row>
    <row r="654" ht="15.75" customHeight="1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 ht="15.75" customHeight="1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</row>
    <row r="656" ht="15.75" customHeight="1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 ht="15.75" customHeight="1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 ht="15.75" customHeight="1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 ht="15.75" customHeight="1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 ht="15.75" customHeight="1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 ht="15.75" customHeight="1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</row>
    <row r="662" ht="15.75" customHeight="1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 ht="15.75" customHeight="1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 ht="15.75" customHeight="1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 ht="15.75" customHeight="1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 ht="15.75" customHeight="1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 ht="15.75" customHeight="1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 ht="15.75" customHeight="1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 ht="15.75" customHeight="1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 ht="15.75" customHeight="1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 ht="15.75" customHeight="1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 ht="15.75" customHeight="1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 ht="15.75" customHeight="1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 ht="15.75" customHeight="1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 ht="15.75" customHeight="1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 ht="15.75" customHeight="1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 ht="15.75" customHeight="1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 ht="15.75" customHeight="1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 ht="15.75" customHeight="1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</row>
    <row r="680" ht="15.75" customHeight="1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 ht="15.75" customHeight="1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</row>
    <row r="682" ht="15.75" customHeight="1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 ht="15.75" customHeight="1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</row>
    <row r="684" ht="15.75" customHeight="1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 ht="15.75" customHeight="1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 ht="15.75" customHeight="1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 ht="15.75" customHeight="1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 ht="15.75" customHeight="1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 ht="15.75" customHeight="1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</row>
    <row r="690" ht="15.75" customHeight="1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 ht="15.75" customHeight="1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 ht="15.75" customHeight="1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 ht="15.75" customHeight="1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 ht="15.75" customHeight="1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 ht="15.75" customHeight="1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 ht="15.75" customHeight="1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 ht="15.75" customHeight="1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 ht="15.75" customHeight="1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 ht="15.75" customHeight="1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 ht="15.75" customHeight="1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 ht="15.75" customHeight="1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 ht="15.75" customHeight="1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 ht="15.75" customHeight="1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 ht="15.75" customHeight="1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 ht="15.75" customHeight="1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 ht="15.75" customHeight="1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 ht="15.75" customHeight="1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</row>
    <row r="708" ht="15.75" customHeight="1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 ht="15.75" customHeight="1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</row>
    <row r="710" ht="15.75" customHeight="1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 ht="15.75" customHeight="1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</row>
    <row r="712" ht="15.75" customHeight="1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 ht="15.75" customHeight="1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 ht="15.75" customHeight="1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 ht="15.75" customHeight="1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 ht="15.75" customHeight="1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 ht="15.75" customHeight="1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</row>
    <row r="718" ht="15.75" customHeight="1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 ht="15.75" customHeight="1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 ht="15.75" customHeight="1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 ht="15.75" customHeight="1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 ht="15.75" customHeight="1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 ht="15.75" customHeight="1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 ht="15.75" customHeight="1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 ht="15.75" customHeight="1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 ht="15.75" customHeight="1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 ht="15.75" customHeight="1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 ht="15.75" customHeight="1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 ht="15.75" customHeight="1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 ht="15.75" customHeight="1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 ht="15.75" customHeight="1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 ht="15.75" customHeight="1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 ht="15.75" customHeight="1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 ht="15.75" customHeight="1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 ht="15.75" customHeight="1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 ht="15.75" customHeight="1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 ht="15.75" customHeight="1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 ht="15.75" customHeight="1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 ht="15.75" customHeight="1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 ht="15.75" customHeight="1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 ht="15.75" customHeight="1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 ht="15.75" customHeight="1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 ht="15.75" customHeight="1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 ht="15.75" customHeight="1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 ht="15.75" customHeight="1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 ht="15.75" customHeight="1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 ht="15.75" customHeight="1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 ht="15.75" customHeight="1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 ht="15.75" customHeight="1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 ht="15.75" customHeight="1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 ht="15.75" customHeight="1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</row>
    <row r="752" ht="15.75" customHeight="1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</row>
    <row r="753" ht="15.75" customHeight="1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</row>
    <row r="754" ht="15.75" customHeight="1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</row>
    <row r="755" ht="15.75" customHeight="1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</row>
    <row r="756" ht="15.75" customHeight="1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</row>
    <row r="757" ht="15.75" customHeight="1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</row>
    <row r="758" ht="15.75" customHeight="1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</row>
    <row r="759" ht="15.75" customHeight="1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</row>
    <row r="760" ht="15.75" customHeight="1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</row>
    <row r="761" ht="15.75" customHeight="1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</row>
    <row r="762" ht="15.75" customHeight="1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</row>
    <row r="763" ht="15.75" customHeight="1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</row>
    <row r="764" ht="15.75" customHeight="1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</row>
    <row r="765" ht="15.75" customHeight="1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</row>
    <row r="766" ht="15.75" customHeight="1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</row>
    <row r="767" ht="15.75" customHeight="1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</row>
    <row r="768" ht="15.75" customHeight="1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</row>
    <row r="769" ht="15.75" customHeight="1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</row>
    <row r="770" ht="15.75" customHeight="1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</row>
    <row r="771" ht="15.75" customHeight="1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</row>
    <row r="772" ht="15.75" customHeight="1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</row>
    <row r="773" ht="15.75" customHeight="1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</row>
    <row r="774" ht="15.75" customHeight="1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</row>
    <row r="775" ht="15.75" customHeight="1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</row>
    <row r="776" ht="15.75" customHeight="1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</row>
    <row r="777" ht="15.75" customHeight="1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</row>
    <row r="778" ht="15.75" customHeight="1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</row>
    <row r="779" ht="15.75" customHeight="1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</row>
    <row r="780" ht="15.75" customHeight="1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</row>
    <row r="781" ht="15.75" customHeight="1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</row>
    <row r="782" ht="15.75" customHeight="1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</row>
    <row r="783" ht="15.75" customHeight="1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</row>
    <row r="784" ht="15.75" customHeight="1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</row>
    <row r="785" ht="15.75" customHeight="1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</row>
    <row r="786" ht="15.75" customHeight="1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</row>
    <row r="787" ht="15.75" customHeight="1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</row>
    <row r="788" ht="15.75" customHeight="1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</row>
    <row r="789" ht="15.75" customHeight="1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</row>
    <row r="790" ht="15.75" customHeight="1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</row>
    <row r="791" ht="15.75" customHeight="1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</row>
    <row r="792" ht="15.75" customHeight="1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</row>
    <row r="793" ht="15.75" customHeight="1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</row>
    <row r="794" ht="15.75" customHeight="1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</row>
    <row r="795" ht="15.75" customHeight="1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</row>
    <row r="796" ht="15.75" customHeight="1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</row>
    <row r="797" ht="15.75" customHeight="1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</row>
    <row r="798" ht="15.75" customHeight="1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</row>
    <row r="799" ht="15.75" customHeight="1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</row>
    <row r="800" ht="15.75" customHeight="1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</row>
    <row r="801" ht="15.75" customHeight="1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</row>
    <row r="802" ht="15.75" customHeight="1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</row>
    <row r="803" ht="15.75" customHeight="1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</row>
    <row r="804" ht="15.75" customHeight="1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</row>
    <row r="805" ht="15.75" customHeight="1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</row>
    <row r="806" ht="15.75" customHeight="1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</row>
    <row r="807" ht="15.75" customHeight="1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</row>
    <row r="808" ht="15.75" customHeight="1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</row>
    <row r="809" ht="15.75" customHeight="1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</row>
    <row r="810" ht="15.75" customHeight="1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</row>
    <row r="811" ht="15.75" customHeight="1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</row>
    <row r="812" ht="15.75" customHeight="1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</row>
    <row r="813" ht="15.75" customHeight="1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</row>
    <row r="814" ht="15.75" customHeight="1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</row>
    <row r="815" ht="15.75" customHeight="1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</row>
    <row r="816" ht="15.75" customHeight="1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</row>
    <row r="817" ht="15.75" customHeight="1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</row>
    <row r="818" ht="15.75" customHeight="1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</row>
    <row r="819" ht="15.75" customHeight="1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</row>
    <row r="820" ht="15.75" customHeight="1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</row>
    <row r="821" ht="15.75" customHeight="1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</row>
    <row r="822" ht="15.75" customHeight="1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</row>
    <row r="823" ht="15.75" customHeight="1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</row>
    <row r="824" ht="15.75" customHeight="1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</row>
    <row r="825" ht="15.75" customHeight="1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</row>
    <row r="826" ht="15.75" customHeight="1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</row>
    <row r="827" ht="15.75" customHeight="1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</row>
    <row r="828" ht="15.75" customHeight="1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</row>
    <row r="829" ht="15.75" customHeight="1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</row>
    <row r="830" ht="15.75" customHeight="1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</row>
    <row r="831" ht="15.75" customHeight="1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</row>
    <row r="832" ht="15.75" customHeight="1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</row>
    <row r="833" ht="15.75" customHeight="1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</row>
    <row r="834" ht="15.75" customHeight="1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</row>
    <row r="835" ht="15.75" customHeight="1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</row>
    <row r="836" ht="15.75" customHeight="1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</row>
    <row r="837" ht="15.75" customHeight="1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</row>
    <row r="838" ht="15.75" customHeight="1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</row>
    <row r="839" ht="15.75" customHeight="1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</row>
    <row r="840" ht="15.75" customHeight="1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</row>
    <row r="841" ht="15.75" customHeight="1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</row>
    <row r="842" ht="15.75" customHeight="1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</row>
    <row r="843" ht="15.75" customHeight="1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</row>
    <row r="844" ht="15.75" customHeight="1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</row>
    <row r="845" ht="15.75" customHeight="1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</row>
    <row r="846" ht="15.75" customHeight="1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</row>
    <row r="847" ht="15.75" customHeight="1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</row>
    <row r="848" ht="15.75" customHeight="1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</row>
    <row r="849" ht="15.75" customHeight="1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</row>
    <row r="850" ht="15.75" customHeight="1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</row>
    <row r="851" ht="15.75" customHeight="1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</row>
    <row r="852" ht="15.75" customHeight="1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</row>
    <row r="853" ht="15.75" customHeight="1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</row>
    <row r="854" ht="15.75" customHeight="1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</row>
    <row r="855" ht="15.75" customHeight="1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</row>
    <row r="856" ht="15.75" customHeight="1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</row>
    <row r="857" ht="15.75" customHeight="1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</row>
    <row r="858" ht="15.75" customHeight="1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</row>
    <row r="859" ht="15.75" customHeight="1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</row>
    <row r="860" ht="15.75" customHeight="1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</row>
    <row r="861" ht="15.75" customHeight="1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</row>
    <row r="862" ht="15.75" customHeight="1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</row>
    <row r="863" ht="15.75" customHeight="1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</row>
    <row r="864" ht="15.75" customHeight="1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</row>
    <row r="865" ht="15.75" customHeight="1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</row>
    <row r="866" ht="15.75" customHeight="1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</row>
    <row r="867" ht="15.75" customHeight="1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</row>
    <row r="868" ht="15.75" customHeight="1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</row>
    <row r="869" ht="15.75" customHeight="1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</row>
    <row r="870" ht="15.75" customHeight="1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</row>
    <row r="871" ht="15.75" customHeight="1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</row>
    <row r="872" ht="15.75" customHeight="1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</row>
    <row r="873" ht="15.75" customHeight="1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</row>
    <row r="874" ht="15.75" customHeight="1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</row>
    <row r="875" ht="15.75" customHeight="1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</row>
    <row r="876" ht="15.75" customHeight="1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</row>
    <row r="877" ht="15.75" customHeight="1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</row>
    <row r="878" ht="15.75" customHeight="1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</row>
    <row r="879" ht="15.75" customHeight="1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</row>
    <row r="880" ht="15.75" customHeight="1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</row>
    <row r="881" ht="15.75" customHeight="1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</row>
    <row r="882" ht="15.75" customHeight="1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</row>
    <row r="883" ht="15.75" customHeight="1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</row>
    <row r="884" ht="15.75" customHeight="1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</row>
    <row r="885" ht="15.75" customHeight="1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</row>
    <row r="886" ht="15.75" customHeight="1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</row>
    <row r="887" ht="15.75" customHeight="1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</row>
    <row r="888" ht="15.75" customHeight="1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</row>
    <row r="889" ht="15.75" customHeight="1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</row>
    <row r="890" ht="15.75" customHeight="1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</row>
    <row r="891" ht="15.75" customHeight="1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</row>
    <row r="892" ht="15.75" customHeight="1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</row>
    <row r="893" ht="15.75" customHeight="1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</row>
    <row r="894" ht="15.75" customHeight="1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</row>
    <row r="895" ht="15.75" customHeight="1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</row>
    <row r="896" ht="15.75" customHeight="1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</row>
    <row r="897" ht="15.75" customHeight="1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</row>
    <row r="898" ht="15.75" customHeight="1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</row>
    <row r="899" ht="15.75" customHeight="1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</row>
    <row r="900" ht="15.75" customHeight="1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</row>
    <row r="901" ht="15.75" customHeight="1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</row>
    <row r="902" ht="15.75" customHeight="1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</row>
    <row r="903" ht="15.75" customHeight="1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</row>
    <row r="904" ht="15.75" customHeight="1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</row>
    <row r="905" ht="15.75" customHeight="1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</row>
    <row r="906" ht="15.75" customHeight="1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</row>
    <row r="907" ht="15.75" customHeight="1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</row>
    <row r="908" ht="15.75" customHeight="1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</row>
    <row r="909" ht="15.75" customHeight="1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</row>
    <row r="910" ht="15.75" customHeight="1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</row>
    <row r="911" ht="15.75" customHeight="1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</row>
    <row r="912" ht="15.75" customHeight="1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</row>
    <row r="913" ht="15.75" customHeight="1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</row>
    <row r="914" ht="15.75" customHeight="1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</row>
    <row r="915" ht="15.75" customHeight="1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</row>
    <row r="916" ht="15.75" customHeight="1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</row>
    <row r="917" ht="15.75" customHeight="1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</row>
    <row r="918" ht="15.75" customHeight="1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</row>
    <row r="919" ht="15.75" customHeight="1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</row>
    <row r="920" ht="15.75" customHeight="1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</row>
    <row r="921" ht="15.75" customHeight="1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</row>
    <row r="922" ht="15.75" customHeight="1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</row>
    <row r="923" ht="15.75" customHeight="1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</row>
    <row r="924" ht="15.75" customHeight="1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</row>
    <row r="925" ht="15.75" customHeight="1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</row>
    <row r="926" ht="15.75" customHeight="1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</row>
    <row r="927" ht="15.75" customHeight="1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</row>
    <row r="928" ht="15.75" customHeight="1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</row>
    <row r="929" ht="15.75" customHeight="1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</row>
    <row r="930" ht="15.75" customHeight="1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</row>
    <row r="931" ht="15.75" customHeight="1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</row>
    <row r="932" ht="15.75" customHeight="1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</row>
    <row r="933" ht="15.75" customHeight="1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</row>
    <row r="934" ht="15.75" customHeight="1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</row>
    <row r="935" ht="15.75" customHeight="1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</row>
    <row r="936" ht="15.75" customHeight="1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</row>
    <row r="937" ht="15.75" customHeight="1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</row>
    <row r="938" ht="15.75" customHeight="1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</row>
    <row r="939" ht="15.75" customHeight="1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</row>
    <row r="940" ht="15.75" customHeight="1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</row>
    <row r="941" ht="15.75" customHeight="1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</row>
    <row r="942" ht="15.75" customHeight="1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</row>
    <row r="943" ht="15.75" customHeight="1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</row>
    <row r="944" ht="15.75" customHeight="1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</row>
    <row r="945" ht="15.75" customHeight="1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</row>
    <row r="946" ht="15.75" customHeight="1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</row>
    <row r="947" ht="15.75" customHeight="1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</row>
    <row r="948" ht="15.75" customHeight="1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</row>
    <row r="949" ht="15.75" customHeight="1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</row>
    <row r="950" ht="15.75" customHeight="1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</row>
    <row r="951" ht="15.75" customHeight="1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</row>
    <row r="952" ht="15.75" customHeight="1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</row>
    <row r="953" ht="15.75" customHeight="1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</row>
    <row r="954" ht="15.75" customHeight="1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</row>
    <row r="955" ht="15.75" customHeight="1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</row>
    <row r="956" ht="15.75" customHeight="1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</row>
    <row r="957" ht="15.75" customHeight="1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</row>
    <row r="958" ht="15.75" customHeight="1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</row>
    <row r="959" ht="15.75" customHeight="1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</row>
    <row r="960" ht="15.75" customHeight="1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</row>
    <row r="961" ht="15.75" customHeight="1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</row>
    <row r="962" ht="15.75" customHeight="1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</row>
    <row r="963" ht="15.75" customHeight="1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</row>
    <row r="964" ht="15.75" customHeight="1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</row>
    <row r="965" ht="15.75" customHeight="1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</row>
    <row r="966" ht="15.75" customHeight="1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</row>
    <row r="967" ht="15.75" customHeight="1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</row>
    <row r="968" ht="15.75" customHeight="1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</row>
    <row r="969" ht="15.75" customHeight="1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</row>
    <row r="970" ht="15.75" customHeight="1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</row>
    <row r="971" ht="15.75" customHeight="1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</row>
    <row r="972" ht="15.75" customHeight="1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</row>
    <row r="973" ht="15.75" customHeight="1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</row>
    <row r="974" ht="15.75" customHeight="1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</row>
    <row r="975" ht="15.75" customHeight="1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</row>
    <row r="976" ht="15.75" customHeight="1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</row>
    <row r="977" ht="15.75" customHeight="1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</row>
    <row r="978" ht="15.75" customHeight="1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</row>
    <row r="979" ht="15.75" customHeight="1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</row>
    <row r="980" ht="15.75" customHeight="1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</row>
    <row r="981" ht="15.75" customHeight="1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</row>
    <row r="982" ht="15.75" customHeight="1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</row>
    <row r="983" ht="15.75" customHeight="1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</row>
    <row r="984" ht="15.75" customHeight="1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</row>
    <row r="985" ht="15.75" customHeight="1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</row>
    <row r="986" ht="15.75" customHeight="1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</row>
    <row r="987" ht="15.75" customHeight="1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</row>
    <row r="988" ht="15.75" customHeight="1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</row>
    <row r="989" ht="15.75" customHeight="1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</row>
    <row r="990" ht="15.75" customHeight="1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</row>
    <row r="991" ht="15.75" customHeight="1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</row>
    <row r="992" ht="15.75" customHeight="1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</row>
    <row r="993" ht="15.75" customHeight="1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</row>
    <row r="994" ht="15.75" customHeight="1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</row>
    <row r="995" ht="15.75" customHeight="1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</row>
    <row r="996" ht="15.75" customHeight="1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</row>
    <row r="997" ht="15.75" customHeight="1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</row>
    <row r="998" ht="15.75" customHeight="1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</row>
    <row r="999" ht="15.75" customHeight="1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</row>
    <row r="1000" ht="15.75" customHeight="1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</row>
    <row r="1001" ht="15.75" customHeight="1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</row>
    <row r="1002" ht="15.75" customHeight="1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</row>
    <row r="1003" ht="15.75" customHeight="1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</row>
    <row r="1004" ht="15.75" customHeight="1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</row>
    <row r="1005" ht="15.75" customHeight="1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</row>
    <row r="1006" ht="15.75" customHeight="1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</row>
    <row r="1007" ht="15.75" customHeight="1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</row>
    <row r="1008" ht="15.75" customHeight="1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</row>
  </sheetData>
  <printOptions/>
  <pageMargins bottom="0.75" footer="0.0" header="0.0" left="0.7" right="0.7" top="0.75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20.78"/>
    <col customWidth="1" min="3" max="3" width="93.0"/>
    <col customWidth="1" min="4" max="4" width="60.67"/>
    <col customWidth="1" min="5" max="26" width="11.44"/>
  </cols>
  <sheetData>
    <row r="1" ht="15.75" customHeight="1"/>
    <row r="2" ht="15.75" customHeight="1">
      <c r="A2" s="55"/>
      <c r="B2" s="2" t="s">
        <v>36</v>
      </c>
      <c r="C2" s="55"/>
      <c r="D2" s="55"/>
    </row>
    <row r="3" ht="15.75" customHeight="1">
      <c r="A3" s="55"/>
      <c r="B3" s="55"/>
      <c r="C3" s="55"/>
      <c r="D3" s="55"/>
    </row>
    <row r="4">
      <c r="A4" s="55"/>
      <c r="B4" s="56" t="str">
        <f>CONCAT(ROUND('GRAFICO HISTORICO'!AU8,1),"x")</f>
        <v>8,4x</v>
      </c>
      <c r="C4" s="57" t="s">
        <v>37</v>
      </c>
      <c r="D4" s="58"/>
      <c r="E4" s="58"/>
    </row>
    <row r="5">
      <c r="A5" s="55"/>
      <c r="D5" s="58"/>
      <c r="E5" s="58"/>
    </row>
    <row r="6">
      <c r="A6" s="60"/>
      <c r="B6" s="63">
        <f>'GRAFICO HISTORICO'!AU7</f>
        <v>-0.3228843742</v>
      </c>
      <c r="C6" s="57" t="s">
        <v>38</v>
      </c>
      <c r="D6" s="55"/>
    </row>
    <row r="7" ht="25.5" customHeight="1">
      <c r="A7" s="55"/>
      <c r="D7" s="64"/>
    </row>
    <row r="8" ht="25.5" customHeight="1">
      <c r="A8" s="55"/>
      <c r="B8" s="65">
        <f>'DADOS COBERTURA PAMPA'!E5+'DADOS COBERTURA PAMPA'!E12</f>
        <v>0.4313652141</v>
      </c>
      <c r="C8" s="67" t="s">
        <v>40</v>
      </c>
      <c r="D8" s="57"/>
    </row>
    <row r="9">
      <c r="A9" s="55"/>
      <c r="B9" s="69"/>
      <c r="C9" s="57"/>
      <c r="D9" s="55"/>
    </row>
    <row r="10" ht="15.75" customHeight="1">
      <c r="A10" s="55"/>
      <c r="B10" s="55"/>
      <c r="C10" s="55"/>
      <c r="D10" s="5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56"/>
    <col customWidth="1" min="2" max="2" width="24.11"/>
    <col customWidth="1" hidden="1" min="3" max="3" width="19.56"/>
    <col customWidth="1" hidden="1" min="4" max="4" width="20.56"/>
    <col customWidth="1" hidden="1" min="5" max="6" width="18.56"/>
    <col customWidth="1" hidden="1" min="7" max="7" width="19.56"/>
    <col customWidth="1" hidden="1" min="8" max="8" width="20.56"/>
    <col customWidth="1" hidden="1" min="9" max="9" width="19.56"/>
    <col customWidth="1" hidden="1" min="10" max="10" width="15.44"/>
    <col customWidth="1" hidden="1" min="11" max="11" width="24.11"/>
    <col customWidth="1" min="12" max="12" width="19.56"/>
    <col customWidth="1" hidden="1" min="13" max="13" width="18.56"/>
    <col customWidth="1" hidden="1" min="14" max="14" width="7.56"/>
    <col customWidth="1" hidden="1" min="15" max="15" width="15.44"/>
    <col customWidth="1" hidden="1" min="16" max="16" width="5.44"/>
    <col customWidth="1" hidden="1" min="17" max="17" width="18.56"/>
    <col customWidth="1" hidden="1" min="18" max="19" width="19.56"/>
    <col customWidth="1" hidden="1" min="20" max="20" width="13.11"/>
    <col customWidth="1" hidden="1" min="21" max="21" width="20.56"/>
    <col customWidth="1" hidden="1" min="22" max="24" width="8.56"/>
    <col customWidth="1" hidden="1" min="25" max="25" width="20.56"/>
    <col customWidth="1" hidden="1" min="26" max="26" width="8.56"/>
    <col customWidth="1" hidden="1" min="27" max="28" width="19.56"/>
    <col customWidth="1" hidden="1" min="29" max="29" width="11.0"/>
    <col customWidth="1" hidden="1" min="30" max="33" width="8.56"/>
    <col customWidth="1" hidden="1" min="34" max="34" width="19.56"/>
    <col customWidth="1" hidden="1" min="35" max="36" width="20.56"/>
    <col customWidth="1" hidden="1" min="37" max="37" width="16.44"/>
    <col customWidth="1" hidden="1" min="38" max="38" width="20.56"/>
  </cols>
  <sheetData>
    <row r="1" ht="15.75" customHeight="1">
      <c r="A1" s="15" t="s">
        <v>45</v>
      </c>
      <c r="B1" s="80" t="s">
        <v>45</v>
      </c>
      <c r="C1" s="81">
        <v>2017.0</v>
      </c>
      <c r="D1" s="81" t="s">
        <v>45</v>
      </c>
      <c r="E1" s="81" t="s">
        <v>45</v>
      </c>
      <c r="F1" s="81" t="s">
        <v>45</v>
      </c>
      <c r="G1" s="81" t="s">
        <v>45</v>
      </c>
      <c r="H1" s="81" t="s">
        <v>45</v>
      </c>
      <c r="I1" s="81" t="s">
        <v>45</v>
      </c>
      <c r="J1" s="81" t="s">
        <v>45</v>
      </c>
      <c r="K1" s="81" t="s">
        <v>45</v>
      </c>
      <c r="L1" s="81"/>
      <c r="M1" s="81" t="s">
        <v>45</v>
      </c>
      <c r="N1" s="81" t="s">
        <v>45</v>
      </c>
      <c r="O1" s="81" t="s">
        <v>45</v>
      </c>
      <c r="P1" s="81" t="s">
        <v>45</v>
      </c>
      <c r="Q1" s="81" t="s">
        <v>45</v>
      </c>
      <c r="R1" s="81" t="s">
        <v>45</v>
      </c>
      <c r="S1" s="81" t="s">
        <v>45</v>
      </c>
      <c r="T1" s="81" t="s">
        <v>45</v>
      </c>
      <c r="U1" s="81" t="s">
        <v>45</v>
      </c>
      <c r="Y1" s="81" t="s">
        <v>45</v>
      </c>
      <c r="Z1" s="81" t="s">
        <v>45</v>
      </c>
      <c r="AA1" s="81" t="s">
        <v>45</v>
      </c>
      <c r="AB1" s="81" t="s">
        <v>45</v>
      </c>
      <c r="AC1" s="81" t="s">
        <v>45</v>
      </c>
      <c r="AH1" s="81" t="s">
        <v>45</v>
      </c>
      <c r="AI1" s="81" t="s">
        <v>45</v>
      </c>
      <c r="AJ1" s="81" t="s">
        <v>45</v>
      </c>
      <c r="AK1" s="81" t="s">
        <v>45</v>
      </c>
      <c r="AL1" s="81" t="s">
        <v>45</v>
      </c>
    </row>
    <row r="2" ht="15.75" customHeight="1">
      <c r="A2" s="15" t="s">
        <v>45</v>
      </c>
      <c r="B2" s="80" t="s">
        <v>45</v>
      </c>
      <c r="C2" s="15" t="s">
        <v>48</v>
      </c>
      <c r="D2" s="15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15" t="s">
        <v>54</v>
      </c>
      <c r="J2" s="15" t="s">
        <v>55</v>
      </c>
      <c r="K2" s="15" t="s">
        <v>56</v>
      </c>
      <c r="L2" s="15" t="s">
        <v>32</v>
      </c>
      <c r="M2" s="15" t="s">
        <v>57</v>
      </c>
      <c r="N2" s="15" t="s">
        <v>58</v>
      </c>
      <c r="O2" s="15" t="s">
        <v>59</v>
      </c>
      <c r="P2" s="15" t="s">
        <v>21</v>
      </c>
      <c r="Q2" s="15" t="s">
        <v>61</v>
      </c>
      <c r="R2" s="15" t="s">
        <v>62</v>
      </c>
      <c r="S2" s="15" t="s">
        <v>63</v>
      </c>
      <c r="T2" s="15" t="s">
        <v>64</v>
      </c>
      <c r="U2" s="15" t="s">
        <v>65</v>
      </c>
      <c r="Y2" s="15" t="s">
        <v>66</v>
      </c>
      <c r="Z2" s="15" t="s">
        <v>67</v>
      </c>
      <c r="AA2" s="15" t="s">
        <v>68</v>
      </c>
      <c r="AB2" s="15" t="s">
        <v>70</v>
      </c>
      <c r="AC2" s="15" t="s">
        <v>24</v>
      </c>
      <c r="AH2" s="15" t="s">
        <v>22</v>
      </c>
      <c r="AI2" s="15" t="s">
        <v>71</v>
      </c>
      <c r="AJ2" s="15" t="s">
        <v>72</v>
      </c>
      <c r="AK2" s="15" t="s">
        <v>25</v>
      </c>
      <c r="AL2" s="15" t="s">
        <v>73</v>
      </c>
    </row>
    <row r="3" ht="15.75" customHeight="1">
      <c r="A3" s="81">
        <v>1985.0</v>
      </c>
      <c r="B3" s="80" t="s">
        <v>50</v>
      </c>
      <c r="C3" s="87">
        <v>6640658.1234949</v>
      </c>
      <c r="D3" s="15">
        <v>334692.74956039</v>
      </c>
      <c r="E3" s="87">
        <v>3.2748752219218E7</v>
      </c>
      <c r="F3" s="87">
        <v>5911722.5038574</v>
      </c>
      <c r="G3" s="87">
        <v>595157.50959073</v>
      </c>
      <c r="H3" s="87">
        <v>1649613.8993811</v>
      </c>
      <c r="I3" s="87">
        <v>131117.94337042</v>
      </c>
      <c r="J3" s="87" t="s">
        <v>74</v>
      </c>
      <c r="K3" s="87">
        <v>1037177.9971152</v>
      </c>
      <c r="L3" s="87">
        <f t="shared" ref="L3:L7" si="1">SUM(M3:AL3)</f>
        <v>215147.6404</v>
      </c>
      <c r="M3" s="15">
        <v>1377.516026654</v>
      </c>
      <c r="N3" s="15" t="s">
        <v>74</v>
      </c>
      <c r="O3" s="15" t="s">
        <v>74</v>
      </c>
      <c r="P3" s="15" t="s">
        <v>74</v>
      </c>
      <c r="Q3" s="15">
        <v>6439.0295028015</v>
      </c>
      <c r="R3" s="15">
        <v>12937.489300226</v>
      </c>
      <c r="S3" s="15">
        <v>4.2081865722656</v>
      </c>
      <c r="T3" s="15" t="s">
        <v>74</v>
      </c>
      <c r="U3" s="15">
        <v>41.225391046143</v>
      </c>
      <c r="Y3" s="15">
        <v>30.271406915283</v>
      </c>
      <c r="Z3" s="15" t="s">
        <v>74</v>
      </c>
      <c r="AA3" s="15">
        <v>1841.7452289978</v>
      </c>
      <c r="AB3" s="15">
        <v>801.19511436768</v>
      </c>
      <c r="AC3" s="15" t="s">
        <v>74</v>
      </c>
      <c r="AH3" s="15" t="s">
        <v>74</v>
      </c>
      <c r="AI3" s="15">
        <v>0.93086105957031</v>
      </c>
      <c r="AJ3" s="15">
        <v>1.5183484558106</v>
      </c>
      <c r="AK3" s="15" t="s">
        <v>74</v>
      </c>
      <c r="AL3" s="15">
        <v>191672.51103137</v>
      </c>
    </row>
    <row r="4" ht="15.75" customHeight="1">
      <c r="A4" s="81">
        <v>1985.0</v>
      </c>
      <c r="B4" s="80" t="s">
        <v>51</v>
      </c>
      <c r="C4" s="87">
        <v>9182233.5997928</v>
      </c>
      <c r="D4" s="15">
        <v>3370551.7779101</v>
      </c>
      <c r="E4" s="87">
        <v>3181352.4987276</v>
      </c>
      <c r="F4" s="87">
        <v>4.0719446729897E7</v>
      </c>
      <c r="G4" s="87">
        <v>386646.90781805</v>
      </c>
      <c r="H4" s="87">
        <v>4461769.9338386</v>
      </c>
      <c r="I4" s="87">
        <v>89052.774382806</v>
      </c>
      <c r="J4" s="87" t="s">
        <v>74</v>
      </c>
      <c r="K4" s="87">
        <v>1369796.9039555</v>
      </c>
      <c r="L4" s="87">
        <f t="shared" si="1"/>
        <v>133641.0545</v>
      </c>
      <c r="M4" s="15">
        <v>2172.3169566773</v>
      </c>
      <c r="N4" s="15" t="s">
        <v>74</v>
      </c>
      <c r="O4" s="15" t="s">
        <v>74</v>
      </c>
      <c r="P4" s="15" t="s">
        <v>74</v>
      </c>
      <c r="Q4" s="15">
        <v>14.824047589111</v>
      </c>
      <c r="R4" s="15">
        <v>23307.9949513</v>
      </c>
      <c r="S4" s="15">
        <v>2.731044140625</v>
      </c>
      <c r="T4" s="15" t="s">
        <v>74</v>
      </c>
      <c r="U4" s="15">
        <v>41.22683994751</v>
      </c>
      <c r="Y4" s="15">
        <v>41.972004290771</v>
      </c>
      <c r="Z4" s="15" t="s">
        <v>74</v>
      </c>
      <c r="AA4" s="15">
        <v>2010.8362333435</v>
      </c>
      <c r="AB4" s="15">
        <v>1066.1409171204</v>
      </c>
      <c r="AC4" s="15" t="s">
        <v>74</v>
      </c>
      <c r="AH4" s="15" t="s">
        <v>74</v>
      </c>
      <c r="AI4" s="15" t="s">
        <v>74</v>
      </c>
      <c r="AJ4" s="15">
        <v>1.5948858581543</v>
      </c>
      <c r="AK4" s="15" t="s">
        <v>74</v>
      </c>
      <c r="AL4" s="15">
        <v>104981.41664799</v>
      </c>
    </row>
    <row r="5" ht="15.75" customHeight="1">
      <c r="A5" s="81">
        <v>1985.0</v>
      </c>
      <c r="B5" s="80" t="s">
        <v>22</v>
      </c>
      <c r="C5" s="87" t="s">
        <v>74</v>
      </c>
      <c r="D5" s="15" t="s">
        <v>74</v>
      </c>
      <c r="E5" s="87" t="s">
        <v>74</v>
      </c>
      <c r="F5" s="87" t="s">
        <v>74</v>
      </c>
      <c r="G5" s="87" t="s">
        <v>74</v>
      </c>
      <c r="H5" s="87" t="s">
        <v>74</v>
      </c>
      <c r="I5" s="87" t="s">
        <v>74</v>
      </c>
      <c r="J5" s="87" t="s">
        <v>74</v>
      </c>
      <c r="K5" s="87" t="s">
        <v>74</v>
      </c>
      <c r="L5" s="87">
        <f t="shared" si="1"/>
        <v>0.1784661011</v>
      </c>
      <c r="M5" s="15" t="s">
        <v>74</v>
      </c>
      <c r="N5" s="15" t="s">
        <v>74</v>
      </c>
      <c r="O5" s="15" t="s">
        <v>74</v>
      </c>
      <c r="P5" s="15" t="s">
        <v>74</v>
      </c>
      <c r="Q5" s="15" t="s">
        <v>74</v>
      </c>
      <c r="R5" s="15" t="s">
        <v>74</v>
      </c>
      <c r="S5" s="15" t="s">
        <v>74</v>
      </c>
      <c r="T5" s="15" t="s">
        <v>74</v>
      </c>
      <c r="U5" s="15" t="s">
        <v>74</v>
      </c>
      <c r="Y5" s="15" t="s">
        <v>74</v>
      </c>
      <c r="Z5" s="15" t="s">
        <v>74</v>
      </c>
      <c r="AA5" s="15" t="s">
        <v>74</v>
      </c>
      <c r="AB5" s="15" t="s">
        <v>74</v>
      </c>
      <c r="AC5" s="15" t="s">
        <v>74</v>
      </c>
      <c r="AH5" s="15">
        <v>0.17846610107422</v>
      </c>
      <c r="AI5" s="15" t="s">
        <v>74</v>
      </c>
      <c r="AJ5" s="15" t="s">
        <v>74</v>
      </c>
      <c r="AK5" s="15" t="s">
        <v>74</v>
      </c>
      <c r="AL5" s="15" t="s">
        <v>74</v>
      </c>
    </row>
    <row r="6" ht="15.75" customHeight="1">
      <c r="A6" s="81">
        <v>1985.0</v>
      </c>
      <c r="B6" s="80" t="s">
        <v>49</v>
      </c>
      <c r="C6" s="87">
        <v>1574487.064632</v>
      </c>
      <c r="D6" s="15">
        <v>1.7389606651641E7</v>
      </c>
      <c r="E6" s="87">
        <v>183642.82244149</v>
      </c>
      <c r="F6" s="87">
        <v>2489874.6527767</v>
      </c>
      <c r="G6" s="87">
        <v>91164.412490716</v>
      </c>
      <c r="H6" s="87">
        <v>1493830.2921135</v>
      </c>
      <c r="I6" s="87">
        <v>30597.917795227</v>
      </c>
      <c r="J6" s="87" t="s">
        <v>74</v>
      </c>
      <c r="K6" s="87">
        <v>501182.81692306</v>
      </c>
      <c r="L6" s="87">
        <f t="shared" si="1"/>
        <v>57095.97696</v>
      </c>
      <c r="M6" s="15">
        <v>2679.5681428955</v>
      </c>
      <c r="N6" s="15" t="s">
        <v>74</v>
      </c>
      <c r="O6" s="15" t="s">
        <v>74</v>
      </c>
      <c r="P6" s="15" t="s">
        <v>74</v>
      </c>
      <c r="Q6" s="15">
        <v>109.75527589111</v>
      </c>
      <c r="R6" s="15">
        <v>12949.911246466</v>
      </c>
      <c r="S6" s="15">
        <v>0.79891500854492</v>
      </c>
      <c r="T6" s="15" t="s">
        <v>74</v>
      </c>
      <c r="U6" s="15">
        <v>12.044716827393</v>
      </c>
      <c r="Y6" s="15">
        <v>55.015802917481</v>
      </c>
      <c r="Z6" s="15" t="s">
        <v>74</v>
      </c>
      <c r="AA6" s="15">
        <v>2870.7179434387</v>
      </c>
      <c r="AB6" s="15">
        <v>1214.7600950745</v>
      </c>
      <c r="AC6" s="15" t="s">
        <v>74</v>
      </c>
      <c r="AH6" s="15" t="s">
        <v>74</v>
      </c>
      <c r="AI6" s="15" t="s">
        <v>74</v>
      </c>
      <c r="AJ6" s="15">
        <v>39.439852233887</v>
      </c>
      <c r="AK6" s="15" t="s">
        <v>74</v>
      </c>
      <c r="AL6" s="15">
        <v>37163.964968427</v>
      </c>
    </row>
    <row r="7" ht="15.75" customHeight="1">
      <c r="A7" s="81">
        <v>1985.0</v>
      </c>
      <c r="B7" s="80" t="s">
        <v>52</v>
      </c>
      <c r="C7" s="87">
        <v>29622.562168249</v>
      </c>
      <c r="D7" s="15">
        <v>10957.498900287</v>
      </c>
      <c r="E7" s="87">
        <v>40012.079309082</v>
      </c>
      <c r="F7" s="87">
        <v>23430.796663062</v>
      </c>
      <c r="G7" s="87">
        <v>343438.9805044</v>
      </c>
      <c r="H7" s="87">
        <v>37236.433051282</v>
      </c>
      <c r="I7" s="87">
        <v>6697.3877895203</v>
      </c>
      <c r="J7" s="87" t="s">
        <v>74</v>
      </c>
      <c r="K7" s="87">
        <v>24046.344274878</v>
      </c>
      <c r="L7" s="87">
        <f t="shared" si="1"/>
        <v>195.0389346</v>
      </c>
      <c r="M7" s="15" t="s">
        <v>74</v>
      </c>
      <c r="N7" s="15" t="s">
        <v>74</v>
      </c>
      <c r="O7" s="15" t="s">
        <v>74</v>
      </c>
      <c r="P7" s="15" t="s">
        <v>74</v>
      </c>
      <c r="Q7" s="15" t="s">
        <v>74</v>
      </c>
      <c r="R7" s="15">
        <v>66.034490087891</v>
      </c>
      <c r="S7" s="15">
        <v>0.43017806396484</v>
      </c>
      <c r="T7" s="15" t="s">
        <v>74</v>
      </c>
      <c r="U7" s="15">
        <v>0.086067425537109</v>
      </c>
      <c r="Y7" s="15" t="s">
        <v>74</v>
      </c>
      <c r="Z7" s="15" t="s">
        <v>74</v>
      </c>
      <c r="AA7" s="15">
        <v>43.31562722168</v>
      </c>
      <c r="AB7" s="15">
        <v>19.233795544434</v>
      </c>
      <c r="AC7" s="15" t="s">
        <v>74</v>
      </c>
      <c r="AH7" s="15" t="s">
        <v>74</v>
      </c>
      <c r="AI7" s="15" t="s">
        <v>74</v>
      </c>
      <c r="AJ7" s="15" t="s">
        <v>74</v>
      </c>
      <c r="AK7" s="15" t="s">
        <v>74</v>
      </c>
      <c r="AL7" s="15">
        <v>65.938776306152</v>
      </c>
    </row>
    <row r="8" ht="15.75" customHeight="1">
      <c r="A8" s="81">
        <v>1985.0</v>
      </c>
      <c r="B8" s="94" t="s">
        <v>58</v>
      </c>
      <c r="C8" s="9">
        <f t="shared" ref="C8:L8" si="2">C9+C10</f>
        <v>238074.7503</v>
      </c>
      <c r="D8" s="2">
        <f t="shared" si="2"/>
        <v>69143.61933</v>
      </c>
      <c r="E8" s="9">
        <f t="shared" si="2"/>
        <v>13317.22729</v>
      </c>
      <c r="F8" s="9">
        <f t="shared" si="2"/>
        <v>8009.8403</v>
      </c>
      <c r="G8" s="9">
        <f t="shared" si="2"/>
        <v>16550.08094</v>
      </c>
      <c r="H8" s="9">
        <f t="shared" si="2"/>
        <v>3719079.86</v>
      </c>
      <c r="I8" s="9">
        <f t="shared" si="2"/>
        <v>1128412.956</v>
      </c>
      <c r="J8" s="9" t="str">
        <f t="shared" si="2"/>
        <v>#VALUE!</v>
      </c>
      <c r="K8" s="9">
        <f t="shared" si="2"/>
        <v>163736.2178</v>
      </c>
      <c r="L8" s="9">
        <f t="shared" si="2"/>
        <v>13732.08976</v>
      </c>
    </row>
    <row r="9" ht="15.75" customHeight="1">
      <c r="A9" s="81">
        <v>1985.0</v>
      </c>
      <c r="B9" s="80" t="s">
        <v>53</v>
      </c>
      <c r="C9" s="87">
        <v>233791.71676124</v>
      </c>
      <c r="D9" s="15">
        <v>68861.861245727</v>
      </c>
      <c r="E9" s="87">
        <v>10079.848300299</v>
      </c>
      <c r="F9" s="87">
        <v>7621.5840940857</v>
      </c>
      <c r="G9" s="87">
        <v>14513.611438965</v>
      </c>
      <c r="H9" s="87">
        <v>3683857.8563134</v>
      </c>
      <c r="I9" s="87">
        <v>318632.8852889</v>
      </c>
      <c r="J9" s="87" t="s">
        <v>74</v>
      </c>
      <c r="K9" s="87">
        <v>100235.02255435</v>
      </c>
      <c r="L9" s="87">
        <f t="shared" ref="L9:L37" si="3">SUM(M9:AL9)</f>
        <v>7849.992683</v>
      </c>
      <c r="M9" s="15" t="s">
        <v>74</v>
      </c>
      <c r="N9" s="15" t="s">
        <v>74</v>
      </c>
      <c r="O9" s="15" t="s">
        <v>74</v>
      </c>
      <c r="P9" s="15" t="s">
        <v>74</v>
      </c>
      <c r="Q9" s="15" t="s">
        <v>74</v>
      </c>
      <c r="R9" s="15">
        <v>7444.3826139526</v>
      </c>
      <c r="S9" s="15" t="s">
        <v>74</v>
      </c>
      <c r="T9" s="15" t="s">
        <v>74</v>
      </c>
      <c r="U9" s="15">
        <v>0.34357990722656</v>
      </c>
      <c r="Y9" s="15" t="s">
        <v>74</v>
      </c>
      <c r="Z9" s="15" t="s">
        <v>74</v>
      </c>
      <c r="AA9" s="15" t="s">
        <v>74</v>
      </c>
      <c r="AB9" s="15">
        <v>1.5908748840332</v>
      </c>
      <c r="AC9" s="15" t="s">
        <v>74</v>
      </c>
      <c r="AH9" s="15" t="s">
        <v>74</v>
      </c>
      <c r="AI9" s="15" t="s">
        <v>74</v>
      </c>
      <c r="AJ9" s="15" t="s">
        <v>74</v>
      </c>
      <c r="AK9" s="15" t="s">
        <v>74</v>
      </c>
      <c r="AL9" s="15">
        <v>403.67561425781</v>
      </c>
    </row>
    <row r="10" ht="15.75" customHeight="1">
      <c r="A10" s="81">
        <v>1985.0</v>
      </c>
      <c r="B10" s="80" t="s">
        <v>54</v>
      </c>
      <c r="C10" s="87">
        <v>4283.0335106689</v>
      </c>
      <c r="D10" s="15">
        <v>281.75808622437</v>
      </c>
      <c r="E10" s="87">
        <v>3237.3789908691</v>
      </c>
      <c r="F10" s="87">
        <v>388.25620634155</v>
      </c>
      <c r="G10" s="87">
        <v>2036.469503949</v>
      </c>
      <c r="H10" s="87">
        <v>35222.003454407</v>
      </c>
      <c r="I10" s="87">
        <v>809780.07061717</v>
      </c>
      <c r="J10" s="87" t="s">
        <v>74</v>
      </c>
      <c r="K10" s="87">
        <v>63501.195291827</v>
      </c>
      <c r="L10" s="87">
        <f t="shared" si="3"/>
        <v>5882.097082</v>
      </c>
      <c r="M10" s="15" t="s">
        <v>74</v>
      </c>
      <c r="N10" s="15" t="s">
        <v>74</v>
      </c>
      <c r="O10" s="15" t="s">
        <v>74</v>
      </c>
      <c r="P10" s="15" t="s">
        <v>74</v>
      </c>
      <c r="Q10" s="15" t="s">
        <v>74</v>
      </c>
      <c r="R10" s="15">
        <v>5521.7438858094</v>
      </c>
      <c r="S10" s="15" t="s">
        <v>74</v>
      </c>
      <c r="T10" s="15" t="s">
        <v>74</v>
      </c>
      <c r="U10" s="15">
        <v>0.083043383789063</v>
      </c>
      <c r="Y10" s="15" t="s">
        <v>74</v>
      </c>
      <c r="Z10" s="15" t="s">
        <v>74</v>
      </c>
      <c r="AA10" s="15" t="s">
        <v>74</v>
      </c>
      <c r="AB10" s="15">
        <v>0.82992174072266</v>
      </c>
      <c r="AC10" s="15" t="s">
        <v>74</v>
      </c>
      <c r="AH10" s="15" t="s">
        <v>74</v>
      </c>
      <c r="AI10" s="15" t="s">
        <v>74</v>
      </c>
      <c r="AJ10" s="15" t="s">
        <v>74</v>
      </c>
      <c r="AK10" s="15" t="s">
        <v>74</v>
      </c>
      <c r="AL10" s="15">
        <v>359.44023057251</v>
      </c>
    </row>
    <row r="11" ht="15.75" customHeight="1">
      <c r="A11" s="81">
        <v>1985.0</v>
      </c>
      <c r="B11" s="80" t="s">
        <v>56</v>
      </c>
      <c r="C11" s="87">
        <v>4896199.9227766</v>
      </c>
      <c r="D11" s="15">
        <v>1171056.9272399</v>
      </c>
      <c r="E11" s="87">
        <v>650071.80236093</v>
      </c>
      <c r="F11" s="87">
        <v>1930398.6037316</v>
      </c>
      <c r="G11" s="87">
        <v>225113.38422596</v>
      </c>
      <c r="H11" s="87">
        <v>3615675.672043</v>
      </c>
      <c r="I11" s="87">
        <v>1103003.5963613</v>
      </c>
      <c r="J11" s="87" t="s">
        <v>74</v>
      </c>
      <c r="K11" s="87">
        <v>8609340.823057</v>
      </c>
      <c r="L11" s="87">
        <f t="shared" si="3"/>
        <v>96767.9939</v>
      </c>
      <c r="M11" s="15">
        <v>1943.8012818787</v>
      </c>
      <c r="N11" s="15" t="s">
        <v>74</v>
      </c>
      <c r="O11" s="15" t="s">
        <v>74</v>
      </c>
      <c r="P11" s="15" t="s">
        <v>74</v>
      </c>
      <c r="Q11" s="15">
        <v>1.7862473693848</v>
      </c>
      <c r="R11" s="15">
        <v>56391.440836029</v>
      </c>
      <c r="S11" s="15">
        <v>1.6162308898926</v>
      </c>
      <c r="T11" s="15" t="s">
        <v>74</v>
      </c>
      <c r="U11" s="15">
        <v>12.733522717285</v>
      </c>
      <c r="Y11" s="15">
        <v>4.9105706848145</v>
      </c>
      <c r="Z11" s="15" t="s">
        <v>74</v>
      </c>
      <c r="AA11" s="15">
        <v>986.46983688965</v>
      </c>
      <c r="AB11" s="15">
        <v>776.13617723389</v>
      </c>
      <c r="AC11" s="15" t="s">
        <v>74</v>
      </c>
      <c r="AH11" s="15" t="s">
        <v>74</v>
      </c>
      <c r="AI11" s="15" t="s">
        <v>74</v>
      </c>
      <c r="AJ11" s="15">
        <v>0.76052543334961</v>
      </c>
      <c r="AK11" s="15" t="s">
        <v>74</v>
      </c>
      <c r="AL11" s="15">
        <v>36648.338673566</v>
      </c>
    </row>
    <row r="12" ht="15.75" customHeight="1">
      <c r="A12" s="81">
        <v>1985.0</v>
      </c>
      <c r="B12" s="80" t="s">
        <v>48</v>
      </c>
      <c r="C12" s="87">
        <v>2.4748194492475E7</v>
      </c>
      <c r="D12" s="15">
        <v>404439.37934474</v>
      </c>
      <c r="E12" s="87">
        <v>980917.70159404</v>
      </c>
      <c r="F12" s="87">
        <v>1295763.0108409</v>
      </c>
      <c r="G12" s="87">
        <v>721394.33885808</v>
      </c>
      <c r="H12" s="87">
        <v>4187180.2134543</v>
      </c>
      <c r="I12" s="87">
        <v>1618112.9598903</v>
      </c>
      <c r="J12" s="87" t="s">
        <v>74</v>
      </c>
      <c r="K12" s="87">
        <v>2910078.3662103</v>
      </c>
      <c r="L12" s="87">
        <f t="shared" si="3"/>
        <v>135742.3267</v>
      </c>
      <c r="M12" s="15" t="s">
        <v>74</v>
      </c>
      <c r="N12" s="15" t="s">
        <v>74</v>
      </c>
      <c r="O12" s="15" t="s">
        <v>74</v>
      </c>
      <c r="P12" s="15" t="s">
        <v>74</v>
      </c>
      <c r="Q12" s="15" t="s">
        <v>74</v>
      </c>
      <c r="R12" s="15">
        <v>80844.798397254</v>
      </c>
      <c r="S12" s="15">
        <v>1.0955579040527</v>
      </c>
      <c r="T12" s="15" t="s">
        <v>74</v>
      </c>
      <c r="U12" s="15">
        <v>10.349404425049</v>
      </c>
      <c r="Y12" s="15" t="s">
        <v>74</v>
      </c>
      <c r="Z12" s="15" t="s">
        <v>74</v>
      </c>
      <c r="AA12" s="15">
        <v>255.73134821167</v>
      </c>
      <c r="AB12" s="15">
        <v>1617.0579689819</v>
      </c>
      <c r="AC12" s="15" t="s">
        <v>74</v>
      </c>
      <c r="AH12" s="15" t="s">
        <v>74</v>
      </c>
      <c r="AI12" s="15" t="s">
        <v>74</v>
      </c>
      <c r="AJ12" s="15" t="s">
        <v>74</v>
      </c>
      <c r="AK12" s="15" t="s">
        <v>74</v>
      </c>
      <c r="AL12" s="15">
        <v>53013.294055768</v>
      </c>
    </row>
    <row r="13" ht="15.75" customHeight="1">
      <c r="B13" s="94" t="s">
        <v>32</v>
      </c>
      <c r="C13" s="9">
        <f t="shared" ref="C13:K13" si="4">SUM(C16:C37)</f>
        <v>54564.29832</v>
      </c>
      <c r="D13" s="2">
        <f t="shared" si="4"/>
        <v>41717.31036</v>
      </c>
      <c r="E13" s="9">
        <f t="shared" si="4"/>
        <v>31572.33643</v>
      </c>
      <c r="F13" s="9">
        <f t="shared" si="4"/>
        <v>41459.17322</v>
      </c>
      <c r="G13" s="9">
        <f t="shared" si="4"/>
        <v>537.1322658</v>
      </c>
      <c r="H13" s="9">
        <f t="shared" si="4"/>
        <v>7388.633919</v>
      </c>
      <c r="I13" s="9">
        <f t="shared" si="4"/>
        <v>209.5368407</v>
      </c>
      <c r="J13" s="9">
        <f t="shared" si="4"/>
        <v>0</v>
      </c>
      <c r="K13" s="9">
        <f t="shared" si="4"/>
        <v>41053.27986</v>
      </c>
      <c r="L13" s="87">
        <f t="shared" si="3"/>
        <v>1589927.576</v>
      </c>
      <c r="M13" s="2">
        <f t="shared" ref="M13:U13" si="5">SUM(M16:M37)</f>
        <v>91576.00193</v>
      </c>
      <c r="N13" s="2">
        <f t="shared" si="5"/>
        <v>0</v>
      </c>
      <c r="O13" s="2">
        <f t="shared" si="5"/>
        <v>0</v>
      </c>
      <c r="P13" s="2">
        <f t="shared" si="5"/>
        <v>0</v>
      </c>
      <c r="Q13" s="2">
        <f t="shared" si="5"/>
        <v>64070.85055</v>
      </c>
      <c r="R13" s="2">
        <f t="shared" si="5"/>
        <v>304355.4446</v>
      </c>
      <c r="S13" s="2">
        <f t="shared" si="5"/>
        <v>77.32971059</v>
      </c>
      <c r="T13" s="2">
        <f t="shared" si="5"/>
        <v>0</v>
      </c>
      <c r="U13" s="2">
        <f t="shared" si="5"/>
        <v>6601.387018</v>
      </c>
      <c r="Y13" s="2">
        <f t="shared" ref="Y13:AC13" si="6">SUM(Y16:Y37)</f>
        <v>1213.70379</v>
      </c>
      <c r="Z13" s="2">
        <f t="shared" si="6"/>
        <v>0</v>
      </c>
      <c r="AA13" s="2">
        <f t="shared" si="6"/>
        <v>61263.50278</v>
      </c>
      <c r="AB13" s="2">
        <f t="shared" si="6"/>
        <v>1065.554291</v>
      </c>
      <c r="AC13" s="2">
        <f t="shared" si="6"/>
        <v>0</v>
      </c>
      <c r="AH13" s="2">
        <f t="shared" ref="AH13:AL13" si="7">SUM(AH16:AH37)</f>
        <v>0</v>
      </c>
      <c r="AI13" s="2">
        <f t="shared" si="7"/>
        <v>14.58731304</v>
      </c>
      <c r="AJ13" s="2">
        <f t="shared" si="7"/>
        <v>34175.42335</v>
      </c>
      <c r="AK13" s="2">
        <f t="shared" si="7"/>
        <v>0</v>
      </c>
      <c r="AL13" s="2">
        <f t="shared" si="7"/>
        <v>1025513.791</v>
      </c>
    </row>
    <row r="14" ht="15.75" hidden="1" customHeight="1">
      <c r="B14" s="94"/>
      <c r="L14" s="15">
        <f t="shared" si="3"/>
        <v>0</v>
      </c>
    </row>
    <row r="15" ht="15.75" hidden="1" customHeight="1">
      <c r="B15" s="94"/>
      <c r="L15" s="15">
        <f t="shared" si="3"/>
        <v>0</v>
      </c>
    </row>
    <row r="16" ht="15.75" hidden="1" customHeight="1">
      <c r="A16" s="81">
        <v>1985.0</v>
      </c>
      <c r="B16" s="80" t="s">
        <v>57</v>
      </c>
      <c r="C16" s="15">
        <v>306.19951082764</v>
      </c>
      <c r="D16" s="15">
        <v>357.54226670532</v>
      </c>
      <c r="E16" s="15">
        <v>41.430357757568</v>
      </c>
      <c r="F16" s="15">
        <v>1536.1573718933</v>
      </c>
      <c r="G16" s="15" t="s">
        <v>74</v>
      </c>
      <c r="H16" s="15" t="s">
        <v>74</v>
      </c>
      <c r="I16" s="15" t="s">
        <v>74</v>
      </c>
      <c r="J16" s="15" t="s">
        <v>74</v>
      </c>
      <c r="K16" s="15">
        <v>637.89745943604</v>
      </c>
      <c r="L16" s="15">
        <f t="shared" si="3"/>
        <v>85433.10549</v>
      </c>
      <c r="M16" s="15">
        <v>78805.298009576</v>
      </c>
      <c r="N16" s="15" t="s">
        <v>74</v>
      </c>
      <c r="O16" s="15" t="s">
        <v>74</v>
      </c>
      <c r="P16" s="15" t="s">
        <v>74</v>
      </c>
      <c r="Q16" s="15">
        <v>69.309059106445</v>
      </c>
      <c r="R16" s="15">
        <v>30.714671801758</v>
      </c>
      <c r="S16" s="15" t="s">
        <v>74</v>
      </c>
      <c r="T16" s="15" t="s">
        <v>74</v>
      </c>
      <c r="U16" s="15">
        <v>70.823418670654</v>
      </c>
      <c r="Y16" s="15">
        <v>14.200304937744</v>
      </c>
      <c r="Z16" s="15" t="s">
        <v>74</v>
      </c>
      <c r="AA16" s="15" t="s">
        <v>74</v>
      </c>
      <c r="AB16" s="15" t="s">
        <v>74</v>
      </c>
      <c r="AC16" s="15" t="s">
        <v>74</v>
      </c>
      <c r="AH16" s="15" t="s">
        <v>74</v>
      </c>
      <c r="AI16" s="15" t="s">
        <v>74</v>
      </c>
      <c r="AJ16" s="15" t="s">
        <v>74</v>
      </c>
      <c r="AK16" s="15" t="s">
        <v>74</v>
      </c>
      <c r="AL16" s="15">
        <v>6442.7600242798</v>
      </c>
    </row>
    <row r="17" ht="15.75" hidden="1" customHeight="1">
      <c r="A17" s="81">
        <v>1985.0</v>
      </c>
      <c r="B17" s="80" t="s">
        <v>58</v>
      </c>
      <c r="C17" s="15" t="s">
        <v>74</v>
      </c>
      <c r="D17" s="15" t="s">
        <v>74</v>
      </c>
      <c r="E17" s="15" t="s">
        <v>74</v>
      </c>
      <c r="F17" s="15" t="s">
        <v>74</v>
      </c>
      <c r="G17" s="15" t="s">
        <v>74</v>
      </c>
      <c r="H17" s="15" t="s">
        <v>74</v>
      </c>
      <c r="I17" s="15" t="s">
        <v>74</v>
      </c>
      <c r="J17" s="15" t="s">
        <v>74</v>
      </c>
      <c r="K17" s="15" t="s">
        <v>74</v>
      </c>
      <c r="L17" s="15">
        <f t="shared" si="3"/>
        <v>0</v>
      </c>
      <c r="M17" s="15" t="s">
        <v>74</v>
      </c>
      <c r="N17" s="15" t="s">
        <v>74</v>
      </c>
      <c r="O17" s="15" t="s">
        <v>74</v>
      </c>
      <c r="P17" s="15" t="s">
        <v>74</v>
      </c>
      <c r="Q17" s="15" t="s">
        <v>74</v>
      </c>
      <c r="R17" s="15" t="s">
        <v>74</v>
      </c>
      <c r="S17" s="15" t="s">
        <v>74</v>
      </c>
      <c r="T17" s="15" t="s">
        <v>74</v>
      </c>
      <c r="U17" s="15" t="s">
        <v>74</v>
      </c>
      <c r="Y17" s="15" t="s">
        <v>74</v>
      </c>
      <c r="Z17" s="15" t="s">
        <v>74</v>
      </c>
      <c r="AA17" s="15" t="s">
        <v>74</v>
      </c>
      <c r="AB17" s="15" t="s">
        <v>74</v>
      </c>
      <c r="AC17" s="15" t="s">
        <v>74</v>
      </c>
      <c r="AH17" s="15" t="s">
        <v>74</v>
      </c>
      <c r="AI17" s="15" t="s">
        <v>74</v>
      </c>
      <c r="AJ17" s="15" t="s">
        <v>74</v>
      </c>
      <c r="AK17" s="15" t="s">
        <v>74</v>
      </c>
      <c r="AL17" s="15" t="s">
        <v>74</v>
      </c>
    </row>
    <row r="18" ht="15.75" hidden="1" customHeight="1">
      <c r="A18" s="81">
        <v>1985.0</v>
      </c>
      <c r="B18" s="80" t="s">
        <v>59</v>
      </c>
      <c r="C18" s="15" t="s">
        <v>74</v>
      </c>
      <c r="D18" s="15" t="s">
        <v>74</v>
      </c>
      <c r="E18" s="15" t="s">
        <v>74</v>
      </c>
      <c r="F18" s="15" t="s">
        <v>74</v>
      </c>
      <c r="G18" s="15" t="s">
        <v>74</v>
      </c>
      <c r="H18" s="15" t="s">
        <v>74</v>
      </c>
      <c r="I18" s="15" t="s">
        <v>74</v>
      </c>
      <c r="J18" s="15" t="s">
        <v>74</v>
      </c>
      <c r="K18" s="15" t="s">
        <v>74</v>
      </c>
      <c r="L18" s="15">
        <f t="shared" si="3"/>
        <v>0</v>
      </c>
      <c r="M18" s="15" t="s">
        <v>74</v>
      </c>
      <c r="N18" s="15" t="s">
        <v>74</v>
      </c>
      <c r="O18" s="15" t="s">
        <v>74</v>
      </c>
      <c r="P18" s="15" t="s">
        <v>74</v>
      </c>
      <c r="Q18" s="15" t="s">
        <v>74</v>
      </c>
      <c r="R18" s="15" t="s">
        <v>74</v>
      </c>
      <c r="S18" s="15" t="s">
        <v>74</v>
      </c>
      <c r="T18" s="15" t="s">
        <v>74</v>
      </c>
      <c r="U18" s="15" t="s">
        <v>74</v>
      </c>
      <c r="Y18" s="15" t="s">
        <v>74</v>
      </c>
      <c r="Z18" s="15" t="s">
        <v>74</v>
      </c>
      <c r="AA18" s="15" t="s">
        <v>74</v>
      </c>
      <c r="AB18" s="15" t="s">
        <v>74</v>
      </c>
      <c r="AC18" s="15" t="s">
        <v>74</v>
      </c>
      <c r="AH18" s="15" t="s">
        <v>74</v>
      </c>
      <c r="AI18" s="15" t="s">
        <v>74</v>
      </c>
      <c r="AJ18" s="15" t="s">
        <v>74</v>
      </c>
      <c r="AK18" s="15" t="s">
        <v>74</v>
      </c>
      <c r="AL18" s="15" t="s">
        <v>74</v>
      </c>
    </row>
    <row r="19" ht="15.75" hidden="1" customHeight="1">
      <c r="A19" s="81">
        <v>1985.0</v>
      </c>
      <c r="B19" s="80" t="s">
        <v>21</v>
      </c>
      <c r="C19" s="15" t="s">
        <v>74</v>
      </c>
      <c r="D19" s="15" t="s">
        <v>74</v>
      </c>
      <c r="E19" s="15" t="s">
        <v>74</v>
      </c>
      <c r="F19" s="15" t="s">
        <v>74</v>
      </c>
      <c r="G19" s="15" t="s">
        <v>74</v>
      </c>
      <c r="H19" s="15" t="s">
        <v>74</v>
      </c>
      <c r="I19" s="15" t="s">
        <v>74</v>
      </c>
      <c r="J19" s="15" t="s">
        <v>74</v>
      </c>
      <c r="K19" s="15" t="s">
        <v>74</v>
      </c>
      <c r="L19" s="15">
        <f t="shared" si="3"/>
        <v>0</v>
      </c>
      <c r="M19" s="15" t="s">
        <v>74</v>
      </c>
      <c r="N19" s="15" t="s">
        <v>74</v>
      </c>
      <c r="O19" s="15" t="s">
        <v>74</v>
      </c>
      <c r="P19" s="15" t="s">
        <v>74</v>
      </c>
      <c r="Q19" s="15" t="s">
        <v>74</v>
      </c>
      <c r="R19" s="15" t="s">
        <v>74</v>
      </c>
      <c r="S19" s="15" t="s">
        <v>74</v>
      </c>
      <c r="T19" s="15" t="s">
        <v>74</v>
      </c>
      <c r="U19" s="15" t="s">
        <v>74</v>
      </c>
      <c r="Y19" s="15" t="s">
        <v>74</v>
      </c>
      <c r="Z19" s="15" t="s">
        <v>74</v>
      </c>
      <c r="AA19" s="15" t="s">
        <v>74</v>
      </c>
      <c r="AB19" s="15" t="s">
        <v>74</v>
      </c>
      <c r="AC19" s="15" t="s">
        <v>74</v>
      </c>
      <c r="AH19" s="15" t="s">
        <v>74</v>
      </c>
      <c r="AI19" s="15" t="s">
        <v>74</v>
      </c>
      <c r="AJ19" s="15" t="s">
        <v>74</v>
      </c>
      <c r="AK19" s="15" t="s">
        <v>74</v>
      </c>
      <c r="AL19" s="15" t="s">
        <v>74</v>
      </c>
    </row>
    <row r="20" ht="15.75" hidden="1" customHeight="1">
      <c r="A20" s="81">
        <v>1985.0</v>
      </c>
      <c r="B20" s="80" t="s">
        <v>61</v>
      </c>
      <c r="C20" s="15">
        <v>8.3931282592773</v>
      </c>
      <c r="D20" s="15">
        <v>27.951086395264</v>
      </c>
      <c r="E20" s="15">
        <v>1245.6445475342</v>
      </c>
      <c r="F20" s="15">
        <v>113.41277747192</v>
      </c>
      <c r="G20" s="15" t="s">
        <v>74</v>
      </c>
      <c r="H20" s="15" t="s">
        <v>74</v>
      </c>
      <c r="I20" s="15" t="s">
        <v>74</v>
      </c>
      <c r="J20" s="15" t="s">
        <v>74</v>
      </c>
      <c r="K20" s="15">
        <v>0.98226637573242</v>
      </c>
      <c r="L20" s="15">
        <f t="shared" si="3"/>
        <v>62370.16771</v>
      </c>
      <c r="M20" s="15">
        <v>395.72673418579</v>
      </c>
      <c r="N20" s="15" t="s">
        <v>74</v>
      </c>
      <c r="O20" s="15" t="s">
        <v>74</v>
      </c>
      <c r="P20" s="15" t="s">
        <v>74</v>
      </c>
      <c r="Q20" s="15">
        <v>61054.762810486</v>
      </c>
      <c r="R20" s="15" t="s">
        <v>74</v>
      </c>
      <c r="S20" s="15" t="s">
        <v>74</v>
      </c>
      <c r="T20" s="15" t="s">
        <v>74</v>
      </c>
      <c r="U20" s="15">
        <v>0.80376389160156</v>
      </c>
      <c r="Y20" s="15">
        <v>7.9476601135254</v>
      </c>
      <c r="Z20" s="15" t="s">
        <v>74</v>
      </c>
      <c r="AA20" s="15" t="s">
        <v>74</v>
      </c>
      <c r="AB20" s="15" t="s">
        <v>74</v>
      </c>
      <c r="AC20" s="15" t="s">
        <v>74</v>
      </c>
      <c r="AH20" s="15" t="s">
        <v>74</v>
      </c>
      <c r="AI20" s="15" t="s">
        <v>74</v>
      </c>
      <c r="AJ20" s="15" t="s">
        <v>74</v>
      </c>
      <c r="AK20" s="15" t="s">
        <v>74</v>
      </c>
      <c r="AL20" s="15">
        <v>910.92673995361</v>
      </c>
    </row>
    <row r="21" ht="15.75" hidden="1" customHeight="1">
      <c r="A21" s="81">
        <v>1985.0</v>
      </c>
      <c r="B21" s="80" t="s">
        <v>62</v>
      </c>
      <c r="C21" s="15">
        <v>2727.2912579529</v>
      </c>
      <c r="D21" s="15">
        <v>1283.9443811707</v>
      </c>
      <c r="E21" s="15">
        <v>168.27292617187</v>
      </c>
      <c r="F21" s="15">
        <v>636.83931484375</v>
      </c>
      <c r="G21" s="15">
        <v>8.6294963867188</v>
      </c>
      <c r="H21" s="15">
        <v>364.50515925903</v>
      </c>
      <c r="I21" s="15">
        <v>27.69199107666</v>
      </c>
      <c r="J21" s="15" t="s">
        <v>74</v>
      </c>
      <c r="K21" s="15">
        <v>2779.5284360718</v>
      </c>
      <c r="L21" s="15">
        <f t="shared" si="3"/>
        <v>304383.5075</v>
      </c>
      <c r="M21" s="15">
        <v>4.3755710693359</v>
      </c>
      <c r="N21" s="15" t="s">
        <v>74</v>
      </c>
      <c r="O21" s="15" t="s">
        <v>74</v>
      </c>
      <c r="P21" s="15" t="s">
        <v>74</v>
      </c>
      <c r="Q21" s="15" t="s">
        <v>74</v>
      </c>
      <c r="R21" s="15">
        <v>304197.3713355</v>
      </c>
      <c r="S21" s="15" t="s">
        <v>74</v>
      </c>
      <c r="T21" s="15" t="s">
        <v>74</v>
      </c>
      <c r="U21" s="15">
        <v>0.082761181640625</v>
      </c>
      <c r="Y21" s="15" t="s">
        <v>74</v>
      </c>
      <c r="Z21" s="15" t="s">
        <v>74</v>
      </c>
      <c r="AA21" s="15">
        <v>1.112934967041</v>
      </c>
      <c r="AB21" s="15">
        <v>42.374251617432</v>
      </c>
      <c r="AC21" s="15" t="s">
        <v>74</v>
      </c>
      <c r="AH21" s="15" t="s">
        <v>74</v>
      </c>
      <c r="AI21" s="15" t="s">
        <v>74</v>
      </c>
      <c r="AJ21" s="15" t="s">
        <v>74</v>
      </c>
      <c r="AK21" s="15" t="s">
        <v>74</v>
      </c>
      <c r="AL21" s="15">
        <v>138.19065088501</v>
      </c>
    </row>
    <row r="22" ht="15.75" hidden="1" customHeight="1">
      <c r="A22" s="81">
        <v>1985.0</v>
      </c>
      <c r="B22" s="80" t="s">
        <v>63</v>
      </c>
      <c r="C22" s="15">
        <v>1.9776513305664</v>
      </c>
      <c r="D22" s="15">
        <v>1.2106197265625</v>
      </c>
      <c r="E22" s="15">
        <v>6.3556592590332</v>
      </c>
      <c r="F22" s="15">
        <v>1.7457490783691</v>
      </c>
      <c r="G22" s="15">
        <v>3.4993496704102</v>
      </c>
      <c r="H22" s="15">
        <v>1.0285165527344</v>
      </c>
      <c r="I22" s="15">
        <v>1.0935747436523</v>
      </c>
      <c r="J22" s="15" t="s">
        <v>74</v>
      </c>
      <c r="K22" s="15">
        <v>10.620119726562</v>
      </c>
      <c r="L22" s="15">
        <f t="shared" si="3"/>
        <v>75.75272722</v>
      </c>
      <c r="M22" s="15" t="s">
        <v>74</v>
      </c>
      <c r="N22" s="15" t="s">
        <v>74</v>
      </c>
      <c r="O22" s="15" t="s">
        <v>74</v>
      </c>
      <c r="P22" s="15" t="s">
        <v>74</v>
      </c>
      <c r="Q22" s="15" t="s">
        <v>74</v>
      </c>
      <c r="R22" s="15">
        <v>0.41979450073242</v>
      </c>
      <c r="S22" s="15">
        <v>74.216838201904</v>
      </c>
      <c r="T22" s="15" t="s">
        <v>74</v>
      </c>
      <c r="U22" s="15" t="s">
        <v>74</v>
      </c>
      <c r="Y22" s="15">
        <v>0.089314642333984</v>
      </c>
      <c r="Z22" s="15" t="s">
        <v>74</v>
      </c>
      <c r="AA22" s="15">
        <v>0.16841737060547</v>
      </c>
      <c r="AB22" s="15" t="s">
        <v>74</v>
      </c>
      <c r="AC22" s="15" t="s">
        <v>74</v>
      </c>
      <c r="AH22" s="15" t="s">
        <v>74</v>
      </c>
      <c r="AI22" s="15" t="s">
        <v>74</v>
      </c>
      <c r="AJ22" s="15" t="s">
        <v>74</v>
      </c>
      <c r="AK22" s="15" t="s">
        <v>74</v>
      </c>
      <c r="AL22" s="15">
        <v>0.8583625</v>
      </c>
    </row>
    <row r="23" ht="15.75" hidden="1" customHeight="1">
      <c r="A23" s="81">
        <v>1985.0</v>
      </c>
      <c r="B23" s="80" t="s">
        <v>64</v>
      </c>
      <c r="C23" s="15" t="s">
        <v>74</v>
      </c>
      <c r="D23" s="15" t="s">
        <v>74</v>
      </c>
      <c r="E23" s="15" t="s">
        <v>74</v>
      </c>
      <c r="F23" s="15" t="s">
        <v>74</v>
      </c>
      <c r="G23" s="15" t="s">
        <v>74</v>
      </c>
      <c r="H23" s="15" t="s">
        <v>74</v>
      </c>
      <c r="I23" s="15" t="s">
        <v>74</v>
      </c>
      <c r="J23" s="15" t="s">
        <v>74</v>
      </c>
      <c r="K23" s="15" t="s">
        <v>74</v>
      </c>
      <c r="L23" s="15">
        <f t="shared" si="3"/>
        <v>0</v>
      </c>
      <c r="M23" s="15" t="s">
        <v>74</v>
      </c>
      <c r="N23" s="15" t="s">
        <v>74</v>
      </c>
      <c r="O23" s="15" t="s">
        <v>74</v>
      </c>
      <c r="P23" s="15" t="s">
        <v>74</v>
      </c>
      <c r="Q23" s="15" t="s">
        <v>74</v>
      </c>
      <c r="R23" s="15" t="s">
        <v>74</v>
      </c>
      <c r="S23" s="15" t="s">
        <v>74</v>
      </c>
      <c r="T23" s="15" t="s">
        <v>74</v>
      </c>
      <c r="U23" s="15" t="s">
        <v>74</v>
      </c>
      <c r="Y23" s="15" t="s">
        <v>74</v>
      </c>
      <c r="Z23" s="15" t="s">
        <v>74</v>
      </c>
      <c r="AA23" s="15" t="s">
        <v>74</v>
      </c>
      <c r="AB23" s="15" t="s">
        <v>74</v>
      </c>
      <c r="AC23" s="15" t="s">
        <v>74</v>
      </c>
      <c r="AH23" s="15" t="s">
        <v>74</v>
      </c>
      <c r="AI23" s="15" t="s">
        <v>74</v>
      </c>
      <c r="AJ23" s="15" t="s">
        <v>74</v>
      </c>
      <c r="AK23" s="15" t="s">
        <v>74</v>
      </c>
      <c r="AL23" s="15" t="s">
        <v>74</v>
      </c>
    </row>
    <row r="24" ht="15.75" hidden="1" customHeight="1">
      <c r="A24" s="81">
        <v>1985.0</v>
      </c>
      <c r="B24" s="80" t="s">
        <v>65</v>
      </c>
      <c r="C24" s="15">
        <v>17.135784692383</v>
      </c>
      <c r="D24" s="15">
        <v>6.1694493652344</v>
      </c>
      <c r="E24" s="15">
        <v>15.76759911499</v>
      </c>
      <c r="F24" s="15">
        <v>18.21709185791</v>
      </c>
      <c r="G24" s="15">
        <v>0.93146700439453</v>
      </c>
      <c r="H24" s="15">
        <v>5.3424885375977</v>
      </c>
      <c r="I24" s="15">
        <v>0.50488153076172</v>
      </c>
      <c r="J24" s="15" t="s">
        <v>74</v>
      </c>
      <c r="K24" s="15">
        <v>8.9157261352539</v>
      </c>
      <c r="L24" s="15">
        <f t="shared" si="3"/>
        <v>6551.095769</v>
      </c>
      <c r="M24" s="15">
        <v>13.931154608154</v>
      </c>
      <c r="N24" s="15" t="s">
        <v>74</v>
      </c>
      <c r="O24" s="15" t="s">
        <v>74</v>
      </c>
      <c r="P24" s="15" t="s">
        <v>74</v>
      </c>
      <c r="Q24" s="15">
        <v>1.6074542175293</v>
      </c>
      <c r="R24" s="15">
        <v>1.1661789428711</v>
      </c>
      <c r="S24" s="15" t="s">
        <v>74</v>
      </c>
      <c r="T24" s="15" t="s">
        <v>74</v>
      </c>
      <c r="U24" s="15">
        <v>6516.5005418639</v>
      </c>
      <c r="Y24" s="15" t="s">
        <v>74</v>
      </c>
      <c r="Z24" s="15" t="s">
        <v>74</v>
      </c>
      <c r="AA24" s="15">
        <v>0.59658809204102</v>
      </c>
      <c r="AB24" s="15" t="s">
        <v>74</v>
      </c>
      <c r="AC24" s="15" t="s">
        <v>74</v>
      </c>
      <c r="AH24" s="15" t="s">
        <v>74</v>
      </c>
      <c r="AI24" s="15" t="s">
        <v>74</v>
      </c>
      <c r="AJ24" s="15" t="s">
        <v>74</v>
      </c>
      <c r="AK24" s="15" t="s">
        <v>74</v>
      </c>
      <c r="AL24" s="15">
        <v>17.293851043701</v>
      </c>
    </row>
    <row r="25" ht="15.75" hidden="1" customHeight="1">
      <c r="B25" s="94"/>
      <c r="L25" s="15">
        <f t="shared" si="3"/>
        <v>0</v>
      </c>
    </row>
    <row r="26" ht="15.75" hidden="1" customHeight="1">
      <c r="B26" s="94"/>
      <c r="L26" s="15">
        <f t="shared" si="3"/>
        <v>0</v>
      </c>
    </row>
    <row r="27" ht="15.75" hidden="1" customHeight="1">
      <c r="B27" s="94"/>
      <c r="L27" s="15">
        <f t="shared" si="3"/>
        <v>0</v>
      </c>
    </row>
    <row r="28" ht="15.75" hidden="1" customHeight="1">
      <c r="A28" s="81">
        <v>1985.0</v>
      </c>
      <c r="B28" s="80" t="s">
        <v>66</v>
      </c>
      <c r="C28" s="15">
        <v>0.44644481201172</v>
      </c>
      <c r="D28" s="15">
        <v>4.0176643981934</v>
      </c>
      <c r="E28" s="15">
        <v>40.181766033936</v>
      </c>
      <c r="F28" s="15">
        <v>2.5896733337402</v>
      </c>
      <c r="G28" s="15" t="s">
        <v>74</v>
      </c>
      <c r="H28" s="15" t="s">
        <v>74</v>
      </c>
      <c r="I28" s="15" t="s">
        <v>74</v>
      </c>
      <c r="J28" s="15" t="s">
        <v>74</v>
      </c>
      <c r="K28" s="15">
        <v>4.6426349426269</v>
      </c>
      <c r="L28" s="15">
        <f t="shared" si="3"/>
        <v>1681.510769</v>
      </c>
      <c r="M28" s="15">
        <v>3.0359594604492</v>
      </c>
      <c r="N28" s="15" t="s">
        <v>74</v>
      </c>
      <c r="O28" s="15" t="s">
        <v>74</v>
      </c>
      <c r="P28" s="15" t="s">
        <v>74</v>
      </c>
      <c r="Q28" s="15">
        <v>374.6912645874</v>
      </c>
      <c r="R28" s="15" t="s">
        <v>74</v>
      </c>
      <c r="S28" s="15">
        <v>0.26783817138672</v>
      </c>
      <c r="T28" s="15" t="s">
        <v>74</v>
      </c>
      <c r="U28" s="15" t="s">
        <v>74</v>
      </c>
      <c r="Y28" s="15">
        <v>1035.7092937744</v>
      </c>
      <c r="Z28" s="15" t="s">
        <v>74</v>
      </c>
      <c r="AA28" s="15" t="s">
        <v>74</v>
      </c>
      <c r="AB28" s="15" t="s">
        <v>74</v>
      </c>
      <c r="AC28" s="15" t="s">
        <v>74</v>
      </c>
      <c r="AH28" s="15" t="s">
        <v>74</v>
      </c>
      <c r="AI28" s="15" t="s">
        <v>74</v>
      </c>
      <c r="AJ28" s="15" t="s">
        <v>74</v>
      </c>
      <c r="AK28" s="15" t="s">
        <v>74</v>
      </c>
      <c r="AL28" s="15">
        <v>267.8064130127</v>
      </c>
    </row>
    <row r="29" ht="15.75" hidden="1" customHeight="1">
      <c r="A29" s="81">
        <v>1985.0</v>
      </c>
      <c r="B29" s="80" t="s">
        <v>67</v>
      </c>
      <c r="C29" s="15" t="s">
        <v>74</v>
      </c>
      <c r="D29" s="15" t="s">
        <v>74</v>
      </c>
      <c r="E29" s="15" t="s">
        <v>74</v>
      </c>
      <c r="F29" s="15" t="s">
        <v>74</v>
      </c>
      <c r="G29" s="15" t="s">
        <v>74</v>
      </c>
      <c r="H29" s="15" t="s">
        <v>74</v>
      </c>
      <c r="I29" s="15" t="s">
        <v>74</v>
      </c>
      <c r="J29" s="15" t="s">
        <v>74</v>
      </c>
      <c r="K29" s="15" t="s">
        <v>74</v>
      </c>
      <c r="L29" s="15">
        <f t="shared" si="3"/>
        <v>0</v>
      </c>
      <c r="M29" s="15" t="s">
        <v>74</v>
      </c>
      <c r="N29" s="15" t="s">
        <v>74</v>
      </c>
      <c r="O29" s="15" t="s">
        <v>74</v>
      </c>
      <c r="P29" s="15" t="s">
        <v>74</v>
      </c>
      <c r="Q29" s="15" t="s">
        <v>74</v>
      </c>
      <c r="R29" s="15" t="s">
        <v>74</v>
      </c>
      <c r="S29" s="15" t="s">
        <v>74</v>
      </c>
      <c r="T29" s="15" t="s">
        <v>74</v>
      </c>
      <c r="U29" s="15" t="s">
        <v>74</v>
      </c>
      <c r="Y29" s="15" t="s">
        <v>74</v>
      </c>
      <c r="Z29" s="15" t="s">
        <v>74</v>
      </c>
      <c r="AA29" s="15" t="s">
        <v>74</v>
      </c>
      <c r="AB29" s="15" t="s">
        <v>74</v>
      </c>
      <c r="AC29" s="15" t="s">
        <v>74</v>
      </c>
      <c r="AH29" s="15" t="s">
        <v>74</v>
      </c>
      <c r="AI29" s="15" t="s">
        <v>74</v>
      </c>
      <c r="AJ29" s="15" t="s">
        <v>74</v>
      </c>
      <c r="AK29" s="15" t="s">
        <v>74</v>
      </c>
      <c r="AL29" s="15" t="s">
        <v>74</v>
      </c>
    </row>
    <row r="30" ht="15.75" hidden="1" customHeight="1">
      <c r="A30" s="81">
        <v>1985.0</v>
      </c>
      <c r="B30" s="80" t="s">
        <v>68</v>
      </c>
      <c r="C30" s="15">
        <v>154.58323530273</v>
      </c>
      <c r="D30" s="15">
        <v>2457.0916808777</v>
      </c>
      <c r="E30" s="15">
        <v>709.84377518311</v>
      </c>
      <c r="F30" s="15">
        <v>690.59415067139</v>
      </c>
      <c r="G30" s="15">
        <v>234.87001072998</v>
      </c>
      <c r="H30" s="15">
        <v>238.54976090698</v>
      </c>
      <c r="I30" s="15" t="s">
        <v>74</v>
      </c>
      <c r="J30" s="15" t="s">
        <v>74</v>
      </c>
      <c r="K30" s="15">
        <v>143.83244417114</v>
      </c>
      <c r="L30" s="15">
        <f t="shared" si="3"/>
        <v>61257.65009</v>
      </c>
      <c r="M30" s="15" t="s">
        <v>74</v>
      </c>
      <c r="N30" s="15" t="s">
        <v>74</v>
      </c>
      <c r="O30" s="15" t="s">
        <v>74</v>
      </c>
      <c r="P30" s="15" t="s">
        <v>74</v>
      </c>
      <c r="Q30" s="15" t="s">
        <v>74</v>
      </c>
      <c r="R30" s="15">
        <v>0.76644965209961</v>
      </c>
      <c r="S30" s="15" t="s">
        <v>74</v>
      </c>
      <c r="T30" s="15" t="s">
        <v>74</v>
      </c>
      <c r="U30" s="15">
        <v>0.17194060668945</v>
      </c>
      <c r="Y30" s="15" t="s">
        <v>74</v>
      </c>
      <c r="Z30" s="15" t="s">
        <v>74</v>
      </c>
      <c r="AA30" s="15">
        <v>61254.729498334</v>
      </c>
      <c r="AB30" s="15">
        <v>0.3405138671875</v>
      </c>
      <c r="AC30" s="15" t="s">
        <v>74</v>
      </c>
      <c r="AH30" s="15" t="s">
        <v>74</v>
      </c>
      <c r="AI30" s="15" t="s">
        <v>74</v>
      </c>
      <c r="AJ30" s="15">
        <v>0.085048388671875</v>
      </c>
      <c r="AK30" s="15" t="s">
        <v>74</v>
      </c>
      <c r="AL30" s="15">
        <v>1.5566366271973</v>
      </c>
    </row>
    <row r="31" ht="15.75" hidden="1" customHeight="1">
      <c r="A31" s="81">
        <v>1985.0</v>
      </c>
      <c r="B31" s="80" t="s">
        <v>70</v>
      </c>
      <c r="C31" s="15">
        <v>59.947013970947</v>
      </c>
      <c r="D31" s="15">
        <v>136.61953113403</v>
      </c>
      <c r="E31" s="15">
        <v>159.91890279541</v>
      </c>
      <c r="F31" s="15">
        <v>19.494807171631</v>
      </c>
      <c r="G31" s="15">
        <v>9.7375924072266</v>
      </c>
      <c r="H31" s="15">
        <v>128.72843704834</v>
      </c>
      <c r="I31" s="15">
        <v>97.755948345947</v>
      </c>
      <c r="J31" s="15" t="s">
        <v>74</v>
      </c>
      <c r="K31" s="15">
        <v>280.46670019531</v>
      </c>
      <c r="L31" s="15">
        <f t="shared" si="3"/>
        <v>1101.680496</v>
      </c>
      <c r="M31" s="15" t="s">
        <v>74</v>
      </c>
      <c r="N31" s="15" t="s">
        <v>74</v>
      </c>
      <c r="O31" s="15" t="s">
        <v>74</v>
      </c>
      <c r="P31" s="15" t="s">
        <v>74</v>
      </c>
      <c r="Q31" s="15" t="s">
        <v>74</v>
      </c>
      <c r="R31" s="15">
        <v>33.302368249512</v>
      </c>
      <c r="S31" s="15" t="s">
        <v>74</v>
      </c>
      <c r="T31" s="15" t="s">
        <v>74</v>
      </c>
      <c r="U31" s="15" t="s">
        <v>74</v>
      </c>
      <c r="Y31" s="15" t="s">
        <v>74</v>
      </c>
      <c r="Z31" s="15" t="s">
        <v>74</v>
      </c>
      <c r="AA31" s="15" t="s">
        <v>74</v>
      </c>
      <c r="AB31" s="15">
        <v>998.87881295166</v>
      </c>
      <c r="AC31" s="15" t="s">
        <v>74</v>
      </c>
      <c r="AH31" s="15" t="s">
        <v>74</v>
      </c>
      <c r="AI31" s="15" t="s">
        <v>74</v>
      </c>
      <c r="AJ31" s="15" t="s">
        <v>74</v>
      </c>
      <c r="AK31" s="15" t="s">
        <v>74</v>
      </c>
      <c r="AL31" s="15">
        <v>69.499314440918</v>
      </c>
    </row>
    <row r="32" ht="15.75" hidden="1" customHeight="1">
      <c r="A32" s="81">
        <v>1985.0</v>
      </c>
      <c r="B32" s="80" t="s">
        <v>24</v>
      </c>
      <c r="C32" s="15" t="s">
        <v>74</v>
      </c>
      <c r="D32" s="15" t="s">
        <v>74</v>
      </c>
      <c r="E32" s="15" t="s">
        <v>74</v>
      </c>
      <c r="F32" s="15" t="s">
        <v>74</v>
      </c>
      <c r="G32" s="15" t="s">
        <v>74</v>
      </c>
      <c r="H32" s="15" t="s">
        <v>74</v>
      </c>
      <c r="I32" s="15" t="s">
        <v>74</v>
      </c>
      <c r="J32" s="15" t="s">
        <v>74</v>
      </c>
      <c r="K32" s="15" t="s">
        <v>74</v>
      </c>
      <c r="L32" s="15">
        <f t="shared" si="3"/>
        <v>0</v>
      </c>
      <c r="M32" s="15" t="s">
        <v>74</v>
      </c>
      <c r="N32" s="15" t="s">
        <v>74</v>
      </c>
      <c r="O32" s="15" t="s">
        <v>74</v>
      </c>
      <c r="P32" s="15" t="s">
        <v>74</v>
      </c>
      <c r="Q32" s="15" t="s">
        <v>74</v>
      </c>
      <c r="R32" s="15" t="s">
        <v>74</v>
      </c>
      <c r="S32" s="15" t="s">
        <v>74</v>
      </c>
      <c r="T32" s="15" t="s">
        <v>74</v>
      </c>
      <c r="U32" s="15" t="s">
        <v>74</v>
      </c>
      <c r="Y32" s="15" t="s">
        <v>74</v>
      </c>
      <c r="Z32" s="15" t="s">
        <v>74</v>
      </c>
      <c r="AA32" s="15" t="s">
        <v>74</v>
      </c>
      <c r="AB32" s="15" t="s">
        <v>74</v>
      </c>
      <c r="AC32" s="15" t="s">
        <v>74</v>
      </c>
      <c r="AH32" s="15" t="s">
        <v>74</v>
      </c>
      <c r="AI32" s="15" t="s">
        <v>74</v>
      </c>
      <c r="AJ32" s="15" t="s">
        <v>74</v>
      </c>
      <c r="AK32" s="15" t="s">
        <v>74</v>
      </c>
      <c r="AL32" s="15" t="s">
        <v>74</v>
      </c>
    </row>
    <row r="33" ht="15.75" hidden="1" customHeight="1">
      <c r="A33" s="81">
        <v>1985.0</v>
      </c>
      <c r="B33" s="80" t="s">
        <v>55</v>
      </c>
      <c r="C33" s="15" t="s">
        <v>74</v>
      </c>
      <c r="D33" s="15" t="s">
        <v>74</v>
      </c>
      <c r="E33" s="15" t="s">
        <v>74</v>
      </c>
      <c r="F33" s="15" t="s">
        <v>74</v>
      </c>
      <c r="G33" s="15" t="s">
        <v>74</v>
      </c>
      <c r="H33" s="15" t="s">
        <v>74</v>
      </c>
      <c r="I33" s="15" t="s">
        <v>74</v>
      </c>
      <c r="J33" s="15" t="s">
        <v>74</v>
      </c>
      <c r="K33" s="15" t="s">
        <v>74</v>
      </c>
      <c r="L33" s="15">
        <f t="shared" si="3"/>
        <v>0</v>
      </c>
      <c r="M33" s="15" t="s">
        <v>74</v>
      </c>
      <c r="N33" s="15" t="s">
        <v>74</v>
      </c>
      <c r="O33" s="15" t="s">
        <v>74</v>
      </c>
      <c r="P33" s="15" t="s">
        <v>74</v>
      </c>
      <c r="Q33" s="15" t="s">
        <v>74</v>
      </c>
      <c r="R33" s="15" t="s">
        <v>74</v>
      </c>
      <c r="S33" s="15" t="s">
        <v>74</v>
      </c>
      <c r="T33" s="15" t="s">
        <v>74</v>
      </c>
      <c r="U33" s="15" t="s">
        <v>74</v>
      </c>
      <c r="Y33" s="15" t="s">
        <v>74</v>
      </c>
      <c r="Z33" s="15" t="s">
        <v>74</v>
      </c>
      <c r="AA33" s="15" t="s">
        <v>74</v>
      </c>
      <c r="AB33" s="15" t="s">
        <v>74</v>
      </c>
      <c r="AC33" s="15" t="s">
        <v>74</v>
      </c>
      <c r="AH33" s="15" t="s">
        <v>74</v>
      </c>
      <c r="AI33" s="15" t="s">
        <v>74</v>
      </c>
      <c r="AJ33" s="15" t="s">
        <v>74</v>
      </c>
      <c r="AK33" s="15" t="s">
        <v>74</v>
      </c>
      <c r="AL33" s="15" t="s">
        <v>74</v>
      </c>
    </row>
    <row r="34" ht="15.75" hidden="1" customHeight="1">
      <c r="A34" s="81">
        <v>1985.0</v>
      </c>
      <c r="B34" s="80" t="s">
        <v>71</v>
      </c>
      <c r="C34" s="15">
        <v>1.4326721374512</v>
      </c>
      <c r="D34" s="15">
        <v>5.7882294128418</v>
      </c>
      <c r="E34" s="15">
        <v>1.0085448120117</v>
      </c>
      <c r="F34" s="15">
        <v>0.4225151550293</v>
      </c>
      <c r="G34" s="15" t="s">
        <v>74</v>
      </c>
      <c r="H34" s="15" t="s">
        <v>74</v>
      </c>
      <c r="I34" s="15" t="s">
        <v>74</v>
      </c>
      <c r="J34" s="15" t="s">
        <v>74</v>
      </c>
      <c r="K34" s="15" t="s">
        <v>74</v>
      </c>
      <c r="L34" s="15">
        <f t="shared" si="3"/>
        <v>14.25121698</v>
      </c>
      <c r="M34" s="15" t="s">
        <v>74</v>
      </c>
      <c r="N34" s="15" t="s">
        <v>74</v>
      </c>
      <c r="O34" s="15" t="s">
        <v>74</v>
      </c>
      <c r="P34" s="15" t="s">
        <v>74</v>
      </c>
      <c r="Q34" s="15" t="s">
        <v>74</v>
      </c>
      <c r="R34" s="15" t="s">
        <v>74</v>
      </c>
      <c r="S34" s="15" t="s">
        <v>74</v>
      </c>
      <c r="T34" s="15" t="s">
        <v>74</v>
      </c>
      <c r="U34" s="15" t="s">
        <v>74</v>
      </c>
      <c r="Y34" s="15" t="s">
        <v>74</v>
      </c>
      <c r="Z34" s="15" t="s">
        <v>74</v>
      </c>
      <c r="AA34" s="15" t="s">
        <v>74</v>
      </c>
      <c r="AB34" s="15" t="s">
        <v>74</v>
      </c>
      <c r="AC34" s="15" t="s">
        <v>74</v>
      </c>
      <c r="AH34" s="15" t="s">
        <v>74</v>
      </c>
      <c r="AI34" s="15">
        <v>14.167244091797</v>
      </c>
      <c r="AJ34" s="15" t="s">
        <v>74</v>
      </c>
      <c r="AK34" s="15" t="s">
        <v>74</v>
      </c>
      <c r="AL34" s="15">
        <v>0.083972888183594</v>
      </c>
    </row>
    <row r="35" ht="15.75" hidden="1" customHeight="1">
      <c r="A35" s="81">
        <v>1985.0</v>
      </c>
      <c r="B35" s="80" t="s">
        <v>72</v>
      </c>
      <c r="C35" s="15">
        <v>2094.9722244324</v>
      </c>
      <c r="D35" s="15">
        <v>17881.118360315</v>
      </c>
      <c r="E35" s="15">
        <v>559.48525883179</v>
      </c>
      <c r="F35" s="15">
        <v>15325.981583032</v>
      </c>
      <c r="G35" s="15">
        <v>239.00361136475</v>
      </c>
      <c r="H35" s="15">
        <v>5961.2433390197</v>
      </c>
      <c r="I35" s="15" t="s">
        <v>74</v>
      </c>
      <c r="J35" s="15" t="s">
        <v>74</v>
      </c>
      <c r="K35" s="15">
        <v>783.30930079346</v>
      </c>
      <c r="L35" s="15">
        <f t="shared" si="3"/>
        <v>34317.9116</v>
      </c>
      <c r="M35" s="15">
        <v>24.024197955322</v>
      </c>
      <c r="N35" s="15" t="s">
        <v>74</v>
      </c>
      <c r="O35" s="15" t="s">
        <v>74</v>
      </c>
      <c r="P35" s="15" t="s">
        <v>74</v>
      </c>
      <c r="Q35" s="15" t="s">
        <v>74</v>
      </c>
      <c r="R35" s="15">
        <v>20.712885455322</v>
      </c>
      <c r="S35" s="15" t="s">
        <v>74</v>
      </c>
      <c r="T35" s="15" t="s">
        <v>74</v>
      </c>
      <c r="U35" s="15" t="s">
        <v>74</v>
      </c>
      <c r="Y35" s="15">
        <v>0.089314965820313</v>
      </c>
      <c r="Z35" s="15" t="s">
        <v>74</v>
      </c>
      <c r="AA35" s="15">
        <v>1.2734732055664</v>
      </c>
      <c r="AB35" s="15">
        <v>0.25544219970703</v>
      </c>
      <c r="AC35" s="15" t="s">
        <v>74</v>
      </c>
      <c r="AH35" s="15" t="s">
        <v>74</v>
      </c>
      <c r="AI35" s="15" t="s">
        <v>74</v>
      </c>
      <c r="AJ35" s="15">
        <v>34175.248983435</v>
      </c>
      <c r="AK35" s="15" t="s">
        <v>74</v>
      </c>
      <c r="AL35" s="15">
        <v>96.307304345703</v>
      </c>
    </row>
    <row r="36" ht="15.75" hidden="1" customHeight="1">
      <c r="A36" s="81">
        <v>1985.0</v>
      </c>
      <c r="B36" s="80" t="s">
        <v>25</v>
      </c>
      <c r="C36" s="15" t="s">
        <v>74</v>
      </c>
      <c r="D36" s="15" t="s">
        <v>74</v>
      </c>
      <c r="E36" s="15" t="s">
        <v>74</v>
      </c>
      <c r="F36" s="15" t="s">
        <v>74</v>
      </c>
      <c r="G36" s="15" t="s">
        <v>74</v>
      </c>
      <c r="H36" s="15" t="s">
        <v>74</v>
      </c>
      <c r="I36" s="15" t="s">
        <v>74</v>
      </c>
      <c r="J36" s="15" t="s">
        <v>74</v>
      </c>
      <c r="K36" s="15" t="s">
        <v>74</v>
      </c>
      <c r="L36" s="15">
        <f t="shared" si="3"/>
        <v>0</v>
      </c>
      <c r="M36" s="15" t="s">
        <v>74</v>
      </c>
      <c r="N36" s="15" t="s">
        <v>74</v>
      </c>
      <c r="O36" s="15" t="s">
        <v>74</v>
      </c>
      <c r="P36" s="15" t="s">
        <v>74</v>
      </c>
      <c r="Q36" s="15" t="s">
        <v>74</v>
      </c>
      <c r="R36" s="15" t="s">
        <v>74</v>
      </c>
      <c r="S36" s="15" t="s">
        <v>74</v>
      </c>
      <c r="T36" s="15" t="s">
        <v>74</v>
      </c>
      <c r="U36" s="15" t="s">
        <v>74</v>
      </c>
      <c r="Y36" s="15" t="s">
        <v>74</v>
      </c>
      <c r="Z36" s="15" t="s">
        <v>74</v>
      </c>
      <c r="AA36" s="15" t="s">
        <v>74</v>
      </c>
      <c r="AB36" s="15" t="s">
        <v>74</v>
      </c>
      <c r="AC36" s="15" t="s">
        <v>74</v>
      </c>
      <c r="AH36" s="15" t="s">
        <v>74</v>
      </c>
      <c r="AI36" s="15" t="s">
        <v>74</v>
      </c>
      <c r="AJ36" s="15" t="s">
        <v>74</v>
      </c>
      <c r="AK36" s="15" t="s">
        <v>74</v>
      </c>
      <c r="AL36" s="15" t="s">
        <v>74</v>
      </c>
    </row>
    <row r="37" ht="15.75" hidden="1" customHeight="1">
      <c r="A37" s="81">
        <v>1985.0</v>
      </c>
      <c r="B37" s="80" t="s">
        <v>73</v>
      </c>
      <c r="C37" s="15">
        <v>49191.919394092</v>
      </c>
      <c r="D37" s="15">
        <v>19555.857091998</v>
      </c>
      <c r="E37" s="15">
        <v>28624.427094342</v>
      </c>
      <c r="F37" s="15">
        <v>23113.718183282</v>
      </c>
      <c r="G37" s="15">
        <v>40.460738195801</v>
      </c>
      <c r="H37" s="15">
        <v>689.23621785278</v>
      </c>
      <c r="I37" s="15">
        <v>82.490445013428</v>
      </c>
      <c r="J37" s="15" t="s">
        <v>74</v>
      </c>
      <c r="K37" s="15">
        <v>36403.084773444</v>
      </c>
      <c r="L37" s="15">
        <f t="shared" si="3"/>
        <v>1032740.943</v>
      </c>
      <c r="M37" s="15">
        <v>12329.610302411</v>
      </c>
      <c r="N37" s="15" t="s">
        <v>74</v>
      </c>
      <c r="O37" s="15" t="s">
        <v>74</v>
      </c>
      <c r="P37" s="15" t="s">
        <v>74</v>
      </c>
      <c r="Q37" s="15">
        <v>2570.4799628052</v>
      </c>
      <c r="R37" s="15">
        <v>70.990914251709</v>
      </c>
      <c r="S37" s="15">
        <v>2.8450342163086</v>
      </c>
      <c r="T37" s="15" t="s">
        <v>74</v>
      </c>
      <c r="U37" s="15">
        <v>13.004591461182</v>
      </c>
      <c r="Y37" s="15">
        <v>155.66790116577</v>
      </c>
      <c r="Z37" s="15" t="s">
        <v>74</v>
      </c>
      <c r="AA37" s="15">
        <v>5.6218707702637</v>
      </c>
      <c r="AB37" s="15">
        <v>23.705270056152</v>
      </c>
      <c r="AC37" s="15" t="s">
        <v>74</v>
      </c>
      <c r="AH37" s="15" t="s">
        <v>74</v>
      </c>
      <c r="AI37" s="15">
        <v>0.4200689453125</v>
      </c>
      <c r="AJ37" s="15">
        <v>0.089316455078125</v>
      </c>
      <c r="AK37" s="15" t="s">
        <v>74</v>
      </c>
      <c r="AL37" s="15">
        <v>1017568.5075453</v>
      </c>
    </row>
    <row r="38" ht="15.75" hidden="1" customHeight="1">
      <c r="B38" s="94"/>
    </row>
    <row r="39" ht="15.75" hidden="1" customHeight="1">
      <c r="B39" s="94"/>
    </row>
    <row r="40" ht="15.75" hidden="1" customHeight="1">
      <c r="B40" s="94"/>
    </row>
    <row r="41" ht="15.75" hidden="1" customHeight="1">
      <c r="B41" s="94"/>
    </row>
    <row r="42" ht="15.75" hidden="1" customHeight="1">
      <c r="B42" s="94"/>
    </row>
    <row r="43" ht="15.75" customHeight="1">
      <c r="B43" s="94"/>
    </row>
    <row r="44" ht="15.75" customHeight="1">
      <c r="B44" s="94"/>
    </row>
    <row r="45" ht="15.75" customHeight="1">
      <c r="B45" s="94"/>
    </row>
    <row r="46" ht="15.75" customHeight="1">
      <c r="B46" s="94"/>
    </row>
    <row r="47" ht="15.75" customHeight="1">
      <c r="B47" s="94"/>
    </row>
    <row r="48" ht="15.75" customHeight="1">
      <c r="B48" s="94"/>
    </row>
    <row r="49" ht="15.75" customHeight="1">
      <c r="B49" s="94"/>
    </row>
    <row r="50" ht="15.75" customHeight="1">
      <c r="B50" s="94"/>
    </row>
    <row r="51" ht="15.75" customHeight="1">
      <c r="B51" s="94"/>
    </row>
    <row r="52" ht="15.75" customHeight="1">
      <c r="B52" s="94"/>
    </row>
    <row r="53" ht="15.75" customHeight="1">
      <c r="B53" s="94"/>
    </row>
    <row r="54" ht="15.75" customHeight="1">
      <c r="B54" s="94"/>
    </row>
    <row r="55" ht="15.75" customHeight="1">
      <c r="B55" s="94"/>
    </row>
    <row r="56" ht="15.75" customHeight="1">
      <c r="B56" s="94"/>
    </row>
    <row r="57" ht="15.75" customHeight="1">
      <c r="B57" s="94"/>
    </row>
    <row r="58" ht="15.75" customHeight="1">
      <c r="B58" s="94"/>
    </row>
    <row r="59" ht="15.75" customHeight="1">
      <c r="B59" s="94"/>
    </row>
    <row r="60" ht="15.75" customHeight="1">
      <c r="B60" s="94"/>
    </row>
    <row r="61" ht="15.75" customHeight="1">
      <c r="B61" s="94"/>
    </row>
    <row r="62" ht="15.75" customHeight="1">
      <c r="B62" s="94"/>
    </row>
    <row r="63" ht="15.75" customHeight="1">
      <c r="B63" s="94"/>
    </row>
    <row r="64" ht="15.75" customHeight="1">
      <c r="B64" s="94"/>
    </row>
    <row r="65" ht="15.75" customHeight="1">
      <c r="B65" s="94"/>
    </row>
    <row r="66" ht="15.75" customHeight="1">
      <c r="B66" s="94"/>
    </row>
    <row r="67" ht="15.75" customHeight="1">
      <c r="B67" s="94"/>
    </row>
    <row r="68" ht="15.75" customHeight="1">
      <c r="B68" s="94"/>
    </row>
    <row r="69" ht="15.75" customHeight="1">
      <c r="B69" s="94"/>
    </row>
    <row r="70" ht="15.75" customHeight="1">
      <c r="B70" s="94"/>
    </row>
    <row r="71" ht="15.75" customHeight="1">
      <c r="B71" s="94"/>
    </row>
    <row r="72" ht="15.75" customHeight="1">
      <c r="B72" s="94"/>
    </row>
    <row r="73" ht="15.75" customHeight="1">
      <c r="B73" s="94"/>
    </row>
    <row r="74" ht="15.75" customHeight="1">
      <c r="B74" s="94"/>
    </row>
    <row r="75" ht="15.75" customHeight="1">
      <c r="B75" s="94"/>
    </row>
    <row r="76" ht="15.75" customHeight="1">
      <c r="B76" s="94"/>
    </row>
    <row r="77" ht="15.75" customHeight="1">
      <c r="B77" s="94"/>
    </row>
    <row r="78" ht="15.75" customHeight="1">
      <c r="B78" s="94"/>
    </row>
    <row r="79" ht="15.75" customHeight="1">
      <c r="B79" s="94"/>
    </row>
    <row r="80" ht="15.75" customHeight="1">
      <c r="B80" s="94"/>
    </row>
    <row r="81" ht="15.75" customHeight="1">
      <c r="B81" s="94"/>
    </row>
    <row r="82" ht="15.75" customHeight="1">
      <c r="B82" s="94"/>
    </row>
    <row r="83" ht="15.75" customHeight="1">
      <c r="B83" s="94"/>
    </row>
    <row r="84" ht="15.75" customHeight="1">
      <c r="B84" s="94"/>
    </row>
    <row r="85" ht="15.75" customHeight="1">
      <c r="B85" s="94"/>
    </row>
    <row r="86" ht="15.75" customHeight="1">
      <c r="B86" s="94"/>
    </row>
    <row r="87" ht="15.75" customHeight="1">
      <c r="B87" s="94"/>
    </row>
    <row r="88" ht="15.75" customHeight="1">
      <c r="B88" s="94"/>
    </row>
    <row r="89" ht="15.75" customHeight="1">
      <c r="B89" s="94"/>
    </row>
    <row r="90" ht="15.75" customHeight="1">
      <c r="B90" s="94"/>
    </row>
    <row r="91" ht="15.75" customHeight="1">
      <c r="B91" s="94"/>
    </row>
    <row r="92" ht="15.75" customHeight="1">
      <c r="B92" s="94"/>
    </row>
    <row r="93" ht="15.75" customHeight="1">
      <c r="B93" s="94"/>
    </row>
    <row r="94" ht="15.75" customHeight="1">
      <c r="B94" s="94"/>
    </row>
    <row r="95" ht="15.75" customHeight="1">
      <c r="B95" s="94"/>
    </row>
    <row r="96" ht="15.75" customHeight="1">
      <c r="B96" s="94"/>
    </row>
    <row r="97" ht="15.75" customHeight="1">
      <c r="B97" s="94"/>
    </row>
    <row r="98" ht="15.75" customHeight="1">
      <c r="B98" s="94"/>
    </row>
    <row r="99" ht="15.75" customHeight="1">
      <c r="B99" s="94"/>
    </row>
    <row r="100" ht="15.75" customHeight="1">
      <c r="B100" s="94"/>
    </row>
    <row r="101" ht="15.75" customHeight="1">
      <c r="B101" s="94"/>
    </row>
    <row r="102" ht="15.75" customHeight="1">
      <c r="B102" s="94"/>
    </row>
    <row r="103" ht="15.75" customHeight="1">
      <c r="B103" s="94"/>
    </row>
    <row r="104" ht="15.75" customHeight="1">
      <c r="B104" s="94"/>
    </row>
    <row r="105" ht="15.75" customHeight="1">
      <c r="B105" s="94"/>
    </row>
    <row r="106" ht="15.75" customHeight="1">
      <c r="B106" s="94"/>
    </row>
    <row r="107" ht="15.75" customHeight="1">
      <c r="B107" s="94"/>
    </row>
    <row r="108" ht="15.75" customHeight="1">
      <c r="B108" s="94"/>
    </row>
    <row r="109" ht="15.75" customHeight="1">
      <c r="B109" s="94"/>
    </row>
    <row r="110" ht="15.75" customHeight="1">
      <c r="B110" s="94"/>
    </row>
    <row r="111" ht="15.75" customHeight="1">
      <c r="B111" s="94"/>
    </row>
    <row r="112" ht="15.75" customHeight="1">
      <c r="B112" s="94"/>
    </row>
    <row r="113" ht="15.75" customHeight="1">
      <c r="B113" s="94"/>
    </row>
    <row r="114" ht="15.75" customHeight="1">
      <c r="B114" s="94"/>
    </row>
    <row r="115" ht="15.75" customHeight="1">
      <c r="B115" s="94"/>
    </row>
    <row r="116" ht="15.75" customHeight="1">
      <c r="B116" s="94"/>
    </row>
    <row r="117" ht="15.75" customHeight="1">
      <c r="B117" s="94"/>
    </row>
    <row r="118" ht="15.75" customHeight="1">
      <c r="B118" s="94"/>
    </row>
    <row r="119" ht="15.75" customHeight="1">
      <c r="B119" s="94"/>
    </row>
    <row r="120" ht="15.75" customHeight="1">
      <c r="B120" s="94"/>
    </row>
    <row r="121" ht="15.75" customHeight="1">
      <c r="B121" s="94"/>
    </row>
    <row r="122" ht="15.75" customHeight="1">
      <c r="B122" s="94"/>
    </row>
    <row r="123" ht="15.75" customHeight="1">
      <c r="B123" s="94"/>
    </row>
    <row r="124" ht="15.75" customHeight="1">
      <c r="B124" s="94"/>
    </row>
    <row r="125" ht="15.75" customHeight="1">
      <c r="B125" s="94"/>
    </row>
    <row r="126" ht="15.75" customHeight="1">
      <c r="B126" s="94"/>
    </row>
    <row r="127" ht="15.75" customHeight="1">
      <c r="B127" s="94"/>
    </row>
    <row r="128" ht="15.75" customHeight="1">
      <c r="B128" s="94"/>
    </row>
    <row r="129" ht="15.75" customHeight="1">
      <c r="B129" s="94"/>
    </row>
    <row r="130" ht="15.75" customHeight="1">
      <c r="B130" s="94"/>
    </row>
    <row r="131" ht="15.75" customHeight="1">
      <c r="B131" s="94"/>
    </row>
    <row r="132" ht="15.75" customHeight="1">
      <c r="B132" s="94"/>
    </row>
    <row r="133" ht="15.75" customHeight="1">
      <c r="B133" s="94"/>
    </row>
    <row r="134" ht="15.75" customHeight="1">
      <c r="B134" s="94"/>
    </row>
    <row r="135" ht="15.75" customHeight="1">
      <c r="B135" s="94"/>
    </row>
    <row r="136" ht="15.75" customHeight="1">
      <c r="B136" s="94"/>
    </row>
    <row r="137" ht="15.75" customHeight="1">
      <c r="B137" s="94"/>
    </row>
    <row r="138" ht="15.75" customHeight="1">
      <c r="B138" s="94"/>
    </row>
    <row r="139" ht="15.75" customHeight="1">
      <c r="B139" s="94"/>
    </row>
    <row r="140" ht="15.75" customHeight="1">
      <c r="B140" s="94"/>
    </row>
    <row r="141" ht="15.75" customHeight="1">
      <c r="B141" s="94"/>
    </row>
    <row r="142" ht="15.75" customHeight="1">
      <c r="B142" s="94"/>
    </row>
    <row r="143" ht="15.75" customHeight="1">
      <c r="B143" s="94"/>
    </row>
    <row r="144" ht="15.75" customHeight="1">
      <c r="B144" s="94"/>
    </row>
    <row r="145" ht="15.75" customHeight="1">
      <c r="B145" s="94"/>
    </row>
    <row r="146" ht="15.75" customHeight="1">
      <c r="B146" s="94"/>
    </row>
    <row r="147" ht="15.75" customHeight="1">
      <c r="B147" s="94"/>
    </row>
    <row r="148" ht="15.75" customHeight="1">
      <c r="B148" s="94"/>
    </row>
    <row r="149" ht="15.75" customHeight="1">
      <c r="B149" s="94"/>
    </row>
    <row r="150" ht="15.75" customHeight="1">
      <c r="B150" s="94"/>
    </row>
    <row r="151" ht="15.75" customHeight="1">
      <c r="B151" s="94"/>
    </row>
    <row r="152" ht="15.75" customHeight="1">
      <c r="B152" s="94"/>
    </row>
    <row r="153" ht="15.75" customHeight="1">
      <c r="B153" s="94"/>
    </row>
    <row r="154" ht="15.75" customHeight="1">
      <c r="B154" s="94"/>
    </row>
    <row r="155" ht="15.75" customHeight="1">
      <c r="B155" s="94"/>
    </row>
    <row r="156" ht="15.75" customHeight="1">
      <c r="B156" s="94"/>
    </row>
    <row r="157" ht="15.75" customHeight="1">
      <c r="B157" s="94"/>
    </row>
    <row r="158" ht="15.75" customHeight="1">
      <c r="B158" s="94"/>
    </row>
    <row r="159" ht="15.75" customHeight="1">
      <c r="B159" s="94"/>
    </row>
    <row r="160" ht="15.75" customHeight="1">
      <c r="B160" s="94"/>
    </row>
    <row r="161" ht="15.75" customHeight="1">
      <c r="B161" s="94"/>
    </row>
    <row r="162" ht="15.75" customHeight="1">
      <c r="B162" s="94"/>
    </row>
    <row r="163" ht="15.75" customHeight="1">
      <c r="B163" s="94"/>
    </row>
    <row r="164" ht="15.75" customHeight="1">
      <c r="B164" s="94"/>
    </row>
    <row r="165" ht="15.75" customHeight="1">
      <c r="B165" s="94"/>
    </row>
    <row r="166" ht="15.75" customHeight="1">
      <c r="B166" s="94"/>
    </row>
    <row r="167" ht="15.75" customHeight="1">
      <c r="B167" s="94"/>
    </row>
    <row r="168" ht="15.75" customHeight="1">
      <c r="B168" s="94"/>
    </row>
    <row r="169" ht="15.75" customHeight="1">
      <c r="B169" s="94"/>
    </row>
    <row r="170" ht="15.75" customHeight="1">
      <c r="B170" s="94"/>
    </row>
    <row r="171" ht="15.75" customHeight="1">
      <c r="B171" s="94"/>
    </row>
    <row r="172" ht="15.75" customHeight="1">
      <c r="B172" s="94"/>
    </row>
    <row r="173" ht="15.75" customHeight="1">
      <c r="B173" s="94"/>
    </row>
    <row r="174" ht="15.75" customHeight="1">
      <c r="B174" s="94"/>
    </row>
    <row r="175" ht="15.75" customHeight="1">
      <c r="B175" s="94"/>
    </row>
    <row r="176" ht="15.75" customHeight="1">
      <c r="B176" s="94"/>
    </row>
    <row r="177" ht="15.75" customHeight="1">
      <c r="B177" s="94"/>
    </row>
    <row r="178" ht="15.75" customHeight="1">
      <c r="B178" s="94"/>
    </row>
    <row r="179" ht="15.75" customHeight="1">
      <c r="B179" s="94"/>
    </row>
    <row r="180" ht="15.75" customHeight="1">
      <c r="B180" s="94"/>
    </row>
    <row r="181" ht="15.75" customHeight="1">
      <c r="B181" s="94"/>
    </row>
    <row r="182" ht="15.75" customHeight="1">
      <c r="B182" s="94"/>
    </row>
    <row r="183" ht="15.75" customHeight="1">
      <c r="B183" s="94"/>
    </row>
    <row r="184" ht="15.75" customHeight="1">
      <c r="B184" s="94"/>
    </row>
    <row r="185" ht="15.75" customHeight="1">
      <c r="B185" s="94"/>
    </row>
    <row r="186" ht="15.75" customHeight="1">
      <c r="B186" s="94"/>
    </row>
    <row r="187" ht="15.75" customHeight="1">
      <c r="B187" s="94"/>
    </row>
    <row r="188" ht="15.75" customHeight="1">
      <c r="B188" s="94"/>
    </row>
    <row r="189" ht="15.75" customHeight="1">
      <c r="B189" s="94"/>
    </row>
    <row r="190" ht="15.75" customHeight="1">
      <c r="B190" s="94"/>
    </row>
    <row r="191" ht="15.75" customHeight="1">
      <c r="B191" s="94"/>
    </row>
    <row r="192" ht="15.75" customHeight="1">
      <c r="B192" s="94"/>
    </row>
    <row r="193" ht="15.75" customHeight="1">
      <c r="B193" s="94"/>
    </row>
    <row r="194" ht="15.75" customHeight="1">
      <c r="B194" s="94"/>
    </row>
    <row r="195" ht="15.75" customHeight="1">
      <c r="B195" s="94"/>
    </row>
    <row r="196" ht="15.75" customHeight="1">
      <c r="B196" s="94"/>
    </row>
    <row r="197" ht="15.75" customHeight="1">
      <c r="B197" s="94"/>
    </row>
    <row r="198" ht="15.75" customHeight="1">
      <c r="B198" s="94"/>
    </row>
    <row r="199" ht="15.75" customHeight="1">
      <c r="B199" s="94"/>
    </row>
    <row r="200" ht="15.75" customHeight="1">
      <c r="B200" s="94"/>
    </row>
    <row r="201" ht="15.75" customHeight="1">
      <c r="B201" s="94"/>
    </row>
    <row r="202" ht="15.75" customHeight="1">
      <c r="B202" s="94"/>
    </row>
    <row r="203" ht="15.75" customHeight="1">
      <c r="B203" s="94"/>
    </row>
    <row r="204" ht="15.75" customHeight="1">
      <c r="B204" s="94"/>
    </row>
    <row r="205" ht="15.75" customHeight="1">
      <c r="B205" s="94"/>
    </row>
    <row r="206" ht="15.75" customHeight="1">
      <c r="B206" s="94"/>
    </row>
    <row r="207" ht="15.75" customHeight="1">
      <c r="B207" s="94"/>
    </row>
    <row r="208" ht="15.75" customHeight="1">
      <c r="B208" s="94"/>
    </row>
    <row r="209" ht="15.75" customHeight="1">
      <c r="B209" s="94"/>
    </row>
    <row r="210" ht="15.75" customHeight="1">
      <c r="B210" s="94"/>
    </row>
    <row r="211" ht="15.75" customHeight="1">
      <c r="B211" s="94"/>
    </row>
    <row r="212" ht="15.75" customHeight="1">
      <c r="B212" s="94"/>
    </row>
    <row r="213" ht="15.75" customHeight="1">
      <c r="B213" s="94"/>
    </row>
    <row r="214" ht="15.75" customHeight="1">
      <c r="B214" s="94"/>
    </row>
    <row r="215" ht="15.75" customHeight="1">
      <c r="B215" s="94"/>
    </row>
    <row r="216" ht="15.75" customHeight="1">
      <c r="B216" s="94"/>
    </row>
    <row r="217" ht="15.75" customHeight="1">
      <c r="B217" s="94"/>
    </row>
    <row r="218" ht="15.75" customHeight="1">
      <c r="B218" s="94"/>
    </row>
    <row r="219" ht="15.75" customHeight="1">
      <c r="B219" s="94"/>
    </row>
    <row r="220" ht="15.75" customHeight="1">
      <c r="B220" s="94"/>
    </row>
    <row r="221" ht="15.75" customHeight="1">
      <c r="B221" s="94"/>
    </row>
    <row r="222" ht="15.75" customHeight="1">
      <c r="B222" s="94"/>
    </row>
    <row r="223" ht="15.75" customHeight="1">
      <c r="B223" s="94"/>
    </row>
    <row r="224" ht="15.75" customHeight="1">
      <c r="B224" s="94"/>
    </row>
    <row r="225" ht="15.75" customHeight="1">
      <c r="B225" s="94"/>
    </row>
    <row r="226" ht="15.75" customHeight="1">
      <c r="B226" s="94"/>
    </row>
    <row r="227" ht="15.75" customHeight="1">
      <c r="B227" s="94"/>
    </row>
    <row r="228" ht="15.75" customHeight="1">
      <c r="B228" s="94"/>
    </row>
    <row r="229" ht="15.75" customHeight="1">
      <c r="B229" s="94"/>
    </row>
    <row r="230" ht="15.75" customHeight="1">
      <c r="B230" s="94"/>
    </row>
    <row r="231" ht="15.75" customHeight="1">
      <c r="B231" s="94"/>
    </row>
    <row r="232" ht="15.75" customHeight="1">
      <c r="B232" s="94"/>
    </row>
    <row r="233" ht="15.75" customHeight="1">
      <c r="B233" s="94"/>
    </row>
    <row r="234" ht="15.75" customHeight="1">
      <c r="B234" s="94"/>
    </row>
    <row r="235" ht="15.75" customHeight="1">
      <c r="B235" s="94"/>
    </row>
    <row r="236" ht="15.75" customHeight="1">
      <c r="B236" s="94"/>
    </row>
    <row r="237" ht="15.75" customHeight="1">
      <c r="B237" s="94"/>
    </row>
    <row r="238" ht="15.75" customHeight="1">
      <c r="B238" s="94"/>
    </row>
    <row r="239" ht="15.75" customHeight="1">
      <c r="B239" s="94"/>
    </row>
    <row r="240" ht="15.75" customHeight="1">
      <c r="B240" s="94"/>
    </row>
    <row r="241" ht="15.75" customHeight="1">
      <c r="B241" s="94"/>
    </row>
    <row r="242" ht="15.75" customHeight="1">
      <c r="B242" s="94"/>
    </row>
    <row r="243" ht="15.75" customHeight="1">
      <c r="B243" s="94"/>
    </row>
    <row r="244" ht="15.75" customHeight="1">
      <c r="B244" s="94"/>
    </row>
    <row r="245" ht="15.75" customHeight="1">
      <c r="B245" s="94"/>
    </row>
    <row r="246" ht="15.75" customHeight="1">
      <c r="B246" s="94"/>
    </row>
    <row r="247" ht="15.75" customHeight="1">
      <c r="B247" s="94"/>
    </row>
    <row r="248" ht="15.75" customHeight="1">
      <c r="B248" s="94"/>
    </row>
    <row r="249" ht="15.75" customHeight="1">
      <c r="B249" s="94"/>
    </row>
    <row r="250" ht="15.75" customHeight="1">
      <c r="B250" s="94"/>
    </row>
    <row r="251" ht="15.75" customHeight="1">
      <c r="B251" s="94"/>
    </row>
    <row r="252" ht="15.75" customHeight="1">
      <c r="B252" s="94"/>
    </row>
    <row r="253" ht="15.75" customHeight="1">
      <c r="B253" s="94"/>
    </row>
    <row r="254" ht="15.75" customHeight="1">
      <c r="B254" s="94"/>
    </row>
    <row r="255" ht="15.75" customHeight="1">
      <c r="B255" s="94"/>
    </row>
    <row r="256" ht="15.75" customHeight="1">
      <c r="B256" s="94"/>
    </row>
    <row r="257" ht="15.75" customHeight="1">
      <c r="B257" s="94"/>
    </row>
    <row r="258" ht="15.75" customHeight="1">
      <c r="B258" s="94"/>
    </row>
    <row r="259" ht="15.75" customHeight="1">
      <c r="B259" s="94"/>
    </row>
    <row r="260" ht="15.75" customHeight="1">
      <c r="B260" s="94"/>
    </row>
    <row r="261" ht="15.75" customHeight="1">
      <c r="B261" s="94"/>
    </row>
    <row r="262" ht="15.75" customHeight="1">
      <c r="B262" s="94"/>
    </row>
    <row r="263" ht="15.75" customHeight="1">
      <c r="B263" s="94"/>
    </row>
    <row r="264" ht="15.75" customHeight="1">
      <c r="B264" s="94"/>
    </row>
    <row r="265" ht="15.75" customHeight="1">
      <c r="B265" s="94"/>
    </row>
    <row r="266" ht="15.75" customHeight="1">
      <c r="B266" s="94"/>
    </row>
    <row r="267" ht="15.75" customHeight="1">
      <c r="B267" s="94"/>
    </row>
    <row r="268" ht="15.75" customHeight="1">
      <c r="B268" s="94"/>
    </row>
    <row r="269" ht="15.75" customHeight="1">
      <c r="B269" s="94"/>
    </row>
    <row r="270" ht="15.75" customHeight="1">
      <c r="B270" s="94"/>
    </row>
    <row r="271" ht="15.75" customHeight="1">
      <c r="B271" s="94"/>
    </row>
    <row r="272" ht="15.75" customHeight="1">
      <c r="B272" s="94"/>
    </row>
    <row r="273" ht="15.75" customHeight="1">
      <c r="B273" s="94"/>
    </row>
    <row r="274" ht="15.75" customHeight="1">
      <c r="B274" s="94"/>
    </row>
    <row r="275" ht="15.75" customHeight="1">
      <c r="B275" s="94"/>
    </row>
    <row r="276" ht="15.75" customHeight="1">
      <c r="B276" s="94"/>
    </row>
    <row r="277" ht="15.75" customHeight="1">
      <c r="B277" s="94"/>
    </row>
    <row r="278" ht="15.75" customHeight="1">
      <c r="B278" s="94"/>
    </row>
    <row r="279" ht="15.75" customHeight="1">
      <c r="B279" s="94"/>
    </row>
    <row r="280" ht="15.75" customHeight="1">
      <c r="B280" s="94"/>
    </row>
    <row r="281" ht="15.75" customHeight="1">
      <c r="B281" s="94"/>
    </row>
    <row r="282" ht="15.75" customHeight="1">
      <c r="B282" s="94"/>
    </row>
    <row r="283" ht="15.75" customHeight="1">
      <c r="B283" s="94"/>
    </row>
    <row r="284" ht="15.75" customHeight="1">
      <c r="B284" s="94"/>
    </row>
    <row r="285" ht="15.75" customHeight="1">
      <c r="B285" s="94"/>
    </row>
    <row r="286" ht="15.75" customHeight="1">
      <c r="B286" s="94"/>
    </row>
    <row r="287" ht="15.75" customHeight="1">
      <c r="B287" s="94"/>
    </row>
    <row r="288" ht="15.75" customHeight="1">
      <c r="B288" s="94"/>
    </row>
    <row r="289" ht="15.75" customHeight="1">
      <c r="B289" s="94"/>
    </row>
    <row r="290" ht="15.75" customHeight="1">
      <c r="B290" s="94"/>
    </row>
    <row r="291" ht="15.75" customHeight="1">
      <c r="B291" s="94"/>
    </row>
    <row r="292" ht="15.75" customHeight="1">
      <c r="B292" s="94"/>
    </row>
    <row r="293" ht="15.75" customHeight="1">
      <c r="B293" s="94"/>
    </row>
    <row r="294" ht="15.75" customHeight="1">
      <c r="B294" s="94"/>
    </row>
    <row r="295" ht="15.75" customHeight="1">
      <c r="B295" s="94"/>
    </row>
    <row r="296" ht="15.75" customHeight="1">
      <c r="B296" s="94"/>
    </row>
    <row r="297" ht="15.75" customHeight="1">
      <c r="B297" s="94"/>
    </row>
    <row r="298" ht="15.75" customHeight="1">
      <c r="B298" s="94"/>
    </row>
    <row r="299" ht="15.75" customHeight="1">
      <c r="B299" s="94"/>
    </row>
    <row r="300" ht="15.75" customHeight="1">
      <c r="B300" s="94"/>
    </row>
    <row r="301" ht="15.75" customHeight="1">
      <c r="B301" s="94"/>
    </row>
    <row r="302" ht="15.75" customHeight="1">
      <c r="B302" s="94"/>
    </row>
    <row r="303" ht="15.75" customHeight="1">
      <c r="B303" s="94"/>
    </row>
    <row r="304" ht="15.75" customHeight="1">
      <c r="B304" s="94"/>
    </row>
    <row r="305" ht="15.75" customHeight="1">
      <c r="B305" s="94"/>
    </row>
    <row r="306" ht="15.75" customHeight="1">
      <c r="B306" s="94"/>
    </row>
    <row r="307" ht="15.75" customHeight="1">
      <c r="B307" s="94"/>
    </row>
    <row r="308" ht="15.75" customHeight="1">
      <c r="B308" s="94"/>
    </row>
    <row r="309" ht="15.75" customHeight="1">
      <c r="B309" s="94"/>
    </row>
    <row r="310" ht="15.75" customHeight="1">
      <c r="B310" s="94"/>
    </row>
    <row r="311" ht="15.75" customHeight="1">
      <c r="B311" s="94"/>
    </row>
    <row r="312" ht="15.75" customHeight="1">
      <c r="B312" s="94"/>
    </row>
    <row r="313" ht="15.75" customHeight="1">
      <c r="B313" s="94"/>
    </row>
    <row r="314" ht="15.75" customHeight="1">
      <c r="B314" s="94"/>
    </row>
    <row r="315" ht="15.75" customHeight="1">
      <c r="B315" s="94"/>
    </row>
    <row r="316" ht="15.75" customHeight="1">
      <c r="B316" s="94"/>
    </row>
    <row r="317" ht="15.75" customHeight="1">
      <c r="B317" s="94"/>
    </row>
    <row r="318" ht="15.75" customHeight="1">
      <c r="B318" s="94"/>
    </row>
    <row r="319" ht="15.75" customHeight="1">
      <c r="B319" s="94"/>
    </row>
    <row r="320" ht="15.75" customHeight="1">
      <c r="B320" s="94"/>
    </row>
    <row r="321" ht="15.75" customHeight="1">
      <c r="B321" s="94"/>
    </row>
    <row r="322" ht="15.75" customHeight="1">
      <c r="B322" s="94"/>
    </row>
    <row r="323" ht="15.75" customHeight="1">
      <c r="B323" s="94"/>
    </row>
    <row r="324" ht="15.75" customHeight="1">
      <c r="B324" s="94"/>
    </row>
    <row r="325" ht="15.75" customHeight="1">
      <c r="B325" s="94"/>
    </row>
    <row r="326" ht="15.75" customHeight="1">
      <c r="B326" s="94"/>
    </row>
    <row r="327" ht="15.75" customHeight="1">
      <c r="B327" s="94"/>
    </row>
    <row r="328" ht="15.75" customHeight="1">
      <c r="B328" s="94"/>
    </row>
    <row r="329" ht="15.75" customHeight="1">
      <c r="B329" s="94"/>
    </row>
    <row r="330" ht="15.75" customHeight="1">
      <c r="B330" s="94"/>
    </row>
    <row r="331" ht="15.75" customHeight="1">
      <c r="B331" s="94"/>
    </row>
    <row r="332" ht="15.75" customHeight="1">
      <c r="B332" s="94"/>
    </row>
    <row r="333" ht="15.75" customHeight="1">
      <c r="B333" s="94"/>
    </row>
    <row r="334" ht="15.75" customHeight="1">
      <c r="B334" s="94"/>
    </row>
    <row r="335" ht="15.75" customHeight="1">
      <c r="B335" s="94"/>
    </row>
    <row r="336" ht="15.75" customHeight="1">
      <c r="B336" s="94"/>
    </row>
    <row r="337" ht="15.75" customHeight="1">
      <c r="B337" s="94"/>
    </row>
    <row r="338" ht="15.75" customHeight="1">
      <c r="B338" s="94"/>
    </row>
    <row r="339" ht="15.75" customHeight="1">
      <c r="B339" s="94"/>
    </row>
    <row r="340" ht="15.75" customHeight="1">
      <c r="B340" s="94"/>
    </row>
    <row r="341" ht="15.75" customHeight="1">
      <c r="B341" s="94"/>
    </row>
    <row r="342" ht="15.75" customHeight="1">
      <c r="B342" s="94"/>
    </row>
    <row r="343" ht="15.75" customHeight="1">
      <c r="B343" s="94"/>
    </row>
    <row r="344" ht="15.75" customHeight="1">
      <c r="B344" s="94"/>
    </row>
    <row r="345" ht="15.75" customHeight="1">
      <c r="B345" s="94"/>
    </row>
    <row r="346" ht="15.75" customHeight="1">
      <c r="B346" s="94"/>
    </row>
    <row r="347" ht="15.75" customHeight="1">
      <c r="B347" s="94"/>
    </row>
    <row r="348" ht="15.75" customHeight="1">
      <c r="B348" s="94"/>
    </row>
    <row r="349" ht="15.75" customHeight="1">
      <c r="B349" s="94"/>
    </row>
    <row r="350" ht="15.75" customHeight="1">
      <c r="B350" s="94"/>
    </row>
    <row r="351" ht="15.75" customHeight="1">
      <c r="B351" s="94"/>
    </row>
    <row r="352" ht="15.75" customHeight="1">
      <c r="B352" s="94"/>
    </row>
    <row r="353" ht="15.75" customHeight="1">
      <c r="B353" s="94"/>
    </row>
    <row r="354" ht="15.75" customHeight="1">
      <c r="B354" s="94"/>
    </row>
    <row r="355" ht="15.75" customHeight="1">
      <c r="B355" s="94"/>
    </row>
    <row r="356" ht="15.75" customHeight="1">
      <c r="B356" s="94"/>
    </row>
    <row r="357" ht="15.75" customHeight="1">
      <c r="B357" s="94"/>
    </row>
    <row r="358" ht="15.75" customHeight="1">
      <c r="B358" s="94"/>
    </row>
    <row r="359" ht="15.75" customHeight="1">
      <c r="B359" s="94"/>
    </row>
    <row r="360" ht="15.75" customHeight="1">
      <c r="B360" s="94"/>
    </row>
    <row r="361" ht="15.75" customHeight="1">
      <c r="B361" s="94"/>
    </row>
    <row r="362" ht="15.75" customHeight="1">
      <c r="B362" s="94"/>
    </row>
    <row r="363" ht="15.75" customHeight="1">
      <c r="B363" s="94"/>
    </row>
    <row r="364" ht="15.75" customHeight="1">
      <c r="B364" s="94"/>
    </row>
    <row r="365" ht="15.75" customHeight="1">
      <c r="B365" s="94"/>
    </row>
    <row r="366" ht="15.75" customHeight="1">
      <c r="B366" s="94"/>
    </row>
    <row r="367" ht="15.75" customHeight="1">
      <c r="B367" s="94"/>
    </row>
    <row r="368" ht="15.75" customHeight="1">
      <c r="B368" s="94"/>
    </row>
    <row r="369" ht="15.75" customHeight="1">
      <c r="B369" s="94"/>
    </row>
    <row r="370" ht="15.75" customHeight="1">
      <c r="B370" s="94"/>
    </row>
    <row r="371" ht="15.75" customHeight="1">
      <c r="B371" s="94"/>
    </row>
    <row r="372" ht="15.75" customHeight="1">
      <c r="B372" s="94"/>
    </row>
    <row r="373" ht="15.75" customHeight="1">
      <c r="B373" s="94"/>
    </row>
    <row r="374" ht="15.75" customHeight="1">
      <c r="B374" s="94"/>
    </row>
    <row r="375" ht="15.75" customHeight="1">
      <c r="B375" s="94"/>
    </row>
    <row r="376" ht="15.75" customHeight="1">
      <c r="B376" s="94"/>
    </row>
    <row r="377" ht="15.75" customHeight="1">
      <c r="B377" s="94"/>
    </row>
    <row r="378" ht="15.75" customHeight="1">
      <c r="B378" s="94"/>
    </row>
    <row r="379" ht="15.75" customHeight="1">
      <c r="B379" s="94"/>
    </row>
    <row r="380" ht="15.75" customHeight="1">
      <c r="B380" s="94"/>
    </row>
    <row r="381" ht="15.75" customHeight="1">
      <c r="B381" s="94"/>
    </row>
    <row r="382" ht="15.75" customHeight="1">
      <c r="B382" s="94"/>
    </row>
    <row r="383" ht="15.75" customHeight="1">
      <c r="B383" s="94"/>
    </row>
    <row r="384" ht="15.75" customHeight="1">
      <c r="B384" s="94"/>
    </row>
    <row r="385" ht="15.75" customHeight="1">
      <c r="B385" s="94"/>
    </row>
    <row r="386" ht="15.75" customHeight="1">
      <c r="B386" s="94"/>
    </row>
    <row r="387" ht="15.75" customHeight="1">
      <c r="B387" s="94"/>
    </row>
    <row r="388" ht="15.75" customHeight="1">
      <c r="B388" s="94"/>
    </row>
    <row r="389" ht="15.75" customHeight="1">
      <c r="B389" s="94"/>
    </row>
    <row r="390" ht="15.75" customHeight="1">
      <c r="B390" s="94"/>
    </row>
    <row r="391" ht="15.75" customHeight="1">
      <c r="B391" s="94"/>
    </row>
    <row r="392" ht="15.75" customHeight="1">
      <c r="B392" s="94"/>
    </row>
    <row r="393" ht="15.75" customHeight="1">
      <c r="B393" s="94"/>
    </row>
    <row r="394" ht="15.75" customHeight="1">
      <c r="B394" s="94"/>
    </row>
    <row r="395" ht="15.75" customHeight="1">
      <c r="B395" s="94"/>
    </row>
    <row r="396" ht="15.75" customHeight="1">
      <c r="B396" s="94"/>
    </row>
    <row r="397" ht="15.75" customHeight="1">
      <c r="B397" s="94"/>
    </row>
    <row r="398" ht="15.75" customHeight="1">
      <c r="B398" s="94"/>
    </row>
    <row r="399" ht="15.75" customHeight="1">
      <c r="B399" s="94"/>
    </row>
    <row r="400" ht="15.75" customHeight="1">
      <c r="B400" s="94"/>
    </row>
    <row r="401" ht="15.75" customHeight="1">
      <c r="B401" s="94"/>
    </row>
    <row r="402" ht="15.75" customHeight="1">
      <c r="B402" s="94"/>
    </row>
    <row r="403" ht="15.75" customHeight="1">
      <c r="B403" s="94"/>
    </row>
    <row r="404" ht="15.75" customHeight="1">
      <c r="B404" s="94"/>
    </row>
    <row r="405" ht="15.75" customHeight="1">
      <c r="B405" s="94"/>
    </row>
    <row r="406" ht="15.75" customHeight="1">
      <c r="B406" s="94"/>
    </row>
    <row r="407" ht="15.75" customHeight="1">
      <c r="B407" s="94"/>
    </row>
    <row r="408" ht="15.75" customHeight="1">
      <c r="B408" s="94"/>
    </row>
    <row r="409" ht="15.75" customHeight="1">
      <c r="B409" s="94"/>
    </row>
    <row r="410" ht="15.75" customHeight="1">
      <c r="B410" s="94"/>
    </row>
    <row r="411" ht="15.75" customHeight="1">
      <c r="B411" s="94"/>
    </row>
    <row r="412" ht="15.75" customHeight="1">
      <c r="B412" s="94"/>
    </row>
    <row r="413" ht="15.75" customHeight="1">
      <c r="B413" s="94"/>
    </row>
    <row r="414" ht="15.75" customHeight="1">
      <c r="B414" s="94"/>
    </row>
    <row r="415" ht="15.75" customHeight="1">
      <c r="B415" s="94"/>
    </row>
    <row r="416" ht="15.75" customHeight="1">
      <c r="B416" s="94"/>
    </row>
    <row r="417" ht="15.75" customHeight="1">
      <c r="B417" s="94"/>
    </row>
    <row r="418" ht="15.75" customHeight="1">
      <c r="B418" s="94"/>
    </row>
    <row r="419" ht="15.75" customHeight="1">
      <c r="B419" s="94"/>
    </row>
    <row r="420" ht="15.75" customHeight="1">
      <c r="B420" s="94"/>
    </row>
    <row r="421" ht="15.75" customHeight="1">
      <c r="B421" s="94"/>
    </row>
    <row r="422" ht="15.75" customHeight="1">
      <c r="B422" s="94"/>
    </row>
    <row r="423" ht="15.75" customHeight="1">
      <c r="B423" s="94"/>
    </row>
    <row r="424" ht="15.75" customHeight="1">
      <c r="B424" s="94"/>
    </row>
    <row r="425" ht="15.75" customHeight="1">
      <c r="B425" s="94"/>
    </row>
    <row r="426" ht="15.75" customHeight="1">
      <c r="B426" s="94"/>
    </row>
    <row r="427" ht="15.75" customHeight="1">
      <c r="B427" s="94"/>
    </row>
    <row r="428" ht="15.75" customHeight="1">
      <c r="B428" s="94"/>
    </row>
    <row r="429" ht="15.75" customHeight="1">
      <c r="B429" s="94"/>
    </row>
    <row r="430" ht="15.75" customHeight="1">
      <c r="B430" s="94"/>
    </row>
    <row r="431" ht="15.75" customHeight="1">
      <c r="B431" s="94"/>
    </row>
    <row r="432" ht="15.75" customHeight="1">
      <c r="B432" s="94"/>
    </row>
    <row r="433" ht="15.75" customHeight="1">
      <c r="B433" s="94"/>
    </row>
    <row r="434" ht="15.75" customHeight="1">
      <c r="B434" s="94"/>
    </row>
    <row r="435" ht="15.75" customHeight="1">
      <c r="B435" s="94"/>
    </row>
    <row r="436" ht="15.75" customHeight="1">
      <c r="B436" s="94"/>
    </row>
    <row r="437" ht="15.75" customHeight="1">
      <c r="B437" s="94"/>
    </row>
    <row r="438" ht="15.75" customHeight="1">
      <c r="B438" s="94"/>
    </row>
    <row r="439" ht="15.75" customHeight="1">
      <c r="B439" s="94"/>
    </row>
    <row r="440" ht="15.75" customHeight="1">
      <c r="B440" s="94"/>
    </row>
    <row r="441" ht="15.75" customHeight="1">
      <c r="B441" s="94"/>
    </row>
    <row r="442" ht="15.75" customHeight="1">
      <c r="B442" s="94"/>
    </row>
    <row r="443" ht="15.75" customHeight="1">
      <c r="B443" s="94"/>
    </row>
    <row r="444" ht="15.75" customHeight="1">
      <c r="B444" s="94"/>
    </row>
    <row r="445" ht="15.75" customHeight="1">
      <c r="B445" s="94"/>
    </row>
    <row r="446" ht="15.75" customHeight="1">
      <c r="B446" s="94"/>
    </row>
    <row r="447" ht="15.75" customHeight="1">
      <c r="B447" s="94"/>
    </row>
    <row r="448" ht="15.75" customHeight="1">
      <c r="B448" s="94"/>
    </row>
    <row r="449" ht="15.75" customHeight="1">
      <c r="B449" s="94"/>
    </row>
    <row r="450" ht="15.75" customHeight="1">
      <c r="B450" s="94"/>
    </row>
    <row r="451" ht="15.75" customHeight="1">
      <c r="B451" s="94"/>
    </row>
    <row r="452" ht="15.75" customHeight="1">
      <c r="B452" s="94"/>
    </row>
    <row r="453" ht="15.75" customHeight="1">
      <c r="B453" s="94"/>
    </row>
    <row r="454" ht="15.75" customHeight="1">
      <c r="B454" s="94"/>
    </row>
    <row r="455" ht="15.75" customHeight="1">
      <c r="B455" s="94"/>
    </row>
    <row r="456" ht="15.75" customHeight="1">
      <c r="B456" s="94"/>
    </row>
    <row r="457" ht="15.75" customHeight="1">
      <c r="B457" s="94"/>
    </row>
    <row r="458" ht="15.75" customHeight="1">
      <c r="B458" s="94"/>
    </row>
    <row r="459" ht="15.75" customHeight="1">
      <c r="B459" s="94"/>
    </row>
    <row r="460" ht="15.75" customHeight="1">
      <c r="B460" s="94"/>
    </row>
    <row r="461" ht="15.75" customHeight="1">
      <c r="B461" s="94"/>
    </row>
    <row r="462" ht="15.75" customHeight="1">
      <c r="B462" s="94"/>
    </row>
    <row r="463" ht="15.75" customHeight="1">
      <c r="B463" s="94"/>
    </row>
    <row r="464" ht="15.75" customHeight="1">
      <c r="B464" s="94"/>
    </row>
    <row r="465" ht="15.75" customHeight="1">
      <c r="B465" s="94"/>
    </row>
    <row r="466" ht="15.75" customHeight="1">
      <c r="B466" s="94"/>
    </row>
    <row r="467" ht="15.75" customHeight="1">
      <c r="B467" s="94"/>
    </row>
    <row r="468" ht="15.75" customHeight="1">
      <c r="B468" s="94"/>
    </row>
    <row r="469" ht="15.75" customHeight="1">
      <c r="B469" s="94"/>
    </row>
    <row r="470" ht="15.75" customHeight="1">
      <c r="B470" s="94"/>
    </row>
    <row r="471" ht="15.75" customHeight="1">
      <c r="B471" s="94"/>
    </row>
    <row r="472" ht="15.75" customHeight="1">
      <c r="B472" s="94"/>
    </row>
    <row r="473" ht="15.75" customHeight="1">
      <c r="B473" s="94"/>
    </row>
    <row r="474" ht="15.75" customHeight="1">
      <c r="B474" s="94"/>
    </row>
    <row r="475" ht="15.75" customHeight="1">
      <c r="B475" s="94"/>
    </row>
    <row r="476" ht="15.75" customHeight="1">
      <c r="B476" s="94"/>
    </row>
    <row r="477" ht="15.75" customHeight="1">
      <c r="B477" s="94"/>
    </row>
    <row r="478" ht="15.75" customHeight="1">
      <c r="B478" s="94"/>
    </row>
    <row r="479" ht="15.75" customHeight="1">
      <c r="B479" s="94"/>
    </row>
    <row r="480" ht="15.75" customHeight="1">
      <c r="B480" s="94"/>
    </row>
    <row r="481" ht="15.75" customHeight="1">
      <c r="B481" s="94"/>
    </row>
    <row r="482" ht="15.75" customHeight="1">
      <c r="B482" s="94"/>
    </row>
    <row r="483" ht="15.75" customHeight="1">
      <c r="B483" s="94"/>
    </row>
    <row r="484" ht="15.75" customHeight="1">
      <c r="B484" s="94"/>
    </row>
    <row r="485" ht="15.75" customHeight="1">
      <c r="B485" s="94"/>
    </row>
    <row r="486" ht="15.75" customHeight="1">
      <c r="B486" s="94"/>
    </row>
    <row r="487" ht="15.75" customHeight="1">
      <c r="B487" s="94"/>
    </row>
    <row r="488" ht="15.75" customHeight="1">
      <c r="B488" s="94"/>
    </row>
    <row r="489" ht="15.75" customHeight="1">
      <c r="B489" s="94"/>
    </row>
    <row r="490" ht="15.75" customHeight="1">
      <c r="B490" s="94"/>
    </row>
    <row r="491" ht="15.75" customHeight="1">
      <c r="B491" s="94"/>
    </row>
    <row r="492" ht="15.75" customHeight="1">
      <c r="B492" s="94"/>
    </row>
    <row r="493" ht="15.75" customHeight="1">
      <c r="B493" s="94"/>
    </row>
    <row r="494" ht="15.75" customHeight="1">
      <c r="B494" s="94"/>
    </row>
    <row r="495" ht="15.75" customHeight="1">
      <c r="B495" s="94"/>
    </row>
    <row r="496" ht="15.75" customHeight="1">
      <c r="B496" s="94"/>
    </row>
    <row r="497" ht="15.75" customHeight="1">
      <c r="B497" s="94"/>
    </row>
    <row r="498" ht="15.75" customHeight="1">
      <c r="B498" s="94"/>
    </row>
    <row r="499" ht="15.75" customHeight="1">
      <c r="B499" s="94"/>
    </row>
    <row r="500" ht="15.75" customHeight="1">
      <c r="B500" s="94"/>
    </row>
    <row r="501" ht="15.75" customHeight="1">
      <c r="B501" s="94"/>
    </row>
    <row r="502" ht="15.75" customHeight="1">
      <c r="B502" s="94"/>
    </row>
    <row r="503" ht="15.75" customHeight="1">
      <c r="B503" s="94"/>
    </row>
    <row r="504" ht="15.75" customHeight="1">
      <c r="B504" s="94"/>
    </row>
    <row r="505" ht="15.75" customHeight="1">
      <c r="B505" s="94"/>
    </row>
    <row r="506" ht="15.75" customHeight="1">
      <c r="B506" s="94"/>
    </row>
    <row r="507" ht="15.75" customHeight="1">
      <c r="B507" s="94"/>
    </row>
    <row r="508" ht="15.75" customHeight="1">
      <c r="B508" s="94"/>
    </row>
    <row r="509" ht="15.75" customHeight="1">
      <c r="B509" s="94"/>
    </row>
    <row r="510" ht="15.75" customHeight="1">
      <c r="B510" s="94"/>
    </row>
    <row r="511" ht="15.75" customHeight="1">
      <c r="B511" s="94"/>
    </row>
    <row r="512" ht="15.75" customHeight="1">
      <c r="B512" s="94"/>
    </row>
    <row r="513" ht="15.75" customHeight="1">
      <c r="B513" s="94"/>
    </row>
    <row r="514" ht="15.75" customHeight="1">
      <c r="B514" s="94"/>
    </row>
    <row r="515" ht="15.75" customHeight="1">
      <c r="B515" s="94"/>
    </row>
    <row r="516" ht="15.75" customHeight="1">
      <c r="B516" s="94"/>
    </row>
    <row r="517" ht="15.75" customHeight="1">
      <c r="B517" s="94"/>
    </row>
    <row r="518" ht="15.75" customHeight="1">
      <c r="B518" s="94"/>
    </row>
    <row r="519" ht="15.75" customHeight="1">
      <c r="B519" s="94"/>
    </row>
    <row r="520" ht="15.75" customHeight="1">
      <c r="B520" s="94"/>
    </row>
    <row r="521" ht="15.75" customHeight="1">
      <c r="B521" s="94"/>
    </row>
    <row r="522" ht="15.75" customHeight="1">
      <c r="B522" s="94"/>
    </row>
    <row r="523" ht="15.75" customHeight="1">
      <c r="B523" s="94"/>
    </row>
    <row r="524" ht="15.75" customHeight="1">
      <c r="B524" s="94"/>
    </row>
    <row r="525" ht="15.75" customHeight="1">
      <c r="B525" s="94"/>
    </row>
    <row r="526" ht="15.75" customHeight="1">
      <c r="B526" s="94"/>
    </row>
    <row r="527" ht="15.75" customHeight="1">
      <c r="B527" s="94"/>
    </row>
    <row r="528" ht="15.75" customHeight="1">
      <c r="B528" s="94"/>
    </row>
    <row r="529" ht="15.75" customHeight="1">
      <c r="B529" s="94"/>
    </row>
    <row r="530" ht="15.75" customHeight="1">
      <c r="B530" s="94"/>
    </row>
    <row r="531" ht="15.75" customHeight="1">
      <c r="B531" s="94"/>
    </row>
    <row r="532" ht="15.75" customHeight="1">
      <c r="B532" s="94"/>
    </row>
    <row r="533" ht="15.75" customHeight="1">
      <c r="B533" s="94"/>
    </row>
    <row r="534" ht="15.75" customHeight="1">
      <c r="B534" s="94"/>
    </row>
    <row r="535" ht="15.75" customHeight="1">
      <c r="B535" s="94"/>
    </row>
    <row r="536" ht="15.75" customHeight="1">
      <c r="B536" s="94"/>
    </row>
    <row r="537" ht="15.75" customHeight="1">
      <c r="B537" s="94"/>
    </row>
    <row r="538" ht="15.75" customHeight="1">
      <c r="B538" s="94"/>
    </row>
    <row r="539" ht="15.75" customHeight="1">
      <c r="B539" s="94"/>
    </row>
    <row r="540" ht="15.75" customHeight="1">
      <c r="B540" s="94"/>
    </row>
    <row r="541" ht="15.75" customHeight="1">
      <c r="B541" s="94"/>
    </row>
    <row r="542" ht="15.75" customHeight="1">
      <c r="B542" s="94"/>
    </row>
    <row r="543" ht="15.75" customHeight="1">
      <c r="B543" s="94"/>
    </row>
    <row r="544" ht="15.75" customHeight="1">
      <c r="B544" s="94"/>
    </row>
    <row r="545" ht="15.75" customHeight="1">
      <c r="B545" s="94"/>
    </row>
    <row r="546" ht="15.75" customHeight="1">
      <c r="B546" s="94"/>
    </row>
    <row r="547" ht="15.75" customHeight="1">
      <c r="B547" s="94"/>
    </row>
    <row r="548" ht="15.75" customHeight="1">
      <c r="B548" s="94"/>
    </row>
    <row r="549" ht="15.75" customHeight="1">
      <c r="B549" s="94"/>
    </row>
    <row r="550" ht="15.75" customHeight="1">
      <c r="B550" s="94"/>
    </row>
    <row r="551" ht="15.75" customHeight="1">
      <c r="B551" s="94"/>
    </row>
    <row r="552" ht="15.75" customHeight="1">
      <c r="B552" s="94"/>
    </row>
    <row r="553" ht="15.75" customHeight="1">
      <c r="B553" s="94"/>
    </row>
    <row r="554" ht="15.75" customHeight="1">
      <c r="B554" s="94"/>
    </row>
    <row r="555" ht="15.75" customHeight="1">
      <c r="B555" s="94"/>
    </row>
    <row r="556" ht="15.75" customHeight="1">
      <c r="B556" s="94"/>
    </row>
    <row r="557" ht="15.75" customHeight="1">
      <c r="B557" s="94"/>
    </row>
    <row r="558" ht="15.75" customHeight="1">
      <c r="B558" s="94"/>
    </row>
    <row r="559" ht="15.75" customHeight="1">
      <c r="B559" s="94"/>
    </row>
    <row r="560" ht="15.75" customHeight="1">
      <c r="B560" s="94"/>
    </row>
    <row r="561" ht="15.75" customHeight="1">
      <c r="B561" s="94"/>
    </row>
    <row r="562" ht="15.75" customHeight="1">
      <c r="B562" s="94"/>
    </row>
    <row r="563" ht="15.75" customHeight="1">
      <c r="B563" s="94"/>
    </row>
    <row r="564" ht="15.75" customHeight="1">
      <c r="B564" s="94"/>
    </row>
    <row r="565" ht="15.75" customHeight="1">
      <c r="B565" s="94"/>
    </row>
    <row r="566" ht="15.75" customHeight="1">
      <c r="B566" s="94"/>
    </row>
    <row r="567" ht="15.75" customHeight="1">
      <c r="B567" s="94"/>
    </row>
    <row r="568" ht="15.75" customHeight="1">
      <c r="B568" s="94"/>
    </row>
    <row r="569" ht="15.75" customHeight="1">
      <c r="B569" s="94"/>
    </row>
    <row r="570" ht="15.75" customHeight="1">
      <c r="B570" s="94"/>
    </row>
    <row r="571" ht="15.75" customHeight="1">
      <c r="B571" s="94"/>
    </row>
    <row r="572" ht="15.75" customHeight="1">
      <c r="B572" s="94"/>
    </row>
    <row r="573" ht="15.75" customHeight="1">
      <c r="B573" s="94"/>
    </row>
    <row r="574" ht="15.75" customHeight="1">
      <c r="B574" s="94"/>
    </row>
    <row r="575" ht="15.75" customHeight="1">
      <c r="B575" s="94"/>
    </row>
    <row r="576" ht="15.75" customHeight="1">
      <c r="B576" s="94"/>
    </row>
    <row r="577" ht="15.75" customHeight="1">
      <c r="B577" s="94"/>
    </row>
    <row r="578" ht="15.75" customHeight="1">
      <c r="B578" s="94"/>
    </row>
    <row r="579" ht="15.75" customHeight="1">
      <c r="B579" s="94"/>
    </row>
    <row r="580" ht="15.75" customHeight="1">
      <c r="B580" s="94"/>
    </row>
    <row r="581" ht="15.75" customHeight="1">
      <c r="B581" s="94"/>
    </row>
    <row r="582" ht="15.75" customHeight="1">
      <c r="B582" s="94"/>
    </row>
    <row r="583" ht="15.75" customHeight="1">
      <c r="B583" s="94"/>
    </row>
    <row r="584" ht="15.75" customHeight="1">
      <c r="B584" s="94"/>
    </row>
    <row r="585" ht="15.75" customHeight="1">
      <c r="B585" s="94"/>
    </row>
    <row r="586" ht="15.75" customHeight="1">
      <c r="B586" s="94"/>
    </row>
    <row r="587" ht="15.75" customHeight="1">
      <c r="B587" s="94"/>
    </row>
    <row r="588" ht="15.75" customHeight="1">
      <c r="B588" s="94"/>
    </row>
    <row r="589" ht="15.75" customHeight="1">
      <c r="B589" s="94"/>
    </row>
    <row r="590" ht="15.75" customHeight="1">
      <c r="B590" s="94"/>
    </row>
    <row r="591" ht="15.75" customHeight="1">
      <c r="B591" s="94"/>
    </row>
    <row r="592" ht="15.75" customHeight="1">
      <c r="B592" s="94"/>
    </row>
    <row r="593" ht="15.75" customHeight="1">
      <c r="B593" s="94"/>
    </row>
    <row r="594" ht="15.75" customHeight="1">
      <c r="B594" s="94"/>
    </row>
    <row r="595" ht="15.75" customHeight="1">
      <c r="B595" s="94"/>
    </row>
    <row r="596" ht="15.75" customHeight="1">
      <c r="B596" s="94"/>
    </row>
    <row r="597" ht="15.75" customHeight="1">
      <c r="B597" s="94"/>
    </row>
    <row r="598" ht="15.75" customHeight="1">
      <c r="B598" s="94"/>
    </row>
    <row r="599" ht="15.75" customHeight="1">
      <c r="B599" s="94"/>
    </row>
    <row r="600" ht="15.75" customHeight="1">
      <c r="B600" s="94"/>
    </row>
    <row r="601" ht="15.75" customHeight="1">
      <c r="B601" s="94"/>
    </row>
    <row r="602" ht="15.75" customHeight="1">
      <c r="B602" s="94"/>
    </row>
    <row r="603" ht="15.75" customHeight="1">
      <c r="B603" s="94"/>
    </row>
    <row r="604" ht="15.75" customHeight="1">
      <c r="B604" s="94"/>
    </row>
    <row r="605" ht="15.75" customHeight="1">
      <c r="B605" s="94"/>
    </row>
    <row r="606" ht="15.75" customHeight="1">
      <c r="B606" s="94"/>
    </row>
    <row r="607" ht="15.75" customHeight="1">
      <c r="B607" s="94"/>
    </row>
    <row r="608" ht="15.75" customHeight="1">
      <c r="B608" s="94"/>
    </row>
    <row r="609" ht="15.75" customHeight="1">
      <c r="B609" s="94"/>
    </row>
    <row r="610" ht="15.75" customHeight="1">
      <c r="B610" s="94"/>
    </row>
    <row r="611" ht="15.75" customHeight="1">
      <c r="B611" s="94"/>
    </row>
    <row r="612" ht="15.75" customHeight="1">
      <c r="B612" s="94"/>
    </row>
    <row r="613" ht="15.75" customHeight="1">
      <c r="B613" s="94"/>
    </row>
    <row r="614" ht="15.75" customHeight="1">
      <c r="B614" s="94"/>
    </row>
    <row r="615" ht="15.75" customHeight="1">
      <c r="B615" s="94"/>
    </row>
    <row r="616" ht="15.75" customHeight="1">
      <c r="B616" s="94"/>
    </row>
    <row r="617" ht="15.75" customHeight="1">
      <c r="B617" s="94"/>
    </row>
    <row r="618" ht="15.75" customHeight="1">
      <c r="B618" s="94"/>
    </row>
    <row r="619" ht="15.75" customHeight="1">
      <c r="B619" s="94"/>
    </row>
    <row r="620" ht="15.75" customHeight="1">
      <c r="B620" s="94"/>
    </row>
    <row r="621" ht="15.75" customHeight="1">
      <c r="B621" s="94"/>
    </row>
    <row r="622" ht="15.75" customHeight="1">
      <c r="B622" s="94"/>
    </row>
    <row r="623" ht="15.75" customHeight="1">
      <c r="B623" s="94"/>
    </row>
    <row r="624" ht="15.75" customHeight="1">
      <c r="B624" s="94"/>
    </row>
    <row r="625" ht="15.75" customHeight="1">
      <c r="B625" s="94"/>
    </row>
    <row r="626" ht="15.75" customHeight="1">
      <c r="B626" s="94"/>
    </row>
    <row r="627" ht="15.75" customHeight="1">
      <c r="B627" s="94"/>
    </row>
    <row r="628" ht="15.75" customHeight="1">
      <c r="B628" s="94"/>
    </row>
    <row r="629" ht="15.75" customHeight="1">
      <c r="B629" s="94"/>
    </row>
    <row r="630" ht="15.75" customHeight="1">
      <c r="B630" s="94"/>
    </row>
    <row r="631" ht="15.75" customHeight="1">
      <c r="B631" s="94"/>
    </row>
    <row r="632" ht="15.75" customHeight="1">
      <c r="B632" s="94"/>
    </row>
    <row r="633" ht="15.75" customHeight="1">
      <c r="B633" s="94"/>
    </row>
    <row r="634" ht="15.75" customHeight="1">
      <c r="B634" s="94"/>
    </row>
    <row r="635" ht="15.75" customHeight="1">
      <c r="B635" s="94"/>
    </row>
    <row r="636" ht="15.75" customHeight="1">
      <c r="B636" s="94"/>
    </row>
    <row r="637" ht="15.75" customHeight="1">
      <c r="B637" s="94"/>
    </row>
    <row r="638" ht="15.75" customHeight="1">
      <c r="B638" s="94"/>
    </row>
    <row r="639" ht="15.75" customHeight="1">
      <c r="B639" s="94"/>
    </row>
    <row r="640" ht="15.75" customHeight="1">
      <c r="B640" s="94"/>
    </row>
    <row r="641" ht="15.75" customHeight="1">
      <c r="B641" s="94"/>
    </row>
    <row r="642" ht="15.75" customHeight="1">
      <c r="B642" s="94"/>
    </row>
    <row r="643" ht="15.75" customHeight="1">
      <c r="B643" s="94"/>
    </row>
    <row r="644" ht="15.75" customHeight="1">
      <c r="B644" s="94"/>
    </row>
    <row r="645" ht="15.75" customHeight="1">
      <c r="B645" s="94"/>
    </row>
    <row r="646" ht="15.75" customHeight="1">
      <c r="B646" s="94"/>
    </row>
    <row r="647" ht="15.75" customHeight="1">
      <c r="B647" s="94"/>
    </row>
    <row r="648" ht="15.75" customHeight="1">
      <c r="B648" s="94"/>
    </row>
    <row r="649" ht="15.75" customHeight="1">
      <c r="B649" s="94"/>
    </row>
    <row r="650" ht="15.75" customHeight="1">
      <c r="B650" s="94"/>
    </row>
    <row r="651" ht="15.75" customHeight="1">
      <c r="B651" s="94"/>
    </row>
    <row r="652" ht="15.75" customHeight="1">
      <c r="B652" s="94"/>
    </row>
    <row r="653" ht="15.75" customHeight="1">
      <c r="B653" s="94"/>
    </row>
    <row r="654" ht="15.75" customHeight="1">
      <c r="B654" s="94"/>
    </row>
    <row r="655" ht="15.75" customHeight="1">
      <c r="B655" s="94"/>
    </row>
    <row r="656" ht="15.75" customHeight="1">
      <c r="B656" s="94"/>
    </row>
    <row r="657" ht="15.75" customHeight="1">
      <c r="B657" s="94"/>
    </row>
    <row r="658" ht="15.75" customHeight="1">
      <c r="B658" s="94"/>
    </row>
    <row r="659" ht="15.75" customHeight="1">
      <c r="B659" s="94"/>
    </row>
    <row r="660" ht="15.75" customHeight="1">
      <c r="B660" s="94"/>
    </row>
    <row r="661" ht="15.75" customHeight="1">
      <c r="B661" s="94"/>
    </row>
    <row r="662" ht="15.75" customHeight="1">
      <c r="B662" s="94"/>
    </row>
    <row r="663" ht="15.75" customHeight="1">
      <c r="B663" s="94"/>
    </row>
    <row r="664" ht="15.75" customHeight="1">
      <c r="B664" s="94"/>
    </row>
    <row r="665" ht="15.75" customHeight="1">
      <c r="B665" s="94"/>
    </row>
    <row r="666" ht="15.75" customHeight="1">
      <c r="B666" s="94"/>
    </row>
    <row r="667" ht="15.75" customHeight="1">
      <c r="B667" s="94"/>
    </row>
    <row r="668" ht="15.75" customHeight="1">
      <c r="B668" s="94"/>
    </row>
    <row r="669" ht="15.75" customHeight="1">
      <c r="B669" s="94"/>
    </row>
    <row r="670" ht="15.75" customHeight="1">
      <c r="B670" s="94"/>
    </row>
    <row r="671" ht="15.75" customHeight="1">
      <c r="B671" s="94"/>
    </row>
    <row r="672" ht="15.75" customHeight="1">
      <c r="B672" s="94"/>
    </row>
    <row r="673" ht="15.75" customHeight="1">
      <c r="B673" s="94"/>
    </row>
    <row r="674" ht="15.75" customHeight="1">
      <c r="B674" s="94"/>
    </row>
    <row r="675" ht="15.75" customHeight="1">
      <c r="B675" s="94"/>
    </row>
    <row r="676" ht="15.75" customHeight="1">
      <c r="B676" s="94"/>
    </row>
    <row r="677" ht="15.75" customHeight="1">
      <c r="B677" s="94"/>
    </row>
    <row r="678" ht="15.75" customHeight="1">
      <c r="B678" s="94"/>
    </row>
    <row r="679" ht="15.75" customHeight="1">
      <c r="B679" s="94"/>
    </row>
    <row r="680" ht="15.75" customHeight="1">
      <c r="B680" s="94"/>
    </row>
    <row r="681" ht="15.75" customHeight="1">
      <c r="B681" s="94"/>
    </row>
    <row r="682" ht="15.75" customHeight="1">
      <c r="B682" s="94"/>
    </row>
    <row r="683" ht="15.75" customHeight="1">
      <c r="B683" s="94"/>
    </row>
    <row r="684" ht="15.75" customHeight="1">
      <c r="B684" s="94"/>
    </row>
    <row r="685" ht="15.75" customHeight="1">
      <c r="B685" s="94"/>
    </row>
    <row r="686" ht="15.75" customHeight="1">
      <c r="B686" s="94"/>
    </row>
    <row r="687" ht="15.75" customHeight="1">
      <c r="B687" s="94"/>
    </row>
    <row r="688" ht="15.75" customHeight="1">
      <c r="B688" s="94"/>
    </row>
    <row r="689" ht="15.75" customHeight="1">
      <c r="B689" s="94"/>
    </row>
    <row r="690" ht="15.75" customHeight="1">
      <c r="B690" s="94"/>
    </row>
    <row r="691" ht="15.75" customHeight="1">
      <c r="B691" s="94"/>
    </row>
    <row r="692" ht="15.75" customHeight="1">
      <c r="B692" s="94"/>
    </row>
    <row r="693" ht="15.75" customHeight="1">
      <c r="B693" s="94"/>
    </row>
    <row r="694" ht="15.75" customHeight="1">
      <c r="B694" s="94"/>
    </row>
    <row r="695" ht="15.75" customHeight="1">
      <c r="B695" s="94"/>
    </row>
    <row r="696" ht="15.75" customHeight="1">
      <c r="B696" s="94"/>
    </row>
    <row r="697" ht="15.75" customHeight="1">
      <c r="B697" s="94"/>
    </row>
    <row r="698" ht="15.75" customHeight="1">
      <c r="B698" s="94"/>
    </row>
    <row r="699" ht="15.75" customHeight="1">
      <c r="B699" s="94"/>
    </row>
    <row r="700" ht="15.75" customHeight="1">
      <c r="B700" s="94"/>
    </row>
    <row r="701" ht="15.75" customHeight="1">
      <c r="B701" s="94"/>
    </row>
    <row r="702" ht="15.75" customHeight="1">
      <c r="B702" s="94"/>
    </row>
    <row r="703" ht="15.75" customHeight="1">
      <c r="B703" s="94"/>
    </row>
    <row r="704" ht="15.75" customHeight="1">
      <c r="B704" s="94"/>
    </row>
    <row r="705" ht="15.75" customHeight="1">
      <c r="B705" s="94"/>
    </row>
    <row r="706" ht="15.75" customHeight="1">
      <c r="B706" s="94"/>
    </row>
    <row r="707" ht="15.75" customHeight="1">
      <c r="B707" s="94"/>
    </row>
    <row r="708" ht="15.75" customHeight="1">
      <c r="B708" s="94"/>
    </row>
    <row r="709" ht="15.75" customHeight="1">
      <c r="B709" s="94"/>
    </row>
    <row r="710" ht="15.75" customHeight="1">
      <c r="B710" s="94"/>
    </row>
    <row r="711" ht="15.75" customHeight="1">
      <c r="B711" s="94"/>
    </row>
    <row r="712" ht="15.75" customHeight="1">
      <c r="B712" s="94"/>
    </row>
    <row r="713" ht="15.75" customHeight="1">
      <c r="B713" s="94"/>
    </row>
    <row r="714" ht="15.75" customHeight="1">
      <c r="B714" s="94"/>
    </row>
    <row r="715" ht="15.75" customHeight="1">
      <c r="B715" s="94"/>
    </row>
    <row r="716" ht="15.75" customHeight="1">
      <c r="B716" s="94"/>
    </row>
    <row r="717" ht="15.75" customHeight="1">
      <c r="B717" s="94"/>
    </row>
    <row r="718" ht="15.75" customHeight="1">
      <c r="B718" s="94"/>
    </row>
    <row r="719" ht="15.75" customHeight="1">
      <c r="B719" s="94"/>
    </row>
    <row r="720" ht="15.75" customHeight="1">
      <c r="B720" s="94"/>
    </row>
    <row r="721" ht="15.75" customHeight="1">
      <c r="B721" s="94"/>
    </row>
    <row r="722" ht="15.75" customHeight="1">
      <c r="B722" s="94"/>
    </row>
    <row r="723" ht="15.75" customHeight="1">
      <c r="B723" s="94"/>
    </row>
    <row r="724" ht="15.75" customHeight="1">
      <c r="B724" s="94"/>
    </row>
    <row r="725" ht="15.75" customHeight="1">
      <c r="B725" s="94"/>
    </row>
    <row r="726" ht="15.75" customHeight="1">
      <c r="B726" s="94"/>
    </row>
    <row r="727" ht="15.75" customHeight="1">
      <c r="B727" s="94"/>
    </row>
    <row r="728" ht="15.75" customHeight="1">
      <c r="B728" s="94"/>
    </row>
    <row r="729" ht="15.75" customHeight="1">
      <c r="B729" s="94"/>
    </row>
    <row r="730" ht="15.75" customHeight="1">
      <c r="B730" s="94"/>
    </row>
    <row r="731" ht="15.75" customHeight="1">
      <c r="B731" s="94"/>
    </row>
    <row r="732" ht="15.75" customHeight="1">
      <c r="B732" s="94"/>
    </row>
    <row r="733" ht="15.75" customHeight="1">
      <c r="B733" s="94"/>
    </row>
    <row r="734" ht="15.75" customHeight="1">
      <c r="B734" s="94"/>
    </row>
    <row r="735" ht="15.75" customHeight="1">
      <c r="B735" s="94"/>
    </row>
    <row r="736" ht="15.75" customHeight="1">
      <c r="B736" s="94"/>
    </row>
    <row r="737" ht="15.75" customHeight="1">
      <c r="B737" s="94"/>
    </row>
    <row r="738" ht="15.75" customHeight="1">
      <c r="B738" s="94"/>
    </row>
    <row r="739" ht="15.75" customHeight="1">
      <c r="B739" s="94"/>
    </row>
    <row r="740" ht="15.75" customHeight="1">
      <c r="B740" s="94"/>
    </row>
    <row r="741" ht="15.75" customHeight="1">
      <c r="B741" s="94"/>
    </row>
    <row r="742" ht="15.75" customHeight="1">
      <c r="B742" s="94"/>
    </row>
    <row r="743" ht="15.75" customHeight="1">
      <c r="B743" s="94"/>
    </row>
    <row r="744" ht="15.75" customHeight="1">
      <c r="B744" s="94"/>
    </row>
    <row r="745" ht="15.75" customHeight="1">
      <c r="B745" s="94"/>
    </row>
    <row r="746" ht="15.75" customHeight="1">
      <c r="B746" s="94"/>
    </row>
    <row r="747" ht="15.75" customHeight="1">
      <c r="B747" s="94"/>
    </row>
    <row r="748" ht="15.75" customHeight="1">
      <c r="B748" s="94"/>
    </row>
    <row r="749" ht="15.75" customHeight="1">
      <c r="B749" s="94"/>
    </row>
    <row r="750" ht="15.75" customHeight="1">
      <c r="B750" s="94"/>
    </row>
    <row r="751" ht="15.75" customHeight="1">
      <c r="B751" s="94"/>
    </row>
    <row r="752" ht="15.75" customHeight="1">
      <c r="B752" s="94"/>
    </row>
    <row r="753" ht="15.75" customHeight="1">
      <c r="B753" s="94"/>
    </row>
    <row r="754" ht="15.75" customHeight="1">
      <c r="B754" s="94"/>
    </row>
    <row r="755" ht="15.75" customHeight="1">
      <c r="B755" s="94"/>
    </row>
    <row r="756" ht="15.75" customHeight="1">
      <c r="B756" s="94"/>
    </row>
    <row r="757" ht="15.75" customHeight="1">
      <c r="B757" s="94"/>
    </row>
    <row r="758" ht="15.75" customHeight="1">
      <c r="B758" s="94"/>
    </row>
    <row r="759" ht="15.75" customHeight="1">
      <c r="B759" s="94"/>
    </row>
    <row r="760" ht="15.75" customHeight="1">
      <c r="B760" s="94"/>
    </row>
    <row r="761" ht="15.75" customHeight="1">
      <c r="B761" s="94"/>
    </row>
    <row r="762" ht="15.75" customHeight="1">
      <c r="B762" s="94"/>
    </row>
    <row r="763" ht="15.75" customHeight="1">
      <c r="B763" s="94"/>
    </row>
    <row r="764" ht="15.75" customHeight="1">
      <c r="B764" s="94"/>
    </row>
    <row r="765" ht="15.75" customHeight="1">
      <c r="B765" s="94"/>
    </row>
    <row r="766" ht="15.75" customHeight="1">
      <c r="B766" s="94"/>
    </row>
    <row r="767" ht="15.75" customHeight="1">
      <c r="B767" s="94"/>
    </row>
    <row r="768" ht="15.75" customHeight="1">
      <c r="B768" s="94"/>
    </row>
    <row r="769" ht="15.75" customHeight="1">
      <c r="B769" s="94"/>
    </row>
    <row r="770" ht="15.75" customHeight="1">
      <c r="B770" s="94"/>
    </row>
    <row r="771" ht="15.75" customHeight="1">
      <c r="B771" s="94"/>
    </row>
    <row r="772" ht="15.75" customHeight="1">
      <c r="B772" s="94"/>
    </row>
    <row r="773" ht="15.75" customHeight="1">
      <c r="B773" s="94"/>
    </row>
    <row r="774" ht="15.75" customHeight="1">
      <c r="B774" s="94"/>
    </row>
    <row r="775" ht="15.75" customHeight="1">
      <c r="B775" s="94"/>
    </row>
    <row r="776" ht="15.75" customHeight="1">
      <c r="B776" s="94"/>
    </row>
    <row r="777" ht="15.75" customHeight="1">
      <c r="B777" s="94"/>
    </row>
    <row r="778" ht="15.75" customHeight="1">
      <c r="B778" s="94"/>
    </row>
    <row r="779" ht="15.75" customHeight="1">
      <c r="B779" s="94"/>
    </row>
    <row r="780" ht="15.75" customHeight="1">
      <c r="B780" s="94"/>
    </row>
    <row r="781" ht="15.75" customHeight="1">
      <c r="B781" s="94"/>
    </row>
    <row r="782" ht="15.75" customHeight="1">
      <c r="B782" s="94"/>
    </row>
    <row r="783" ht="15.75" customHeight="1">
      <c r="B783" s="94"/>
    </row>
    <row r="784" ht="15.75" customHeight="1">
      <c r="B784" s="94"/>
    </row>
    <row r="785" ht="15.75" customHeight="1">
      <c r="B785" s="94"/>
    </row>
    <row r="786" ht="15.75" customHeight="1">
      <c r="B786" s="94"/>
    </row>
    <row r="787" ht="15.75" customHeight="1">
      <c r="B787" s="94"/>
    </row>
    <row r="788" ht="15.75" customHeight="1">
      <c r="B788" s="94"/>
    </row>
    <row r="789" ht="15.75" customHeight="1">
      <c r="B789" s="94"/>
    </row>
    <row r="790" ht="15.75" customHeight="1">
      <c r="B790" s="94"/>
    </row>
    <row r="791" ht="15.75" customHeight="1">
      <c r="B791" s="94"/>
    </row>
    <row r="792" ht="15.75" customHeight="1">
      <c r="B792" s="94"/>
    </row>
    <row r="793" ht="15.75" customHeight="1">
      <c r="B793" s="94"/>
    </row>
    <row r="794" ht="15.75" customHeight="1">
      <c r="B794" s="94"/>
    </row>
    <row r="795" ht="15.75" customHeight="1">
      <c r="B795" s="94"/>
    </row>
    <row r="796" ht="15.75" customHeight="1">
      <c r="B796" s="94"/>
    </row>
    <row r="797" ht="15.75" customHeight="1">
      <c r="B797" s="94"/>
    </row>
    <row r="798" ht="15.75" customHeight="1">
      <c r="B798" s="94"/>
    </row>
    <row r="799" ht="15.75" customHeight="1">
      <c r="B799" s="94"/>
    </row>
    <row r="800" ht="15.75" customHeight="1">
      <c r="B800" s="94"/>
    </row>
    <row r="801" ht="15.75" customHeight="1">
      <c r="B801" s="94"/>
    </row>
    <row r="802" ht="15.75" customHeight="1">
      <c r="B802" s="94"/>
    </row>
    <row r="803" ht="15.75" customHeight="1">
      <c r="B803" s="94"/>
    </row>
    <row r="804" ht="15.75" customHeight="1">
      <c r="B804" s="94"/>
    </row>
    <row r="805" ht="15.75" customHeight="1">
      <c r="B805" s="94"/>
    </row>
    <row r="806" ht="15.75" customHeight="1">
      <c r="B806" s="94"/>
    </row>
    <row r="807" ht="15.75" customHeight="1">
      <c r="B807" s="94"/>
    </row>
    <row r="808" ht="15.75" customHeight="1">
      <c r="B808" s="94"/>
    </row>
    <row r="809" ht="15.75" customHeight="1">
      <c r="B809" s="94"/>
    </row>
    <row r="810" ht="15.75" customHeight="1">
      <c r="B810" s="94"/>
    </row>
    <row r="811" ht="15.75" customHeight="1">
      <c r="B811" s="94"/>
    </row>
    <row r="812" ht="15.75" customHeight="1">
      <c r="B812" s="94"/>
    </row>
    <row r="813" ht="15.75" customHeight="1">
      <c r="B813" s="94"/>
    </row>
    <row r="814" ht="15.75" customHeight="1">
      <c r="B814" s="94"/>
    </row>
    <row r="815" ht="15.75" customHeight="1">
      <c r="B815" s="94"/>
    </row>
    <row r="816" ht="15.75" customHeight="1">
      <c r="B816" s="94"/>
    </row>
    <row r="817" ht="15.75" customHeight="1">
      <c r="B817" s="94"/>
    </row>
    <row r="818" ht="15.75" customHeight="1">
      <c r="B818" s="94"/>
    </row>
    <row r="819" ht="15.75" customHeight="1">
      <c r="B819" s="94"/>
    </row>
    <row r="820" ht="15.75" customHeight="1">
      <c r="B820" s="94"/>
    </row>
    <row r="821" ht="15.75" customHeight="1">
      <c r="B821" s="94"/>
    </row>
    <row r="822" ht="15.75" customHeight="1">
      <c r="B822" s="94"/>
    </row>
    <row r="823" ht="15.75" customHeight="1">
      <c r="B823" s="94"/>
    </row>
    <row r="824" ht="15.75" customHeight="1">
      <c r="B824" s="94"/>
    </row>
    <row r="825" ht="15.75" customHeight="1">
      <c r="B825" s="94"/>
    </row>
    <row r="826" ht="15.75" customHeight="1">
      <c r="B826" s="94"/>
    </row>
    <row r="827" ht="15.75" customHeight="1">
      <c r="B827" s="94"/>
    </row>
    <row r="828" ht="15.75" customHeight="1">
      <c r="B828" s="94"/>
    </row>
    <row r="829" ht="15.75" customHeight="1">
      <c r="B829" s="94"/>
    </row>
    <row r="830" ht="15.75" customHeight="1">
      <c r="B830" s="94"/>
    </row>
    <row r="831" ht="15.75" customHeight="1">
      <c r="B831" s="94"/>
    </row>
    <row r="832" ht="15.75" customHeight="1">
      <c r="B832" s="94"/>
    </row>
    <row r="833" ht="15.75" customHeight="1">
      <c r="B833" s="94"/>
    </row>
    <row r="834" ht="15.75" customHeight="1">
      <c r="B834" s="94"/>
    </row>
    <row r="835" ht="15.75" customHeight="1">
      <c r="B835" s="94"/>
    </row>
    <row r="836" ht="15.75" customHeight="1">
      <c r="B836" s="94"/>
    </row>
    <row r="837" ht="15.75" customHeight="1">
      <c r="B837" s="94"/>
    </row>
    <row r="838" ht="15.75" customHeight="1">
      <c r="B838" s="94"/>
    </row>
    <row r="839" ht="15.75" customHeight="1">
      <c r="B839" s="94"/>
    </row>
    <row r="840" ht="15.75" customHeight="1">
      <c r="B840" s="94"/>
    </row>
    <row r="841" ht="15.75" customHeight="1">
      <c r="B841" s="94"/>
    </row>
    <row r="842" ht="15.75" customHeight="1">
      <c r="B842" s="94"/>
    </row>
    <row r="843" ht="15.75" customHeight="1">
      <c r="B843" s="94"/>
    </row>
    <row r="844" ht="15.75" customHeight="1">
      <c r="B844" s="94"/>
    </row>
    <row r="845" ht="15.75" customHeight="1">
      <c r="B845" s="94"/>
    </row>
    <row r="846" ht="15.75" customHeight="1">
      <c r="B846" s="94"/>
    </row>
    <row r="847" ht="15.75" customHeight="1">
      <c r="B847" s="94"/>
    </row>
    <row r="848" ht="15.75" customHeight="1">
      <c r="B848" s="94"/>
    </row>
    <row r="849" ht="15.75" customHeight="1">
      <c r="B849" s="94"/>
    </row>
    <row r="850" ht="15.75" customHeight="1">
      <c r="B850" s="94"/>
    </row>
    <row r="851" ht="15.75" customHeight="1">
      <c r="B851" s="94"/>
    </row>
    <row r="852" ht="15.75" customHeight="1">
      <c r="B852" s="94"/>
    </row>
    <row r="853" ht="15.75" customHeight="1">
      <c r="B853" s="94"/>
    </row>
    <row r="854" ht="15.75" customHeight="1">
      <c r="B854" s="94"/>
    </row>
    <row r="855" ht="15.75" customHeight="1">
      <c r="B855" s="94"/>
    </row>
    <row r="856" ht="15.75" customHeight="1">
      <c r="B856" s="94"/>
    </row>
    <row r="857" ht="15.75" customHeight="1">
      <c r="B857" s="94"/>
    </row>
    <row r="858" ht="15.75" customHeight="1">
      <c r="B858" s="94"/>
    </row>
    <row r="859" ht="15.75" customHeight="1">
      <c r="B859" s="94"/>
    </row>
    <row r="860" ht="15.75" customHeight="1">
      <c r="B860" s="94"/>
    </row>
    <row r="861" ht="15.75" customHeight="1">
      <c r="B861" s="94"/>
    </row>
    <row r="862" ht="15.75" customHeight="1">
      <c r="B862" s="94"/>
    </row>
    <row r="863" ht="15.75" customHeight="1">
      <c r="B863" s="94"/>
    </row>
    <row r="864" ht="15.75" customHeight="1">
      <c r="B864" s="94"/>
    </row>
    <row r="865" ht="15.75" customHeight="1">
      <c r="B865" s="94"/>
    </row>
    <row r="866" ht="15.75" customHeight="1">
      <c r="B866" s="94"/>
    </row>
    <row r="867" ht="15.75" customHeight="1">
      <c r="B867" s="94"/>
    </row>
    <row r="868" ht="15.75" customHeight="1">
      <c r="B868" s="94"/>
    </row>
    <row r="869" ht="15.75" customHeight="1">
      <c r="B869" s="94"/>
    </row>
    <row r="870" ht="15.75" customHeight="1">
      <c r="B870" s="94"/>
    </row>
    <row r="871" ht="15.75" customHeight="1">
      <c r="B871" s="94"/>
    </row>
    <row r="872" ht="15.75" customHeight="1">
      <c r="B872" s="94"/>
    </row>
    <row r="873" ht="15.75" customHeight="1">
      <c r="B873" s="94"/>
    </row>
    <row r="874" ht="15.75" customHeight="1">
      <c r="B874" s="94"/>
    </row>
    <row r="875" ht="15.75" customHeight="1">
      <c r="B875" s="94"/>
    </row>
    <row r="876" ht="15.75" customHeight="1">
      <c r="B876" s="94"/>
    </row>
    <row r="877" ht="15.75" customHeight="1">
      <c r="B877" s="94"/>
    </row>
    <row r="878" ht="15.75" customHeight="1">
      <c r="B878" s="94"/>
    </row>
    <row r="879" ht="15.75" customHeight="1">
      <c r="B879" s="94"/>
    </row>
    <row r="880" ht="15.75" customHeight="1">
      <c r="B880" s="94"/>
    </row>
    <row r="881" ht="15.75" customHeight="1">
      <c r="B881" s="94"/>
    </row>
    <row r="882" ht="15.75" customHeight="1">
      <c r="B882" s="94"/>
    </row>
    <row r="883" ht="15.75" customHeight="1">
      <c r="B883" s="94"/>
    </row>
    <row r="884" ht="15.75" customHeight="1">
      <c r="B884" s="94"/>
    </row>
    <row r="885" ht="15.75" customHeight="1">
      <c r="B885" s="94"/>
    </row>
    <row r="886" ht="15.75" customHeight="1">
      <c r="B886" s="94"/>
    </row>
    <row r="887" ht="15.75" customHeight="1">
      <c r="B887" s="94"/>
    </row>
    <row r="888" ht="15.75" customHeight="1">
      <c r="B888" s="94"/>
    </row>
    <row r="889" ht="15.75" customHeight="1">
      <c r="B889" s="94"/>
    </row>
    <row r="890" ht="15.75" customHeight="1">
      <c r="B890" s="94"/>
    </row>
    <row r="891" ht="15.75" customHeight="1">
      <c r="B891" s="94"/>
    </row>
    <row r="892" ht="15.75" customHeight="1">
      <c r="B892" s="94"/>
    </row>
    <row r="893" ht="15.75" customHeight="1">
      <c r="B893" s="94"/>
    </row>
    <row r="894" ht="15.75" customHeight="1">
      <c r="B894" s="94"/>
    </row>
    <row r="895" ht="15.75" customHeight="1">
      <c r="B895" s="94"/>
    </row>
    <row r="896" ht="15.75" customHeight="1">
      <c r="B896" s="94"/>
    </row>
    <row r="897" ht="15.75" customHeight="1">
      <c r="B897" s="94"/>
    </row>
    <row r="898" ht="15.75" customHeight="1">
      <c r="B898" s="94"/>
    </row>
    <row r="899" ht="15.75" customHeight="1">
      <c r="B899" s="94"/>
    </row>
    <row r="900" ht="15.75" customHeight="1">
      <c r="B900" s="94"/>
    </row>
    <row r="901" ht="15.75" customHeight="1">
      <c r="B901" s="94"/>
    </row>
    <row r="902" ht="15.75" customHeight="1">
      <c r="B902" s="94"/>
    </row>
    <row r="903" ht="15.75" customHeight="1">
      <c r="B903" s="94"/>
    </row>
    <row r="904" ht="15.75" customHeight="1">
      <c r="B904" s="94"/>
    </row>
    <row r="905" ht="15.75" customHeight="1">
      <c r="B905" s="94"/>
    </row>
    <row r="906" ht="15.75" customHeight="1">
      <c r="B906" s="94"/>
    </row>
    <row r="907" ht="15.75" customHeight="1">
      <c r="B907" s="94"/>
    </row>
    <row r="908" ht="15.75" customHeight="1">
      <c r="B908" s="94"/>
    </row>
    <row r="909" ht="15.75" customHeight="1">
      <c r="B909" s="94"/>
    </row>
    <row r="910" ht="15.75" customHeight="1">
      <c r="B910" s="94"/>
    </row>
    <row r="911" ht="15.75" customHeight="1">
      <c r="B911" s="94"/>
    </row>
    <row r="912" ht="15.75" customHeight="1">
      <c r="B912" s="94"/>
    </row>
    <row r="913" ht="15.75" customHeight="1">
      <c r="B913" s="94"/>
    </row>
    <row r="914" ht="15.75" customHeight="1">
      <c r="B914" s="94"/>
    </row>
    <row r="915" ht="15.75" customHeight="1">
      <c r="B915" s="94"/>
    </row>
    <row r="916" ht="15.75" customHeight="1">
      <c r="B916" s="94"/>
    </row>
    <row r="917" ht="15.75" customHeight="1">
      <c r="B917" s="94"/>
    </row>
    <row r="918" ht="15.75" customHeight="1">
      <c r="B918" s="94"/>
    </row>
    <row r="919" ht="15.75" customHeight="1">
      <c r="B919" s="94"/>
    </row>
    <row r="920" ht="15.75" customHeight="1">
      <c r="B920" s="94"/>
    </row>
    <row r="921" ht="15.75" customHeight="1">
      <c r="B921" s="94"/>
    </row>
    <row r="922" ht="15.75" customHeight="1">
      <c r="B922" s="94"/>
    </row>
    <row r="923" ht="15.75" customHeight="1">
      <c r="B923" s="94"/>
    </row>
    <row r="924" ht="15.75" customHeight="1">
      <c r="B924" s="94"/>
    </row>
    <row r="925" ht="15.75" customHeight="1">
      <c r="B925" s="94"/>
    </row>
    <row r="926" ht="15.75" customHeight="1">
      <c r="B926" s="94"/>
    </row>
    <row r="927" ht="15.75" customHeight="1">
      <c r="B927" s="94"/>
    </row>
    <row r="928" ht="15.75" customHeight="1">
      <c r="B928" s="94"/>
    </row>
    <row r="929" ht="15.75" customHeight="1">
      <c r="B929" s="94"/>
    </row>
    <row r="930" ht="15.75" customHeight="1">
      <c r="B930" s="94"/>
    </row>
    <row r="931" ht="15.75" customHeight="1">
      <c r="B931" s="94"/>
    </row>
    <row r="932" ht="15.75" customHeight="1">
      <c r="B932" s="94"/>
    </row>
    <row r="933" ht="15.75" customHeight="1">
      <c r="B933" s="94"/>
    </row>
    <row r="934" ht="15.75" customHeight="1">
      <c r="B934" s="94"/>
    </row>
    <row r="935" ht="15.75" customHeight="1">
      <c r="B935" s="94"/>
    </row>
    <row r="936" ht="15.75" customHeight="1">
      <c r="B936" s="94"/>
    </row>
    <row r="937" ht="15.75" customHeight="1">
      <c r="B937" s="94"/>
    </row>
    <row r="938" ht="15.75" customHeight="1">
      <c r="B938" s="94"/>
    </row>
    <row r="939" ht="15.75" customHeight="1">
      <c r="B939" s="94"/>
    </row>
    <row r="940" ht="15.75" customHeight="1">
      <c r="B940" s="94"/>
    </row>
    <row r="941" ht="15.75" customHeight="1">
      <c r="B941" s="94"/>
    </row>
    <row r="942" ht="15.75" customHeight="1">
      <c r="B942" s="94"/>
    </row>
    <row r="943" ht="15.75" customHeight="1">
      <c r="B943" s="94"/>
    </row>
    <row r="944" ht="15.75" customHeight="1">
      <c r="B944" s="94"/>
    </row>
    <row r="945" ht="15.75" customHeight="1">
      <c r="B945" s="94"/>
    </row>
    <row r="946" ht="15.75" customHeight="1">
      <c r="B946" s="94"/>
    </row>
    <row r="947" ht="15.75" customHeight="1">
      <c r="B947" s="94"/>
    </row>
    <row r="948" ht="15.75" customHeight="1">
      <c r="B948" s="94"/>
    </row>
    <row r="949" ht="15.75" customHeight="1">
      <c r="B949" s="94"/>
    </row>
    <row r="950" ht="15.75" customHeight="1">
      <c r="B950" s="94"/>
    </row>
    <row r="951" ht="15.75" customHeight="1">
      <c r="B951" s="94"/>
    </row>
    <row r="952" ht="15.75" customHeight="1">
      <c r="B952" s="94"/>
    </row>
    <row r="953" ht="15.75" customHeight="1">
      <c r="B953" s="94"/>
    </row>
    <row r="954" ht="15.75" customHeight="1">
      <c r="B954" s="94"/>
    </row>
    <row r="955" ht="15.75" customHeight="1">
      <c r="B955" s="94"/>
    </row>
    <row r="956" ht="15.75" customHeight="1">
      <c r="B956" s="94"/>
    </row>
    <row r="957" ht="15.75" customHeight="1">
      <c r="B957" s="94"/>
    </row>
    <row r="958" ht="15.75" customHeight="1">
      <c r="B958" s="94"/>
    </row>
    <row r="959" ht="15.75" customHeight="1">
      <c r="B959" s="94"/>
    </row>
    <row r="960" ht="15.75" customHeight="1">
      <c r="B960" s="94"/>
    </row>
    <row r="961" ht="15.75" customHeight="1">
      <c r="B961" s="94"/>
    </row>
    <row r="962" ht="15.75" customHeight="1">
      <c r="B962" s="94"/>
    </row>
    <row r="963" ht="15.75" customHeight="1">
      <c r="B963" s="94"/>
    </row>
    <row r="964" ht="15.75" customHeight="1">
      <c r="B964" s="94"/>
    </row>
    <row r="965" ht="15.75" customHeight="1">
      <c r="B965" s="94"/>
    </row>
    <row r="966" ht="15.75" customHeight="1">
      <c r="B966" s="94"/>
    </row>
    <row r="967" ht="15.75" customHeight="1">
      <c r="B967" s="94"/>
    </row>
    <row r="968" ht="15.75" customHeight="1">
      <c r="B968" s="94"/>
    </row>
    <row r="969" ht="15.75" customHeight="1">
      <c r="B969" s="94"/>
    </row>
    <row r="970" ht="15.75" customHeight="1">
      <c r="B970" s="94"/>
    </row>
    <row r="971" ht="15.75" customHeight="1">
      <c r="B971" s="94"/>
    </row>
    <row r="972" ht="15.75" customHeight="1">
      <c r="B972" s="94"/>
    </row>
    <row r="973" ht="15.75" customHeight="1">
      <c r="B973" s="94"/>
    </row>
    <row r="974" ht="15.75" customHeight="1">
      <c r="B974" s="94"/>
    </row>
    <row r="975" ht="15.75" customHeight="1">
      <c r="B975" s="94"/>
    </row>
    <row r="976" ht="15.75" customHeight="1">
      <c r="B976" s="94"/>
    </row>
    <row r="977" ht="15.75" customHeight="1">
      <c r="B977" s="94"/>
    </row>
    <row r="978" ht="15.75" customHeight="1">
      <c r="B978" s="94"/>
    </row>
    <row r="979" ht="15.75" customHeight="1">
      <c r="B979" s="94"/>
    </row>
    <row r="980" ht="15.75" customHeight="1">
      <c r="B980" s="94"/>
    </row>
    <row r="981" ht="15.75" customHeight="1">
      <c r="B981" s="94"/>
    </row>
    <row r="982" ht="15.75" customHeight="1">
      <c r="B982" s="94"/>
    </row>
    <row r="983" ht="15.75" customHeight="1">
      <c r="B983" s="94"/>
    </row>
    <row r="984" ht="15.75" customHeight="1">
      <c r="B984" s="94"/>
    </row>
    <row r="985" ht="15.75" customHeight="1">
      <c r="B985" s="94"/>
    </row>
    <row r="986" ht="15.75" customHeight="1">
      <c r="B986" s="94"/>
    </row>
    <row r="987" ht="15.75" customHeight="1">
      <c r="B987" s="94"/>
    </row>
    <row r="988" ht="15.75" customHeight="1">
      <c r="B988" s="94"/>
    </row>
    <row r="989" ht="15.75" customHeight="1">
      <c r="B989" s="94"/>
    </row>
    <row r="990" ht="15.75" customHeight="1">
      <c r="B990" s="94"/>
    </row>
    <row r="991" ht="15.75" customHeight="1">
      <c r="B991" s="94"/>
    </row>
    <row r="992" ht="15.75" customHeight="1">
      <c r="B992" s="94"/>
    </row>
    <row r="993" ht="15.75" customHeight="1">
      <c r="B993" s="94"/>
    </row>
    <row r="994" ht="15.75" customHeight="1">
      <c r="B994" s="94"/>
    </row>
    <row r="995" ht="15.75" customHeight="1">
      <c r="B995" s="94"/>
    </row>
    <row r="996" ht="15.75" customHeight="1">
      <c r="B996" s="94"/>
    </row>
    <row r="997" ht="15.75" customHeight="1">
      <c r="B997" s="94"/>
    </row>
    <row r="998" ht="15.75" customHeight="1">
      <c r="B998" s="94"/>
    </row>
    <row r="999" ht="15.75" customHeight="1">
      <c r="B999" s="94"/>
    </row>
    <row r="1000" ht="15.75" customHeight="1">
      <c r="B1000" s="9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2018-08-07T23:17:42Z</dcterms:created>
  <dc:creator>Tasso Azevedo</dc:creator>
</cp:coreProperties>
</file>