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" sheetId="1" r:id="rId4"/>
    <sheet state="visible" name="DADOS COBERTURA AMAZÔNIA" sheetId="2" r:id="rId5"/>
    <sheet state="visible" name="SANKEY" sheetId="3" r:id="rId6"/>
    <sheet state="visible" name="GRAFICO HISTORICO" sheetId="4" r:id="rId7"/>
    <sheet state="visible" name="MANCHETES" sheetId="5" r:id="rId8"/>
    <sheet state="hidden" name="Matriz Cerrado" sheetId="6" r:id="rId9"/>
  </sheets>
  <definedNames/>
  <calcPr/>
  <extLst>
    <ext uri="GoogleSheetsCustomDataVersion2">
      <go:sheetsCustomData xmlns:go="http://customooxmlschemas.google.com/" r:id="rId10" roundtripDataChecksum="y5KpiqFMNGC2n+q4VHy5M/4aGiQKpa/wy0sTxtkDCf4="/>
    </ext>
  </extLst>
</workbook>
</file>

<file path=xl/sharedStrings.xml><?xml version="1.0" encoding="utf-8"?>
<sst xmlns="http://schemas.openxmlformats.org/spreadsheetml/2006/main" count="754" uniqueCount="104">
  <si>
    <t>Transições 1985 a 2025</t>
  </si>
  <si>
    <t>Area total</t>
  </si>
  <si>
    <t>Area Mha</t>
  </si>
  <si>
    <t>%</t>
  </si>
  <si>
    <t>AMAZONIA</t>
  </si>
  <si>
    <t>Para o Grafico Circular da composição do uso da terra</t>
  </si>
  <si>
    <t>Classes</t>
  </si>
  <si>
    <t>1. Forest</t>
  </si>
  <si>
    <t>CAATINGA</t>
  </si>
  <si>
    <t>2. Herbaceous and Shrubby Vegetation</t>
  </si>
  <si>
    <t>Area total (ha)</t>
  </si>
  <si>
    <t>3. Farming</t>
  </si>
  <si>
    <t>Mha</t>
  </si>
  <si>
    <t>4. Non vegetated area</t>
  </si>
  <si>
    <t>5. Water</t>
  </si>
  <si>
    <t>CERRADO</t>
  </si>
  <si>
    <t>Total 1985</t>
  </si>
  <si>
    <t>MATA ATLANTICA</t>
  </si>
  <si>
    <t>PAMPA</t>
  </si>
  <si>
    <t>PANTANAL</t>
  </si>
  <si>
    <t>Total</t>
  </si>
  <si>
    <t>Floresta</t>
  </si>
  <si>
    <t>1.1. Forest Formation</t>
  </si>
  <si>
    <t>Formação Natural não Florestal</t>
  </si>
  <si>
    <t>1. Floresta</t>
  </si>
  <si>
    <t>Agropecuária</t>
  </si>
  <si>
    <t>Área não Vegetada</t>
  </si>
  <si>
    <t>Total 2025</t>
  </si>
  <si>
    <t>Corpo D'água</t>
  </si>
  <si>
    <t>Não Observado</t>
  </si>
  <si>
    <t>Vegetação Nativa</t>
  </si>
  <si>
    <t>Outros</t>
  </si>
  <si>
    <t>1.2. Savanna Formation</t>
  </si>
  <si>
    <t>1.3. Flooded Savanna</t>
  </si>
  <si>
    <t>1.4. Mangrove</t>
  </si>
  <si>
    <t>1.5. Floodable Forest</t>
  </si>
  <si>
    <t>Manchetes para Amazonia</t>
  </si>
  <si>
    <t>1.6. Wooded Sandbank Vegetation</t>
  </si>
  <si>
    <t>2. Formação Natural não Florestal</t>
  </si>
  <si>
    <t>do bioma coberto por floresta natural em 2025</t>
  </si>
  <si>
    <t>do bioma coberto por vegetação nativa em 2025</t>
  </si>
  <si>
    <t>perda de cobertura florestal líquida entre 1985 e 2025</t>
  </si>
  <si>
    <t>perda de vegetação nativa entre 1985 e 2025</t>
  </si>
  <si>
    <t>expansão da agropecuária na Amazônia entre 1985 e 2025</t>
  </si>
  <si>
    <t>proporção das florestas naturais do Brasil na Amazônia</t>
  </si>
  <si>
    <t>2.1. Wetland</t>
  </si>
  <si>
    <t>2.2. Marisma</t>
  </si>
  <si>
    <t xml:space="preserve"> Outros</t>
  </si>
  <si>
    <t>2.3. Grassland Formation</t>
  </si>
  <si>
    <t/>
  </si>
  <si>
    <t>2.4. Herbaceous-Shrub Mosaic</t>
  </si>
  <si>
    <t>3. Agropecuária</t>
  </si>
  <si>
    <t>Pastagem</t>
  </si>
  <si>
    <t>Formação Campestre (Campo)</t>
  </si>
  <si>
    <t>Formações Florestais</t>
  </si>
  <si>
    <t>Formações Savanicas</t>
  </si>
  <si>
    <t>Florestas Plantadas</t>
  </si>
  <si>
    <t>Cultivo Anual e Perene</t>
  </si>
  <si>
    <t>Cultivo Semi-Perene</t>
  </si>
  <si>
    <t>Mosaico de Cultivos</t>
  </si>
  <si>
    <t>Mosaico de Agricultura ou Pastagem</t>
  </si>
  <si>
    <t>Praias e dunas</t>
  </si>
  <si>
    <t>Agricultura</t>
  </si>
  <si>
    <t>Formações Florestais Naturais</t>
  </si>
  <si>
    <t>Mangue</t>
  </si>
  <si>
    <t>Infraestrutura Urbana</t>
  </si>
  <si>
    <t>Outras áreas não vegetadas</t>
  </si>
  <si>
    <t>2.5. Hypersaline Tidal Flat</t>
  </si>
  <si>
    <t>Corpos Dágua</t>
  </si>
  <si>
    <t>Não observado</t>
  </si>
  <si>
    <t>Apicum</t>
  </si>
  <si>
    <t>Aquicultura</t>
  </si>
  <si>
    <t>Afloramento Rochoso</t>
  </si>
  <si>
    <t>Mineração</t>
  </si>
  <si>
    <t>Área Úmida Natural não Florestal</t>
  </si>
  <si>
    <t>Outra formação não Florestal</t>
  </si>
  <si>
    <t>Rios, Lagos e Oceanos</t>
  </si>
  <si>
    <t>-</t>
  </si>
  <si>
    <t>2.6. Rocky Outcrop</t>
  </si>
  <si>
    <t>2.7. Herbaceous Sandbank Vegetation</t>
  </si>
  <si>
    <t>3.1. Pasture</t>
  </si>
  <si>
    <t>4. Área não Vegetada</t>
  </si>
  <si>
    <t>3.2. Agriculture</t>
  </si>
  <si>
    <t>AMAZÔNIA</t>
  </si>
  <si>
    <t>3.3. Forest Plantation</t>
  </si>
  <si>
    <t>3.4. Mosaic of Uses</t>
  </si>
  <si>
    <t>4.1. Beach, Dune and Sand Spot</t>
  </si>
  <si>
    <t>4.2. Urban Area</t>
  </si>
  <si>
    <t>4.3. Mining</t>
  </si>
  <si>
    <t>5. Corpo D'água</t>
  </si>
  <si>
    <t>4.4. Photovoltaic Power Plant (beta)</t>
  </si>
  <si>
    <t>4.5. Wind Farm</t>
  </si>
  <si>
    <t>4.6. Other non Vegetated Areas</t>
  </si>
  <si>
    <t>% de cobertura florestal</t>
  </si>
  <si>
    <t>5.1. River, Lake and Ocean</t>
  </si>
  <si>
    <t>5.2. Aquaculture</t>
  </si>
  <si>
    <t>6. Not Observed</t>
  </si>
  <si>
    <t>Total Geral</t>
  </si>
  <si>
    <t>% de cobertura por vegetação nativa</t>
  </si>
  <si>
    <t>Perda de floresta entre 1985 e 2025</t>
  </si>
  <si>
    <t>Perda de vegetação nativa entre 1985 e 2025</t>
  </si>
  <si>
    <t>Expansão da agropécuária entre 1985 e 2025</t>
  </si>
  <si>
    <t>% das florestas naturais do Brasil na Amazônia</t>
  </si>
  <si>
    <t>EM MILHOES DE 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</si>
</sst>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_(* #,##0.000_);_(* \(#,##0.000\);_(* &quot;-&quot;??_);_(@_)"/>
    <numFmt numFmtId="168" formatCode="_-* #,##0.0_-;\-* #,##0.0_-;_-* &quot;-&quot;??_-;_-@"/>
    <numFmt numFmtId="169" formatCode="0.000%"/>
    <numFmt numFmtId="170" formatCode="0.000"/>
    <numFmt numFmtId="171" formatCode="_(* #,##0.00_);_(* \(#,##0.00\);_(* &quot;-&quot;??_);_(@_)"/>
    <numFmt numFmtId="172" formatCode="_-* #,##0.00_-;\-* #,##0.00_-;_-* &quot;-&quot;??_-;_-@"/>
  </numFmts>
  <fonts count="25">
    <font>
      <sz val="12.0"/>
      <color theme="1"/>
      <name val="Calibri"/>
      <scheme val="minor"/>
    </font>
    <font>
      <sz val="12.0"/>
      <color theme="1"/>
      <name val="Calibri"/>
    </font>
    <font>
      <b/>
      <sz val="22.0"/>
      <color theme="1"/>
      <name val="Calibri"/>
    </font>
    <font>
      <sz val="22.0"/>
      <color rgb="FFFF0000"/>
      <name val="Calibri"/>
    </font>
    <font>
      <sz val="11.0"/>
      <color theme="1"/>
      <name val="Calibri"/>
    </font>
    <font>
      <sz val="12.0"/>
      <color rgb="FF7F7F7F"/>
      <name val="Calibri"/>
    </font>
    <font>
      <b/>
      <sz val="20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sz val="12.0"/>
      <color rgb="FF006100"/>
      <name val="Calibri"/>
    </font>
    <font>
      <sz val="12.0"/>
      <color rgb="FF000000"/>
      <name val="Calibri"/>
    </font>
    <font/>
    <font>
      <sz val="12.0"/>
      <color theme="1"/>
      <name val="Arial"/>
    </font>
    <font>
      <b/>
      <sz val="18.0"/>
      <color theme="1"/>
      <name val="Calibri"/>
    </font>
    <font>
      <sz val="18.0"/>
      <color rgb="FF000000"/>
      <name val="Calibri"/>
    </font>
    <font>
      <b/>
      <sz val="17.0"/>
      <color theme="1"/>
      <name val="Arial"/>
    </font>
    <font>
      <b/>
      <sz val="18.0"/>
      <color rgb="FFFF0000"/>
      <name val="Calibri"/>
    </font>
    <font>
      <sz val="18.0"/>
      <color rgb="FFFF0000"/>
      <name val="Calibri"/>
    </font>
    <font>
      <sz val="18.0"/>
      <color rgb="FF38761D"/>
      <name val="Calibri"/>
    </font>
    <font>
      <b/>
      <sz val="24.0"/>
      <color theme="1"/>
      <name val="Calibri"/>
    </font>
    <font>
      <b/>
      <sz val="20.0"/>
      <color rgb="FFFF0000"/>
      <name val="Calibri"/>
    </font>
    <font>
      <sz val="12.0"/>
      <color rgb="FF9C57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EB9C"/>
        <bgColor rgb="FFFFEB9C"/>
      </patternFill>
    </fill>
  </fills>
  <borders count="23">
    <border/>
    <border>
      <left/>
      <right/>
      <top/>
      <bottom/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</border>
    <border>
      <left/>
      <right style="medium">
        <color rgb="FF000000"/>
      </right>
      <top/>
      <bottom/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8EAADB"/>
      </top>
      <bottom/>
    </border>
    <border>
      <top style="thin">
        <color rgb="FF2E75B5"/>
      </top>
      <bottom style="medium">
        <color rgb="FF2E75B5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1" numFmtId="164" xfId="0" applyFont="1" applyNumberFormat="1"/>
    <xf borderId="0" fillId="0" fontId="1" numFmtId="0" xfId="0" applyFont="1"/>
    <xf borderId="0" fillId="0" fontId="4" numFmtId="164" xfId="0" applyAlignment="1" applyFont="1" applyNumberFormat="1">
      <alignment horizontal="right" vertical="bottom"/>
    </xf>
    <xf borderId="0" fillId="0" fontId="5" numFmtId="0" xfId="0" applyFont="1"/>
    <xf borderId="0" fillId="0" fontId="5" numFmtId="164" xfId="0" applyFont="1" applyNumberFormat="1"/>
    <xf borderId="0" fillId="0" fontId="1" numFmtId="165" xfId="0" applyFont="1" applyNumberFormat="1"/>
    <xf borderId="0" fillId="0" fontId="1" numFmtId="9" xfId="0" applyAlignment="1" applyFont="1" applyNumberFormat="1">
      <alignment horizontal="center"/>
    </xf>
    <xf borderId="0" fillId="0" fontId="6" numFmtId="0" xfId="0" applyFont="1"/>
    <xf borderId="0" fillId="0" fontId="1" numFmtId="166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right"/>
    </xf>
    <xf borderId="1" fillId="4" fontId="5" numFmtId="0" xfId="0" applyAlignment="1" applyBorder="1" applyFill="1" applyFont="1">
      <alignment horizontal="center" shrinkToFit="0" vertical="center" wrapText="1"/>
    </xf>
    <xf borderId="2" fillId="5" fontId="7" numFmtId="164" xfId="0" applyAlignment="1" applyBorder="1" applyFill="1" applyFont="1" applyNumberFormat="1">
      <alignment horizontal="left"/>
    </xf>
    <xf borderId="2" fillId="5" fontId="7" numFmtId="164" xfId="0" applyBorder="1" applyFont="1" applyNumberFormat="1"/>
    <xf borderId="1" fillId="3" fontId="5" numFmtId="0" xfId="0" applyBorder="1" applyFont="1"/>
    <xf borderId="1" fillId="2" fontId="8" numFmtId="0" xfId="0" applyBorder="1" applyFont="1"/>
    <xf borderId="2" fillId="5" fontId="7" numFmtId="167" xfId="0" applyBorder="1" applyFont="1" applyNumberFormat="1"/>
    <xf borderId="1" fillId="2" fontId="8" numFmtId="164" xfId="0" applyBorder="1" applyFont="1" applyNumberFormat="1"/>
    <xf borderId="1" fillId="4" fontId="5" numFmtId="164" xfId="0" applyBorder="1" applyFont="1" applyNumberFormat="1"/>
    <xf borderId="2" fillId="5" fontId="7" numFmtId="10" xfId="0" applyBorder="1" applyFont="1" applyNumberFormat="1"/>
    <xf borderId="1" fillId="2" fontId="1" numFmtId="166" xfId="0" applyBorder="1" applyFont="1" applyNumberFormat="1"/>
    <xf borderId="0" fillId="0" fontId="7" numFmtId="164" xfId="0" applyAlignment="1" applyFont="1" applyNumberFormat="1">
      <alignment horizontal="left" vertical="center"/>
    </xf>
    <xf borderId="0" fillId="0" fontId="7" numFmtId="164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9" numFmtId="164" xfId="0" applyAlignment="1" applyFont="1" applyNumberFormat="1">
      <alignment horizontal="right"/>
    </xf>
    <xf borderId="0" fillId="0" fontId="7" numFmtId="164" xfId="0" applyAlignment="1" applyFont="1" applyNumberFormat="1">
      <alignment horizontal="left"/>
    </xf>
    <xf borderId="3" fillId="0" fontId="7" numFmtId="164" xfId="0" applyBorder="1" applyFont="1" applyNumberFormat="1"/>
    <xf borderId="0" fillId="0" fontId="7" numFmtId="167" xfId="0" applyFont="1" applyNumberFormat="1"/>
    <xf borderId="0" fillId="0" fontId="7" numFmtId="10" xfId="0" applyFont="1" applyNumberFormat="1"/>
    <xf borderId="4" fillId="5" fontId="7" numFmtId="164" xfId="0" applyAlignment="1" applyBorder="1" applyFont="1" applyNumberFormat="1">
      <alignment horizontal="center" vertical="center"/>
    </xf>
    <xf borderId="1" fillId="4" fontId="5" numFmtId="0" xfId="0" applyBorder="1" applyFont="1"/>
    <xf borderId="1" fillId="4" fontId="1" numFmtId="0" xfId="0" applyBorder="1" applyFont="1"/>
    <xf borderId="4" fillId="5" fontId="7" numFmtId="166" xfId="0" applyAlignment="1" applyBorder="1" applyFont="1" applyNumberFormat="1">
      <alignment horizontal="center" vertical="center"/>
    </xf>
    <xf borderId="1" fillId="4" fontId="9" numFmtId="164" xfId="0" applyAlignment="1" applyBorder="1" applyFont="1" applyNumberFormat="1">
      <alignment horizontal="right"/>
    </xf>
    <xf borderId="1" fillId="4" fontId="1" numFmtId="166" xfId="0" applyBorder="1" applyFont="1" applyNumberFormat="1"/>
    <xf borderId="4" fillId="5" fontId="7" numFmtId="165" xfId="0" applyAlignment="1" applyBorder="1" applyFont="1" applyNumberFormat="1">
      <alignment horizontal="center" vertical="center"/>
    </xf>
    <xf borderId="1" fillId="4" fontId="1" numFmtId="165" xfId="0" applyBorder="1" applyFont="1" applyNumberFormat="1"/>
    <xf borderId="5" fillId="6" fontId="7" numFmtId="164" xfId="0" applyAlignment="1" applyBorder="1" applyFill="1" applyFont="1" applyNumberFormat="1">
      <alignment horizontal="left"/>
    </xf>
    <xf borderId="6" fillId="0" fontId="1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5" fillId="6" fontId="7" numFmtId="168" xfId="0" applyBorder="1" applyFont="1" applyNumberFormat="1"/>
    <xf borderId="8" fillId="4" fontId="11" numFmtId="0" xfId="0" applyAlignment="1" applyBorder="1" applyFont="1">
      <alignment horizontal="center" vertical="center"/>
    </xf>
    <xf borderId="9" fillId="3" fontId="10" numFmtId="0" xfId="0" applyBorder="1" applyFont="1"/>
    <xf borderId="5" fillId="6" fontId="7" numFmtId="9" xfId="0" applyAlignment="1" applyBorder="1" applyFont="1" applyNumberFormat="1">
      <alignment horizontal="center"/>
    </xf>
    <xf borderId="10" fillId="0" fontId="12" numFmtId="0" xfId="0" applyBorder="1" applyFont="1"/>
    <xf borderId="11" fillId="4" fontId="1" numFmtId="164" xfId="0" applyBorder="1" applyFont="1" applyNumberFormat="1"/>
    <xf borderId="0" fillId="0" fontId="1" numFmtId="9" xfId="0" applyFont="1" applyNumberFormat="1"/>
    <xf borderId="12" fillId="0" fontId="12" numFmtId="0" xfId="0" applyBorder="1" applyFont="1"/>
    <xf borderId="13" fillId="4" fontId="11" numFmtId="0" xfId="0" applyBorder="1" applyFont="1"/>
    <xf borderId="14" fillId="4" fontId="1" numFmtId="164" xfId="0" applyBorder="1" applyFont="1" applyNumberFormat="1"/>
    <xf borderId="0" fillId="0" fontId="13" numFmtId="0" xfId="0" applyFont="1"/>
    <xf borderId="15" fillId="4" fontId="1" numFmtId="164" xfId="0" applyBorder="1" applyFont="1" applyNumberFormat="1"/>
    <xf borderId="4" fillId="5" fontId="7" numFmtId="164" xfId="0" applyAlignment="1" applyBorder="1" applyFont="1" applyNumberFormat="1">
      <alignment horizontal="left" vertical="center"/>
    </xf>
    <xf borderId="0" fillId="0" fontId="14" numFmtId="165" xfId="0" applyAlignment="1" applyFont="1" applyNumberFormat="1">
      <alignment horizontal="center"/>
    </xf>
    <xf borderId="0" fillId="0" fontId="15" numFmtId="0" xfId="0" applyFont="1"/>
    <xf borderId="0" fillId="0" fontId="14" numFmtId="0" xfId="0" applyFont="1"/>
    <xf borderId="4" fillId="5" fontId="7" numFmtId="166" xfId="0" applyAlignment="1" applyBorder="1" applyFont="1" applyNumberFormat="1">
      <alignment horizontal="left" vertical="center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8" numFmtId="0" xfId="0" applyFont="1"/>
    <xf borderId="0" fillId="0" fontId="14" numFmtId="0" xfId="0" applyAlignment="1" applyFont="1">
      <alignment horizontal="center"/>
    </xf>
    <xf borderId="5" fillId="6" fontId="7" numFmtId="166" xfId="0" applyBorder="1" applyFont="1" applyNumberFormat="1"/>
    <xf borderId="0" fillId="0" fontId="19" numFmtId="0" xfId="0" applyFont="1"/>
    <xf borderId="0" fillId="0" fontId="20" numFmtId="9" xfId="0" applyAlignment="1" applyFont="1" applyNumberFormat="1">
      <alignment horizontal="center"/>
    </xf>
    <xf borderId="16" fillId="0" fontId="12" numFmtId="0" xfId="0" applyBorder="1" applyFont="1"/>
    <xf borderId="17" fillId="6" fontId="7" numFmtId="164" xfId="0" applyAlignment="1" applyBorder="1" applyFont="1" applyNumberFormat="1">
      <alignment horizontal="left"/>
    </xf>
    <xf borderId="17" fillId="6" fontId="7" numFmtId="164" xfId="0" applyBorder="1" applyFont="1" applyNumberFormat="1"/>
    <xf borderId="17" fillId="6" fontId="7" numFmtId="166" xfId="0" applyBorder="1" applyFont="1" applyNumberForma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18" fillId="0" fontId="1" numFmtId="9" xfId="0" applyAlignment="1" applyBorder="1" applyFont="1" applyNumberFormat="1">
      <alignment horizontal="center"/>
    </xf>
    <xf borderId="0" fillId="0" fontId="7" numFmtId="166" xfId="0" applyFont="1" applyNumberForma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8" fillId="0" fontId="1" numFmtId="0" xfId="0" applyAlignment="1" applyBorder="1" applyFont="1">
      <alignment vertical="center"/>
    </xf>
    <xf borderId="18" fillId="0" fontId="1" numFmtId="165" xfId="0" applyAlignment="1" applyBorder="1" applyFont="1" applyNumberFormat="1">
      <alignment vertical="center"/>
    </xf>
    <xf borderId="18" fillId="0" fontId="1" numFmtId="0" xfId="0" applyBorder="1" applyFont="1"/>
    <xf borderId="0" fillId="0" fontId="1" numFmtId="0" xfId="0" applyAlignment="1" applyFont="1">
      <alignment horizontal="left"/>
    </xf>
    <xf borderId="3" fillId="0" fontId="7" numFmtId="164" xfId="0" applyAlignment="1" applyBorder="1" applyFont="1" applyNumberFormat="1">
      <alignment horizontal="left"/>
    </xf>
    <xf borderId="0" fillId="0" fontId="2" numFmtId="164" xfId="0" applyFont="1" applyNumberFormat="1"/>
    <xf borderId="0" fillId="0" fontId="21" numFmtId="164" xfId="0" applyFont="1" applyNumberFormat="1"/>
    <xf borderId="3" fillId="0" fontId="7" numFmtId="167" xfId="0" applyBorder="1" applyFont="1" applyNumberFormat="1"/>
    <xf borderId="3" fillId="0" fontId="7" numFmtId="10" xfId="0" applyBorder="1" applyFont="1" applyNumberFormat="1"/>
    <xf borderId="1" fillId="3" fontId="10" numFmtId="0" xfId="0" applyBorder="1" applyFont="1"/>
    <xf borderId="0" fillId="0" fontId="7" numFmtId="0" xfId="0" applyAlignment="1" applyFont="1">
      <alignment horizontal="left"/>
    </xf>
    <xf borderId="0" fillId="0" fontId="10" numFmtId="0" xfId="0" applyFont="1"/>
    <xf borderId="19" fillId="7" fontId="7" numFmtId="164" xfId="0" applyAlignment="1" applyBorder="1" applyFill="1" applyFont="1" applyNumberFormat="1">
      <alignment horizontal="left"/>
    </xf>
    <xf borderId="18" fillId="0" fontId="1" numFmtId="165" xfId="0" applyBorder="1" applyFont="1" applyNumberFormat="1"/>
    <xf borderId="3" fillId="0" fontId="7" numFmtId="169" xfId="0" applyBorder="1" applyFont="1" applyNumberFormat="1"/>
    <xf borderId="5" fillId="5" fontId="7" numFmtId="164" xfId="0" applyAlignment="1" applyBorder="1" applyFont="1" applyNumberFormat="1">
      <alignment horizontal="left" vertical="center"/>
    </xf>
    <xf borderId="5" fillId="5" fontId="7" numFmtId="164" xfId="0" applyAlignment="1" applyBorder="1" applyFont="1" applyNumberFormat="1">
      <alignment vertical="center"/>
    </xf>
    <xf borderId="5" fillId="5" fontId="7" numFmtId="166" xfId="0" applyAlignment="1" applyBorder="1" applyFont="1" applyNumberFormat="1">
      <alignment vertical="center"/>
    </xf>
    <xf borderId="5" fillId="5" fontId="7" numFmtId="165" xfId="0" applyAlignment="1" applyBorder="1" applyFont="1" applyNumberFormat="1">
      <alignment horizontal="center" vertical="center"/>
    </xf>
    <xf borderId="0" fillId="0" fontId="7" numFmtId="164" xfId="0" applyFont="1" applyNumberFormat="1"/>
    <xf borderId="1" fillId="7" fontId="7" numFmtId="164" xfId="0" applyAlignment="1" applyBorder="1" applyFont="1" applyNumberFormat="1">
      <alignment horizontal="left"/>
    </xf>
    <xf borderId="20" fillId="0" fontId="7" numFmtId="164" xfId="0" applyBorder="1" applyFont="1" applyNumberFormat="1"/>
    <xf borderId="0" fillId="0" fontId="7" numFmtId="165" xfId="0" applyFont="1" applyNumberFormat="1"/>
    <xf borderId="19" fillId="7" fontId="7" numFmtId="165" xfId="0" applyBorder="1" applyFont="1" applyNumberFormat="1"/>
    <xf borderId="1" fillId="8" fontId="22" numFmtId="0" xfId="0" applyBorder="1" applyFill="1" applyFont="1"/>
    <xf borderId="0" fillId="0" fontId="13" numFmtId="165" xfId="0" applyFont="1" applyNumberFormat="1"/>
    <xf borderId="0" fillId="0" fontId="23" numFmtId="0" xfId="0" applyFont="1"/>
    <xf borderId="20" fillId="0" fontId="7" numFmtId="164" xfId="0" applyAlignment="1" applyBorder="1" applyFont="1" applyNumberFormat="1">
      <alignment horizontal="left"/>
    </xf>
    <xf borderId="0" fillId="0" fontId="7" numFmtId="0" xfId="0" applyFont="1"/>
    <xf borderId="0" fillId="0" fontId="1" numFmtId="165" xfId="0" applyAlignment="1" applyFont="1" applyNumberFormat="1">
      <alignment horizontal="center" vertical="center"/>
    </xf>
    <xf borderId="21" fillId="2" fontId="7" numFmtId="10" xfId="0" applyBorder="1" applyFont="1" applyNumberFormat="1"/>
    <xf borderId="21" fillId="2" fontId="7" numFmtId="164" xfId="0" applyBorder="1" applyFont="1" applyNumberFormat="1"/>
    <xf borderId="21" fillId="2" fontId="7" numFmtId="170" xfId="0" applyBorder="1" applyFont="1" applyNumberFormat="1"/>
    <xf borderId="20" fillId="0" fontId="4" numFmtId="164" xfId="0" applyAlignment="1" applyBorder="1" applyFont="1" applyNumberFormat="1">
      <alignment horizontal="left"/>
    </xf>
    <xf borderId="0" fillId="0" fontId="4" numFmtId="164" xfId="0" applyAlignment="1" applyFont="1" applyNumberFormat="1">
      <alignment horizontal="left"/>
    </xf>
    <xf borderId="0" fillId="0" fontId="13" numFmtId="164" xfId="0" applyFont="1" applyNumberFormat="1"/>
    <xf borderId="0" fillId="0" fontId="1" numFmtId="171" xfId="0" applyFont="1" applyNumberFormat="1"/>
    <xf borderId="0" fillId="0" fontId="9" numFmtId="164" xfId="0" applyAlignment="1" applyFont="1" applyNumberFormat="1">
      <alignment horizontal="left"/>
    </xf>
    <xf borderId="22" fillId="0" fontId="7" numFmtId="164" xfId="0" applyAlignment="1" applyBorder="1" applyFont="1" applyNumberFormat="1">
      <alignment horizontal="left"/>
    </xf>
    <xf borderId="22" fillId="0" fontId="7" numFmtId="164" xfId="0" applyBorder="1" applyFont="1" applyNumberFormat="1"/>
    <xf borderId="0" fillId="0" fontId="24" numFmtId="10" xfId="0" applyAlignment="1" applyFont="1" applyNumberFormat="1">
      <alignment horizontal="right"/>
    </xf>
    <xf borderId="0" fillId="0" fontId="24" numFmtId="0" xfId="0" applyAlignment="1" applyFont="1">
      <alignment horizontal="right"/>
    </xf>
    <xf borderId="0" fillId="0" fontId="24" numFmtId="164" xfId="0" applyAlignment="1" applyFont="1" applyNumberFormat="1">
      <alignment horizontal="right"/>
    </xf>
    <xf borderId="0" fillId="0" fontId="8" numFmtId="0" xfId="0" applyFont="1"/>
    <xf borderId="1" fillId="9" fontId="22" numFmtId="0" xfId="0" applyBorder="1" applyFill="1" applyFont="1"/>
    <xf borderId="1" fillId="9" fontId="22" numFmtId="172" xfId="0" applyBorder="1" applyFont="1" applyNumberFormat="1"/>
    <xf borderId="0" fillId="0" fontId="22" numFmtId="0" xfId="0" applyFont="1"/>
    <xf borderId="0" fillId="0" fontId="22" numFmtId="172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507150038"/>
        <c:axId val="1630496223"/>
      </c:lineChart>
      <c:catAx>
        <c:axId val="507150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630496223"/>
      </c:catAx>
      <c:valAx>
        <c:axId val="16304962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0715003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Vegetação Nativa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axId val="1653277362"/>
        <c:axId val="2071297315"/>
      </c:lineChart>
      <c:catAx>
        <c:axId val="1653277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2071297315"/>
      </c:catAx>
      <c:valAx>
        <c:axId val="2071297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327736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HISTORICO'!$B$48:$AN$48</c:f>
              <c:numCache/>
            </c:numRef>
          </c:val>
          <c:smooth val="0"/>
        </c:ser>
        <c:axId val="125917445"/>
        <c:axId val="1074845462"/>
      </c:lineChart>
      <c:catAx>
        <c:axId val="125917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074845462"/>
      </c:catAx>
      <c:valAx>
        <c:axId val="1074845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91744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HISTORICO'!$B$49:$AN$49</c:f>
              <c:numCache/>
            </c:numRef>
          </c:val>
          <c:smooth val="0"/>
        </c:ser>
        <c:axId val="542784486"/>
        <c:axId val="808914983"/>
      </c:lineChart>
      <c:catAx>
        <c:axId val="542784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808914983"/>
      </c:catAx>
      <c:valAx>
        <c:axId val="808914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2784486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64</xdr:row>
      <xdr:rowOff>76200</xdr:rowOff>
    </xdr:from>
    <xdr:ext cx="5143500" cy="2705100"/>
    <xdr:graphicFrame>
      <xdr:nvGraphicFramePr>
        <xdr:cNvPr id="124379357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123825</xdr:colOff>
      <xdr:row>64</xdr:row>
      <xdr:rowOff>85725</xdr:rowOff>
    </xdr:from>
    <xdr:ext cx="5191125" cy="2705100"/>
    <xdr:graphicFrame>
      <xdr:nvGraphicFramePr>
        <xdr:cNvPr id="2062564105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50</xdr:row>
      <xdr:rowOff>28575</xdr:rowOff>
    </xdr:from>
    <xdr:ext cx="5210175" cy="2705100"/>
    <xdr:graphicFrame>
      <xdr:nvGraphicFramePr>
        <xdr:cNvPr id="100586915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781050</xdr:colOff>
      <xdr:row>50</xdr:row>
      <xdr:rowOff>47625</xdr:rowOff>
    </xdr:from>
    <xdr:ext cx="5143500" cy="2705100"/>
    <xdr:graphicFrame>
      <xdr:nvGraphicFramePr>
        <xdr:cNvPr id="309719703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2"/>
      <c r="B2" s="2" t="s">
        <v>1</v>
      </c>
      <c r="C2" s="2" t="s">
        <v>2</v>
      </c>
      <c r="D2" s="2" t="s">
        <v>3</v>
      </c>
    </row>
    <row r="3" ht="15.75" customHeight="1">
      <c r="A3" s="6" t="s">
        <v>4</v>
      </c>
      <c r="B3" s="7">
        <v>4.207828033E8</v>
      </c>
      <c r="C3" s="13">
        <f t="shared" ref="C3:C9" si="1">B3/1000000</f>
        <v>420.7828033</v>
      </c>
      <c r="D3" s="10">
        <f t="shared" ref="D3:D8" si="2">C3/C$9</f>
        <v>0.4946632649</v>
      </c>
    </row>
    <row r="4" ht="15.75" customHeight="1">
      <c r="A4" s="6" t="s">
        <v>8</v>
      </c>
      <c r="B4" s="7">
        <v>8.626110405E7</v>
      </c>
      <c r="C4" s="13">
        <f t="shared" si="1"/>
        <v>86.26110405</v>
      </c>
      <c r="D4" s="10">
        <f t="shared" si="2"/>
        <v>0.1014067092</v>
      </c>
    </row>
    <row r="5" ht="15.75" customHeight="1">
      <c r="A5" s="6" t="s">
        <v>15</v>
      </c>
      <c r="B5" s="7">
        <v>2.004390674E8</v>
      </c>
      <c r="C5" s="13">
        <f t="shared" si="1"/>
        <v>200.4390674</v>
      </c>
      <c r="D5" s="10">
        <f t="shared" si="2"/>
        <v>0.2356318811</v>
      </c>
    </row>
    <row r="6" ht="15.75" customHeight="1">
      <c r="A6" s="6" t="s">
        <v>17</v>
      </c>
      <c r="B6" s="7">
        <v>1.086744891E8</v>
      </c>
      <c r="C6" s="13">
        <f t="shared" si="1"/>
        <v>108.6744891</v>
      </c>
      <c r="D6" s="10">
        <f t="shared" si="2"/>
        <v>0.1277554053</v>
      </c>
    </row>
    <row r="7" ht="15.75" customHeight="1">
      <c r="A7" s="6" t="s">
        <v>18</v>
      </c>
      <c r="B7" s="7">
        <v>1.939351615E7</v>
      </c>
      <c r="C7" s="13">
        <f t="shared" si="1"/>
        <v>19.39351615</v>
      </c>
      <c r="D7" s="10">
        <f t="shared" si="2"/>
        <v>0.02279860285</v>
      </c>
    </row>
    <row r="8" ht="15.75" customHeight="1">
      <c r="A8" s="6" t="s">
        <v>19</v>
      </c>
      <c r="B8" s="7">
        <v>1.509396001E7</v>
      </c>
      <c r="C8" s="13">
        <f t="shared" si="1"/>
        <v>15.09396001</v>
      </c>
      <c r="D8" s="10">
        <f t="shared" si="2"/>
        <v>0.0177441366</v>
      </c>
    </row>
    <row r="9" ht="15.75" customHeight="1">
      <c r="A9" s="22" t="s">
        <v>20</v>
      </c>
      <c r="B9" s="24">
        <f>SUM(B3:B8)</f>
        <v>850644940</v>
      </c>
      <c r="C9" s="27">
        <f t="shared" si="1"/>
        <v>850.64494</v>
      </c>
      <c r="D9" s="2"/>
    </row>
    <row r="10" ht="15.75" customHeight="1"/>
    <row r="11" ht="15.75" customHeight="1"/>
    <row r="12" ht="15.75" customHeight="1">
      <c r="A12" s="2"/>
      <c r="B12" s="2" t="s">
        <v>1</v>
      </c>
      <c r="C12" s="2" t="s">
        <v>2</v>
      </c>
      <c r="D12" s="2" t="s">
        <v>3</v>
      </c>
    </row>
    <row r="13" ht="15.75" customHeight="1">
      <c r="A13" s="6" t="s">
        <v>21</v>
      </c>
      <c r="B13" s="32">
        <v>5.05743963971196E8</v>
      </c>
      <c r="C13" s="13">
        <f t="shared" ref="C13:C19" si="3">B13/1000000</f>
        <v>505.743964</v>
      </c>
      <c r="D13" s="10">
        <f t="shared" ref="D13:D18" si="4">C13/C$9</f>
        <v>0.5945417885</v>
      </c>
    </row>
    <row r="14" ht="15.75" customHeight="1">
      <c r="A14" s="6" t="s">
        <v>23</v>
      </c>
      <c r="B14" s="32">
        <v>4.5916553319222786E7</v>
      </c>
      <c r="C14" s="13">
        <f t="shared" si="3"/>
        <v>45.91655332</v>
      </c>
      <c r="D14" s="10">
        <f t="shared" si="4"/>
        <v>0.05397851813</v>
      </c>
    </row>
    <row r="15" ht="15.75" customHeight="1">
      <c r="A15" s="6" t="s">
        <v>25</v>
      </c>
      <c r="B15" s="32">
        <v>2.733145849763439E8</v>
      </c>
      <c r="C15" s="13">
        <f t="shared" si="3"/>
        <v>273.314585</v>
      </c>
      <c r="D15" s="10">
        <f t="shared" si="4"/>
        <v>0.3213027811</v>
      </c>
    </row>
    <row r="16" ht="15.75" customHeight="1">
      <c r="A16" s="6" t="s">
        <v>26</v>
      </c>
      <c r="B16" s="32">
        <v>6374980.097670273</v>
      </c>
      <c r="C16" s="13">
        <f t="shared" si="3"/>
        <v>6.374980098</v>
      </c>
      <c r="D16" s="10">
        <f t="shared" si="4"/>
        <v>0.007494290271</v>
      </c>
    </row>
    <row r="17" ht="15.75" customHeight="1">
      <c r="A17" s="6" t="s">
        <v>28</v>
      </c>
      <c r="B17" s="32">
        <v>1.929361521263376E7</v>
      </c>
      <c r="C17" s="13">
        <f t="shared" si="3"/>
        <v>19.29361521</v>
      </c>
      <c r="D17" s="10">
        <f t="shared" si="4"/>
        <v>0.02268116144</v>
      </c>
    </row>
    <row r="18" ht="15.75" customHeight="1">
      <c r="A18" s="39" t="s">
        <v>29</v>
      </c>
      <c r="B18" s="41">
        <v>1242.4168973205565</v>
      </c>
      <c r="C18" s="42">
        <f t="shared" si="3"/>
        <v>0.001242416897</v>
      </c>
      <c r="D18" s="44">
        <f t="shared" si="4"/>
        <v>0.000001460558735</v>
      </c>
    </row>
    <row r="19" ht="15.75" customHeight="1">
      <c r="A19" s="22" t="s">
        <v>20</v>
      </c>
      <c r="B19" s="24">
        <f>SUM(B13:B18)</f>
        <v>850644940</v>
      </c>
      <c r="C19" s="27">
        <f t="shared" si="3"/>
        <v>850.64494</v>
      </c>
      <c r="D19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34.0"/>
    <col customWidth="1" min="3" max="3" width="21.56"/>
    <col customWidth="1" min="4" max="4" width="22.44"/>
    <col customWidth="1" min="5" max="5" width="16.44"/>
    <col customWidth="1" min="6" max="6" width="11.0"/>
    <col customWidth="1" min="7" max="7" width="18.11"/>
    <col customWidth="1" min="8" max="8" width="12.11"/>
    <col customWidth="1" min="9" max="9" width="6.56"/>
    <col customWidth="1" min="10" max="10" width="6.67"/>
    <col customWidth="1" min="11" max="11" width="17.44"/>
    <col customWidth="1" min="12" max="12" width="13.56"/>
    <col customWidth="1" min="13" max="13" width="11.0"/>
    <col customWidth="1" min="14" max="14" width="10.56"/>
    <col customWidth="1" min="15" max="15" width="21.11"/>
    <col customWidth="1" min="16" max="16" width="13.56"/>
    <col customWidth="1" min="17" max="22" width="11.0"/>
    <col customWidth="1" min="23" max="26" width="11.44"/>
  </cols>
  <sheetData>
    <row r="1">
      <c r="J1" s="10"/>
      <c r="N1" s="11"/>
    </row>
    <row r="2">
      <c r="A2" s="12" t="s">
        <v>5</v>
      </c>
      <c r="J2" s="10"/>
      <c r="N2" s="11"/>
    </row>
    <row r="3" ht="15.75" customHeight="1">
      <c r="G3" s="6"/>
      <c r="H3" s="6"/>
      <c r="I3" s="6"/>
      <c r="J3" s="10"/>
      <c r="K3" s="6"/>
      <c r="L3" s="6"/>
      <c r="M3" s="6"/>
      <c r="N3" s="11"/>
    </row>
    <row r="4" ht="15.75" customHeight="1">
      <c r="C4" s="17" t="s">
        <v>10</v>
      </c>
      <c r="D4" s="17" t="s">
        <v>12</v>
      </c>
      <c r="G4" s="6"/>
      <c r="H4" s="6"/>
      <c r="I4" s="6"/>
      <c r="J4" s="10"/>
      <c r="K4" s="6"/>
      <c r="L4" s="6"/>
      <c r="M4" s="6"/>
      <c r="N4" s="11"/>
    </row>
    <row r="5" ht="15.75" customHeight="1">
      <c r="B5" s="19" t="s">
        <v>7</v>
      </c>
      <c r="C5" s="20">
        <v>3.279765451815543E8</v>
      </c>
      <c r="D5" s="23">
        <f t="shared" ref="D5:D36" si="1">C5/1000000</f>
        <v>327.9765452</v>
      </c>
      <c r="E5" s="26">
        <f t="shared" ref="E5:E35" si="2">C5/$C$36</f>
        <v>0.7794437953</v>
      </c>
      <c r="G5" s="28"/>
      <c r="H5" s="29"/>
      <c r="I5" s="30"/>
      <c r="J5" s="31"/>
      <c r="K5" s="6"/>
      <c r="L5" s="6"/>
      <c r="M5" s="6"/>
      <c r="N5" s="11"/>
    </row>
    <row r="6" ht="15.75" customHeight="1">
      <c r="B6" s="33" t="s">
        <v>22</v>
      </c>
      <c r="C6" s="34">
        <v>2.8627036611265904E8</v>
      </c>
      <c r="D6" s="35">
        <f t="shared" si="1"/>
        <v>286.2703661</v>
      </c>
      <c r="E6" s="36">
        <f t="shared" si="2"/>
        <v>0.6803281024</v>
      </c>
      <c r="G6" s="37" t="s">
        <v>24</v>
      </c>
      <c r="H6" s="37">
        <f>C5</f>
        <v>327976545.2</v>
      </c>
      <c r="I6" s="40">
        <f>H6/1000000</f>
        <v>327.9765452</v>
      </c>
      <c r="J6" s="43">
        <f>E5</f>
        <v>0.7794437953</v>
      </c>
      <c r="K6" s="45" t="str">
        <f t="shared" ref="K6:L6" si="3">B6</f>
        <v>1.1. Forest Formation</v>
      </c>
      <c r="L6" s="45">
        <f t="shared" si="3"/>
        <v>286270366.1</v>
      </c>
      <c r="M6" s="48">
        <f t="shared" ref="M6:M9" si="5">L6/1000000</f>
        <v>286.2703661</v>
      </c>
      <c r="N6" s="51">
        <f t="shared" ref="N6:N9" si="6">M6/I$6</f>
        <v>0.8728379219</v>
      </c>
    </row>
    <row r="7" ht="15.75" customHeight="1">
      <c r="B7" s="33" t="s">
        <v>32</v>
      </c>
      <c r="C7" s="34">
        <v>3155783.388873341</v>
      </c>
      <c r="D7" s="35">
        <f t="shared" si="1"/>
        <v>3.155783389</v>
      </c>
      <c r="E7" s="36">
        <f t="shared" si="2"/>
        <v>0.007499791731</v>
      </c>
      <c r="G7" s="52"/>
      <c r="H7" s="52"/>
      <c r="I7" s="52"/>
      <c r="J7" s="52"/>
      <c r="K7" s="45" t="str">
        <f t="shared" ref="K7:L7" si="4">B7</f>
        <v>1.2. Savanna Formation</v>
      </c>
      <c r="L7" s="45">
        <f t="shared" si="4"/>
        <v>3155783.389</v>
      </c>
      <c r="M7" s="48">
        <f t="shared" si="5"/>
        <v>3.155783389</v>
      </c>
      <c r="N7" s="51">
        <f t="shared" si="6"/>
        <v>0.009621978874</v>
      </c>
    </row>
    <row r="8" ht="15.75" customHeight="1">
      <c r="B8" s="33" t="s">
        <v>33</v>
      </c>
      <c r="C8" s="34">
        <v>0.0</v>
      </c>
      <c r="D8" s="35">
        <f t="shared" si="1"/>
        <v>0</v>
      </c>
      <c r="E8" s="36">
        <f t="shared" si="2"/>
        <v>0</v>
      </c>
      <c r="G8" s="52"/>
      <c r="H8" s="52"/>
      <c r="I8" s="52"/>
      <c r="J8" s="52"/>
      <c r="K8" s="45" t="str">
        <f t="shared" ref="K8:L8" si="7">B9</f>
        <v>1.4. Mangrove</v>
      </c>
      <c r="L8" s="45">
        <f t="shared" si="7"/>
        <v>746837.3383</v>
      </c>
      <c r="M8" s="48">
        <f t="shared" si="5"/>
        <v>0.7468373383</v>
      </c>
      <c r="N8" s="51">
        <f t="shared" si="6"/>
        <v>0.002277105937</v>
      </c>
      <c r="O8" s="54"/>
    </row>
    <row r="9" ht="15.75" customHeight="1">
      <c r="B9" s="33" t="s">
        <v>34</v>
      </c>
      <c r="C9" s="34">
        <v>746837.338267849</v>
      </c>
      <c r="D9" s="35">
        <f t="shared" si="1"/>
        <v>0.7468373383</v>
      </c>
      <c r="E9" s="36">
        <f t="shared" si="2"/>
        <v>0.001774876094</v>
      </c>
      <c r="G9" s="55"/>
      <c r="H9" s="55"/>
      <c r="I9" s="55"/>
      <c r="J9" s="55"/>
      <c r="K9" s="45" t="str">
        <f t="shared" ref="K9:L9" si="8">B10</f>
        <v>1.5. Floodable Forest</v>
      </c>
      <c r="L9" s="45">
        <f t="shared" si="8"/>
        <v>37803558.34</v>
      </c>
      <c r="M9" s="48">
        <f t="shared" si="5"/>
        <v>37.80355834</v>
      </c>
      <c r="N9" s="51">
        <f t="shared" si="6"/>
        <v>0.1152629933</v>
      </c>
      <c r="O9" s="54"/>
    </row>
    <row r="10" ht="15.75" customHeight="1">
      <c r="B10" s="33" t="s">
        <v>35</v>
      </c>
      <c r="C10" s="34">
        <v>3.780355834175405E7</v>
      </c>
      <c r="D10" s="35">
        <f t="shared" si="1"/>
        <v>37.80355834</v>
      </c>
      <c r="E10" s="36">
        <f t="shared" si="2"/>
        <v>0.08984102498</v>
      </c>
      <c r="G10" s="28"/>
      <c r="H10" s="29"/>
      <c r="I10" s="30"/>
      <c r="J10" s="31"/>
      <c r="K10" s="6"/>
      <c r="L10" s="6"/>
      <c r="M10" s="6"/>
      <c r="N10" s="11"/>
    </row>
    <row r="11" ht="15.75" customHeight="1">
      <c r="B11" s="33" t="s">
        <v>37</v>
      </c>
      <c r="C11" s="33">
        <v>0.0</v>
      </c>
      <c r="D11" s="35">
        <f t="shared" si="1"/>
        <v>0</v>
      </c>
      <c r="E11" s="36">
        <f t="shared" si="2"/>
        <v>0</v>
      </c>
      <c r="G11" s="60" t="s">
        <v>38</v>
      </c>
      <c r="H11" s="60">
        <f>C12</f>
        <v>14763211.65</v>
      </c>
      <c r="I11" s="64">
        <f>H11/1000000</f>
        <v>14.76321165</v>
      </c>
      <c r="J11" s="43">
        <f>E12</f>
        <v>0.03508511169</v>
      </c>
      <c r="K11" s="45" t="str">
        <f t="shared" ref="K11:L11" si="9">B13</f>
        <v>2.1. Wetland</v>
      </c>
      <c r="L11" s="45">
        <f t="shared" si="9"/>
        <v>9010925.485</v>
      </c>
      <c r="M11" s="69">
        <f t="shared" ref="M11:M14" si="11">L11/1000000</f>
        <v>9.010925485</v>
      </c>
      <c r="N11" s="51">
        <f t="shared" ref="N11:N14" si="12">M11/I$11</f>
        <v>0.6103634967</v>
      </c>
    </row>
    <row r="12" ht="15.75" customHeight="1">
      <c r="B12" s="19" t="s">
        <v>9</v>
      </c>
      <c r="C12" s="20">
        <v>1.476321164915888E7</v>
      </c>
      <c r="D12" s="23">
        <f t="shared" si="1"/>
        <v>14.76321165</v>
      </c>
      <c r="E12" s="26">
        <f t="shared" si="2"/>
        <v>0.03508511169</v>
      </c>
      <c r="G12" s="52"/>
      <c r="H12" s="52"/>
      <c r="I12" s="52"/>
      <c r="J12" s="52"/>
      <c r="K12" s="45" t="str">
        <f t="shared" ref="K12:L12" si="10">B15</f>
        <v>2.3. Grassland Formation</v>
      </c>
      <c r="L12" s="45">
        <f t="shared" si="10"/>
        <v>5145418.207</v>
      </c>
      <c r="M12" s="69">
        <f t="shared" si="11"/>
        <v>5.145418207</v>
      </c>
      <c r="N12" s="51">
        <f t="shared" si="12"/>
        <v>0.3485297325</v>
      </c>
    </row>
    <row r="13" ht="15.75" customHeight="1">
      <c r="B13" s="33" t="s">
        <v>45</v>
      </c>
      <c r="C13" s="34">
        <v>9010925.484620834</v>
      </c>
      <c r="D13" s="35">
        <f t="shared" si="1"/>
        <v>9.010925485</v>
      </c>
      <c r="E13" s="36">
        <f t="shared" si="2"/>
        <v>0.02141467145</v>
      </c>
      <c r="G13" s="52"/>
      <c r="H13" s="52"/>
      <c r="I13" s="52"/>
      <c r="J13" s="52"/>
      <c r="K13" s="45" t="str">
        <f t="shared" ref="K13:L13" si="13">B18</f>
        <v>2.6. Rocky Outcrop</v>
      </c>
      <c r="L13" s="45">
        <f t="shared" si="13"/>
        <v>582703.1498</v>
      </c>
      <c r="M13" s="69">
        <f t="shared" si="11"/>
        <v>0.5827031498</v>
      </c>
      <c r="N13" s="51">
        <f t="shared" si="12"/>
        <v>0.03946994486</v>
      </c>
    </row>
    <row r="14" ht="15.75" customHeight="1">
      <c r="B14" s="33" t="s">
        <v>46</v>
      </c>
      <c r="C14" s="34">
        <v>0.0</v>
      </c>
      <c r="D14" s="35">
        <f t="shared" si="1"/>
        <v>0</v>
      </c>
      <c r="E14" s="36">
        <f t="shared" si="2"/>
        <v>0</v>
      </c>
      <c r="G14" s="72"/>
      <c r="H14" s="72"/>
      <c r="I14" s="72"/>
      <c r="J14" s="72"/>
      <c r="K14" s="73" t="s">
        <v>47</v>
      </c>
      <c r="L14" s="74">
        <f>SUM(C14,C16,C17,C19,)</f>
        <v>24164.80788</v>
      </c>
      <c r="M14" s="75">
        <f t="shared" si="11"/>
        <v>0.02416480788</v>
      </c>
      <c r="N14" s="51">
        <f t="shared" si="12"/>
        <v>0.001636825947</v>
      </c>
    </row>
    <row r="15" ht="15.75" customHeight="1">
      <c r="B15" s="33" t="s">
        <v>48</v>
      </c>
      <c r="C15" s="34">
        <v>5145418.206903252</v>
      </c>
      <c r="D15" s="35">
        <f t="shared" si="1"/>
        <v>5.145418207</v>
      </c>
      <c r="E15" s="36">
        <f t="shared" si="2"/>
        <v>0.01222820459</v>
      </c>
      <c r="G15" s="76"/>
      <c r="H15" s="77"/>
      <c r="I15" s="77"/>
      <c r="J15" s="78"/>
      <c r="K15" s="6"/>
      <c r="L15" s="6"/>
      <c r="M15" s="6"/>
      <c r="N15" s="79"/>
      <c r="O15" s="80"/>
    </row>
    <row r="16" ht="15.75" customHeight="1">
      <c r="B16" s="33" t="s">
        <v>50</v>
      </c>
      <c r="C16" s="34">
        <v>0.0</v>
      </c>
      <c r="D16" s="35">
        <f t="shared" si="1"/>
        <v>0</v>
      </c>
      <c r="E16" s="36">
        <f t="shared" si="2"/>
        <v>0</v>
      </c>
      <c r="G16" s="60" t="s">
        <v>51</v>
      </c>
      <c r="H16" s="37">
        <f>C20</f>
        <v>65265980.6</v>
      </c>
      <c r="I16" s="40">
        <f>H16/1000000</f>
        <v>65.2659806</v>
      </c>
      <c r="J16" s="43">
        <f>E20</f>
        <v>0.1551061024</v>
      </c>
      <c r="K16" s="45" t="str">
        <f t="shared" ref="K16:L16" si="14">B21</f>
        <v>3.1. Pasture</v>
      </c>
      <c r="L16" s="45">
        <f t="shared" si="14"/>
        <v>50828179.53</v>
      </c>
      <c r="M16" s="69">
        <f t="shared" ref="M16:M19" si="16">L16/1000000</f>
        <v>50.82817953</v>
      </c>
      <c r="N16" s="51">
        <f t="shared" ref="N16:N19" si="17">M16/I$16</f>
        <v>0.7787851966</v>
      </c>
      <c r="O16" s="80"/>
    </row>
    <row r="17" ht="15.75" customHeight="1">
      <c r="B17" s="33" t="s">
        <v>67</v>
      </c>
      <c r="C17" s="34">
        <v>24163.379238476722</v>
      </c>
      <c r="D17" s="35">
        <f t="shared" si="1"/>
        <v>0.02416337924</v>
      </c>
      <c r="E17" s="36">
        <f t="shared" si="2"/>
        <v>0.00005742482594</v>
      </c>
      <c r="G17" s="52"/>
      <c r="H17" s="52"/>
      <c r="I17" s="52"/>
      <c r="J17" s="52"/>
      <c r="K17" s="45" t="str">
        <f t="shared" ref="K17:L17" si="15">B22</f>
        <v>3.2. Agriculture</v>
      </c>
      <c r="L17" s="45">
        <f t="shared" si="15"/>
        <v>8647890.595</v>
      </c>
      <c r="M17" s="69">
        <f t="shared" si="16"/>
        <v>8.647890595</v>
      </c>
      <c r="N17" s="51">
        <f t="shared" si="17"/>
        <v>0.1325022702</v>
      </c>
    </row>
    <row r="18" ht="15.75" customHeight="1">
      <c r="B18" s="33" t="s">
        <v>78</v>
      </c>
      <c r="C18" s="34">
        <v>582703.1497510676</v>
      </c>
      <c r="D18" s="35">
        <f t="shared" si="1"/>
        <v>0.5827031498</v>
      </c>
      <c r="E18" s="36">
        <f t="shared" si="2"/>
        <v>0.001384807424</v>
      </c>
      <c r="G18" s="52"/>
      <c r="H18" s="52"/>
      <c r="I18" s="52"/>
      <c r="J18" s="52"/>
      <c r="K18" s="45" t="str">
        <f t="shared" ref="K18:L18" si="18">B23</f>
        <v>3.3. Forest Plantation</v>
      </c>
      <c r="L18" s="45">
        <f t="shared" si="18"/>
        <v>334775.4404</v>
      </c>
      <c r="M18" s="69">
        <f t="shared" si="16"/>
        <v>0.3347754404</v>
      </c>
      <c r="N18" s="51">
        <f t="shared" si="17"/>
        <v>0.005129401832</v>
      </c>
      <c r="O18" s="80"/>
    </row>
    <row r="19" ht="15.75" customHeight="1">
      <c r="B19" s="33" t="s">
        <v>79</v>
      </c>
      <c r="C19" s="34">
        <v>1.428645251464844</v>
      </c>
      <c r="D19" s="35">
        <f t="shared" si="1"/>
        <v>0.000001428645251</v>
      </c>
      <c r="E19" s="36">
        <f t="shared" si="2"/>
        <v>0.000000003395208265</v>
      </c>
      <c r="G19" s="55"/>
      <c r="H19" s="55"/>
      <c r="I19" s="55"/>
      <c r="J19" s="55"/>
      <c r="K19" s="45" t="str">
        <f t="shared" ref="K19:L19" si="19">B24</f>
        <v>3.4. Mosaic of Uses</v>
      </c>
      <c r="L19" s="45">
        <f t="shared" si="19"/>
        <v>5455135.031</v>
      </c>
      <c r="M19" s="69">
        <f t="shared" si="16"/>
        <v>5.455135031</v>
      </c>
      <c r="N19" s="51">
        <f t="shared" si="17"/>
        <v>0.08358313139</v>
      </c>
      <c r="O19" s="80"/>
    </row>
    <row r="20" ht="15.75" customHeight="1">
      <c r="B20" s="19" t="s">
        <v>11</v>
      </c>
      <c r="C20" s="20">
        <v>6.52659805957026E7</v>
      </c>
      <c r="D20" s="23">
        <f t="shared" si="1"/>
        <v>65.2659806</v>
      </c>
      <c r="E20" s="26">
        <f t="shared" si="2"/>
        <v>0.1551061024</v>
      </c>
      <c r="G20" s="84"/>
      <c r="H20" s="84"/>
      <c r="I20" s="84"/>
      <c r="J20" s="85"/>
      <c r="K20" s="86"/>
      <c r="L20" s="86"/>
      <c r="M20" s="86"/>
      <c r="N20" s="79"/>
      <c r="O20" s="80"/>
    </row>
    <row r="21" ht="15.75" customHeight="1">
      <c r="B21" s="33" t="s">
        <v>80</v>
      </c>
      <c r="C21" s="34">
        <v>5.0828179528752916E7</v>
      </c>
      <c r="D21" s="35">
        <f t="shared" si="1"/>
        <v>50.82817953</v>
      </c>
      <c r="E21" s="36">
        <f t="shared" si="2"/>
        <v>0.1207943365</v>
      </c>
      <c r="G21" s="37" t="s">
        <v>81</v>
      </c>
      <c r="H21" s="37">
        <f>C25</f>
        <v>1193448.779</v>
      </c>
      <c r="I21" s="40">
        <f>H21/1000000</f>
        <v>1.193448779</v>
      </c>
      <c r="J21" s="43">
        <f>E25</f>
        <v>0.002836258444</v>
      </c>
      <c r="K21" s="45" t="str">
        <f t="shared" ref="K21:L21" si="20">B26</f>
        <v>4.1. Beach, Dune and Sand Spot</v>
      </c>
      <c r="L21" s="45">
        <f t="shared" si="20"/>
        <v>7303.748525</v>
      </c>
      <c r="M21" s="69">
        <f t="shared" ref="M21:M26" si="22">L21/1000000</f>
        <v>0.007303748525</v>
      </c>
      <c r="N21" s="51">
        <f t="shared" ref="N21:N26" si="23">M21/$I$21</f>
        <v>0.00611986761</v>
      </c>
      <c r="O21" s="80"/>
    </row>
    <row r="22" ht="15.75" customHeight="1">
      <c r="B22" s="88" t="s">
        <v>82</v>
      </c>
      <c r="C22" s="34">
        <v>8647890.595243888</v>
      </c>
      <c r="D22" s="91">
        <f t="shared" si="1"/>
        <v>8.647890595</v>
      </c>
      <c r="E22" s="92">
        <f t="shared" si="2"/>
        <v>0.02055191069</v>
      </c>
      <c r="G22" s="52"/>
      <c r="H22" s="52"/>
      <c r="I22" s="52"/>
      <c r="J22" s="52"/>
      <c r="K22" s="45" t="str">
        <f t="shared" ref="K22:L22" si="21">B27</f>
        <v>4.2. Urban Area</v>
      </c>
      <c r="L22" s="45">
        <f t="shared" si="21"/>
        <v>477117.9382</v>
      </c>
      <c r="M22" s="69">
        <f t="shared" si="22"/>
        <v>0.4771179382</v>
      </c>
      <c r="N22" s="51">
        <f t="shared" si="23"/>
        <v>0.3997808257</v>
      </c>
    </row>
    <row r="23" ht="15.75" customHeight="1">
      <c r="B23" s="33" t="s">
        <v>84</v>
      </c>
      <c r="C23" s="34">
        <v>334775.44044137484</v>
      </c>
      <c r="D23" s="35">
        <f t="shared" si="1"/>
        <v>0.3347754404</v>
      </c>
      <c r="E23" s="36">
        <f t="shared" si="2"/>
        <v>0.000795601526</v>
      </c>
      <c r="G23" s="52"/>
      <c r="H23" s="52"/>
      <c r="I23" s="52"/>
      <c r="J23" s="52"/>
      <c r="K23" s="45" t="str">
        <f t="shared" ref="K23:L23" si="24">B28</f>
        <v>4.3. Mining</v>
      </c>
      <c r="L23" s="45">
        <f t="shared" si="24"/>
        <v>440793.3376</v>
      </c>
      <c r="M23" s="69">
        <f t="shared" si="22"/>
        <v>0.4407933376</v>
      </c>
      <c r="N23" s="51">
        <f t="shared" si="23"/>
        <v>0.3693441608</v>
      </c>
    </row>
    <row r="24" ht="15.75" customHeight="1">
      <c r="B24" s="33" t="s">
        <v>85</v>
      </c>
      <c r="C24" s="34">
        <v>5455135.0312644215</v>
      </c>
      <c r="D24" s="35">
        <f t="shared" si="1"/>
        <v>5.455135031</v>
      </c>
      <c r="E24" s="36">
        <f t="shared" si="2"/>
        <v>0.01296425374</v>
      </c>
      <c r="G24" s="52"/>
      <c r="H24" s="52"/>
      <c r="I24" s="52"/>
      <c r="J24" s="52"/>
      <c r="K24" s="45" t="str">
        <f t="shared" ref="K24:L24" si="25">B29</f>
        <v>4.4. Photovoltaic Power Plant (beta)</v>
      </c>
      <c r="L24" s="45">
        <f t="shared" si="25"/>
        <v>30.67070958</v>
      </c>
      <c r="M24" s="69">
        <f t="shared" si="22"/>
        <v>0.00003067070958</v>
      </c>
      <c r="N24" s="51">
        <f t="shared" si="23"/>
        <v>0.00002569922574</v>
      </c>
      <c r="O24" s="80"/>
    </row>
    <row r="25" ht="15.75" customHeight="1">
      <c r="B25" s="19" t="s">
        <v>13</v>
      </c>
      <c r="C25" s="20">
        <v>1193448.7787826194</v>
      </c>
      <c r="D25" s="23">
        <f t="shared" si="1"/>
        <v>1.193448779</v>
      </c>
      <c r="E25" s="26">
        <f t="shared" si="2"/>
        <v>0.002836258444</v>
      </c>
      <c r="G25" s="52"/>
      <c r="H25" s="52"/>
      <c r="I25" s="52"/>
      <c r="J25" s="52"/>
      <c r="K25" s="45" t="str">
        <f t="shared" ref="K25:L25" si="26">B30</f>
        <v>4.5. Wind Farm</v>
      </c>
      <c r="L25" s="45">
        <f t="shared" si="26"/>
        <v>0</v>
      </c>
      <c r="M25" s="69">
        <f t="shared" si="22"/>
        <v>0</v>
      </c>
      <c r="N25" s="51">
        <f t="shared" si="23"/>
        <v>0</v>
      </c>
      <c r="O25" s="80"/>
    </row>
    <row r="26" ht="15.75" customHeight="1">
      <c r="B26" s="94" t="s">
        <v>86</v>
      </c>
      <c r="C26" s="34">
        <v>7303.748525323473</v>
      </c>
      <c r="D26" s="35">
        <f t="shared" si="1"/>
        <v>0.007303748525</v>
      </c>
      <c r="E26" s="36">
        <f t="shared" si="2"/>
        <v>0.00001735752618</v>
      </c>
      <c r="G26" s="72"/>
      <c r="H26" s="72"/>
      <c r="I26" s="72"/>
      <c r="J26" s="72"/>
      <c r="K26" s="45" t="str">
        <f t="shared" ref="K26:L26" si="27">B31</f>
        <v>4.6. Other non Vegetated Areas</v>
      </c>
      <c r="L26" s="45">
        <f t="shared" si="27"/>
        <v>268203.0838</v>
      </c>
      <c r="M26" s="69">
        <f t="shared" si="22"/>
        <v>0.2682030838</v>
      </c>
      <c r="N26" s="51">
        <f t="shared" si="23"/>
        <v>0.2247294468</v>
      </c>
      <c r="O26" s="80"/>
    </row>
    <row r="27" ht="15.75" customHeight="1">
      <c r="B27" s="33" t="s">
        <v>87</v>
      </c>
      <c r="C27" s="34">
        <v>477117.938153264</v>
      </c>
      <c r="D27" s="35">
        <f t="shared" si="1"/>
        <v>0.4771179382</v>
      </c>
      <c r="E27" s="36">
        <f t="shared" si="2"/>
        <v>0.001133881742</v>
      </c>
      <c r="G27" s="86"/>
      <c r="H27" s="86"/>
      <c r="I27" s="86"/>
      <c r="J27" s="97"/>
      <c r="K27" s="86"/>
      <c r="L27" s="86"/>
      <c r="M27" s="86"/>
      <c r="N27" s="79"/>
      <c r="O27" s="80"/>
    </row>
    <row r="28" ht="15.75" customHeight="1">
      <c r="B28" s="88" t="s">
        <v>88</v>
      </c>
      <c r="C28" s="34">
        <v>440793.3376141148</v>
      </c>
      <c r="D28" s="91">
        <f t="shared" si="1"/>
        <v>0.4407933376</v>
      </c>
      <c r="E28" s="98">
        <f t="shared" si="2"/>
        <v>0.001047555495</v>
      </c>
      <c r="G28" s="99" t="s">
        <v>89</v>
      </c>
      <c r="H28" s="100">
        <f>C32</f>
        <v>11583202.74</v>
      </c>
      <c r="I28" s="101">
        <f>H28/1000000</f>
        <v>11.58320274</v>
      </c>
      <c r="J28" s="102">
        <f>E32</f>
        <v>0.02752774746</v>
      </c>
      <c r="K28" s="33"/>
      <c r="L28" s="103"/>
      <c r="M28" s="80"/>
      <c r="N28" s="11"/>
      <c r="O28" s="80"/>
    </row>
    <row r="29" ht="15.75" customHeight="1">
      <c r="B29" s="33" t="s">
        <v>90</v>
      </c>
      <c r="C29" s="34">
        <v>30.67070957641602</v>
      </c>
      <c r="D29" s="35">
        <f t="shared" si="1"/>
        <v>0.00003067070958</v>
      </c>
      <c r="E29" s="36">
        <f t="shared" si="2"/>
        <v>0.000000072889646</v>
      </c>
      <c r="G29" s="84"/>
      <c r="H29" s="84"/>
      <c r="I29" s="84"/>
      <c r="J29" s="85"/>
      <c r="K29" s="33"/>
      <c r="L29" s="103"/>
      <c r="M29" s="80"/>
      <c r="N29" s="11"/>
    </row>
    <row r="30" ht="15.75" customHeight="1">
      <c r="B30" s="33" t="s">
        <v>91</v>
      </c>
      <c r="C30" s="34">
        <v>0.0</v>
      </c>
      <c r="D30" s="35">
        <f t="shared" si="1"/>
        <v>0</v>
      </c>
      <c r="E30" s="36">
        <f t="shared" si="2"/>
        <v>0</v>
      </c>
      <c r="G30" s="77"/>
      <c r="H30" s="77"/>
      <c r="I30" s="77"/>
      <c r="J30" s="78"/>
      <c r="K30" s="6"/>
      <c r="L30" s="6"/>
      <c r="M30" s="6"/>
      <c r="N30" s="11"/>
      <c r="O30" s="80"/>
    </row>
    <row r="31" ht="15.75" customHeight="1">
      <c r="B31" s="88" t="s">
        <v>92</v>
      </c>
      <c r="C31" s="34">
        <v>268203.08378034056</v>
      </c>
      <c r="D31" s="91">
        <f t="shared" si="1"/>
        <v>0.2682030838</v>
      </c>
      <c r="E31" s="92">
        <f t="shared" si="2"/>
        <v>0.0006373907909</v>
      </c>
      <c r="G31" s="33"/>
      <c r="H31" s="103"/>
      <c r="I31" s="80"/>
      <c r="J31" s="106"/>
      <c r="K31" s="6"/>
      <c r="L31" s="6"/>
      <c r="M31" s="6"/>
      <c r="N31" s="11"/>
      <c r="O31" s="80"/>
    </row>
    <row r="32" ht="15.75" customHeight="1">
      <c r="B32" s="19" t="s">
        <v>14</v>
      </c>
      <c r="C32" s="20">
        <v>1.1583202743138116E7</v>
      </c>
      <c r="D32" s="23">
        <f t="shared" si="1"/>
        <v>11.58320274</v>
      </c>
      <c r="E32" s="26">
        <f t="shared" si="2"/>
        <v>0.02752774746</v>
      </c>
      <c r="G32" s="106"/>
      <c r="H32" s="6"/>
      <c r="I32" s="6"/>
      <c r="J32" s="6"/>
      <c r="K32" s="11"/>
      <c r="L32" s="80"/>
    </row>
    <row r="33" ht="15.75" customHeight="1">
      <c r="B33" s="110" t="s">
        <v>94</v>
      </c>
      <c r="C33" s="110">
        <v>1.1572419511493731E7</v>
      </c>
      <c r="D33" s="91">
        <f t="shared" si="1"/>
        <v>11.57241951</v>
      </c>
      <c r="E33" s="92">
        <f t="shared" si="2"/>
        <v>0.02750212086</v>
      </c>
      <c r="G33" s="113"/>
      <c r="H33" s="6"/>
      <c r="I33" s="6"/>
      <c r="J33" s="6"/>
      <c r="K33" s="11"/>
    </row>
    <row r="34" ht="15.75" customHeight="1">
      <c r="B34" s="110" t="s">
        <v>95</v>
      </c>
      <c r="C34" s="110">
        <v>10783.231644384738</v>
      </c>
      <c r="D34" s="91">
        <f t="shared" si="1"/>
        <v>0.01078323164</v>
      </c>
      <c r="E34" s="92">
        <f t="shared" si="2"/>
        <v>0.00002562659776</v>
      </c>
      <c r="G34" s="10"/>
      <c r="K34" s="11"/>
    </row>
    <row r="35" ht="15.75" customHeight="1">
      <c r="B35" s="19" t="s">
        <v>96</v>
      </c>
      <c r="C35" s="20">
        <v>414.35303736572257</v>
      </c>
      <c r="D35" s="23">
        <f t="shared" si="1"/>
        <v>0.0004143530374</v>
      </c>
      <c r="E35" s="26">
        <f t="shared" si="2"/>
        <v>0.0000009847195135</v>
      </c>
      <c r="G35" s="10"/>
      <c r="K35" s="11"/>
    </row>
    <row r="36" ht="15.75" customHeight="1">
      <c r="B36" s="114" t="s">
        <v>97</v>
      </c>
      <c r="C36" s="115">
        <f>SUM(C5,C12,C20,C25,C32,C35)</f>
        <v>420782803.3</v>
      </c>
      <c r="D36" s="116">
        <f t="shared" si="1"/>
        <v>420.7828033</v>
      </c>
      <c r="E36" s="114"/>
      <c r="G36" s="10"/>
      <c r="K36" s="11"/>
    </row>
    <row r="37" ht="15.75" customHeight="1">
      <c r="G37" s="10"/>
      <c r="K37" s="11"/>
    </row>
    <row r="38" ht="15.75" customHeight="1">
      <c r="G38" s="10"/>
      <c r="K38" s="11"/>
    </row>
    <row r="39" ht="15.75" customHeight="1">
      <c r="G39" s="10"/>
      <c r="K39" s="11"/>
    </row>
    <row r="40" ht="15.75" customHeight="1">
      <c r="G40" s="10"/>
      <c r="K40" s="11"/>
    </row>
    <row r="41" ht="15.75" customHeight="1">
      <c r="G41" s="10"/>
      <c r="K41" s="11"/>
    </row>
    <row r="42" ht="15.75" customHeight="1">
      <c r="G42" s="10"/>
      <c r="K42" s="11"/>
    </row>
    <row r="43" ht="15.75" customHeight="1">
      <c r="G43" s="10"/>
      <c r="K43" s="11"/>
    </row>
    <row r="44" ht="15.75" customHeight="1">
      <c r="G44" s="10"/>
      <c r="K44" s="11"/>
    </row>
    <row r="45" ht="15.75" customHeight="1">
      <c r="G45" s="10"/>
      <c r="K45" s="11"/>
    </row>
    <row r="46" ht="15.75" customHeight="1">
      <c r="G46" s="10"/>
      <c r="K46" s="11"/>
    </row>
    <row r="47" ht="15.75" customHeight="1">
      <c r="G47" s="10"/>
      <c r="K47" s="11"/>
    </row>
    <row r="48" ht="15.75" customHeight="1">
      <c r="G48" s="10"/>
      <c r="K48" s="11"/>
    </row>
    <row r="49" ht="15.75" customHeight="1">
      <c r="G49" s="10"/>
      <c r="K49" s="11"/>
    </row>
    <row r="50" ht="15.75" customHeight="1">
      <c r="G50" s="10"/>
      <c r="K50" s="11"/>
    </row>
    <row r="51" ht="15.75" customHeight="1">
      <c r="G51" s="10"/>
      <c r="K51" s="11"/>
    </row>
    <row r="52" ht="15.75" customHeight="1">
      <c r="J52" s="10"/>
      <c r="N52" s="11"/>
    </row>
    <row r="53" ht="15.75" customHeight="1">
      <c r="J53" s="10"/>
      <c r="N53" s="11"/>
    </row>
    <row r="54" ht="15.75" customHeight="1">
      <c r="J54" s="10"/>
      <c r="N54" s="11"/>
    </row>
    <row r="55" ht="15.75" customHeight="1">
      <c r="J55" s="10"/>
      <c r="N55" s="11"/>
    </row>
    <row r="56" ht="15.75" customHeight="1">
      <c r="J56" s="10"/>
      <c r="N56" s="11"/>
    </row>
    <row r="57" ht="15.75" customHeight="1">
      <c r="J57" s="10"/>
      <c r="N57" s="11"/>
    </row>
    <row r="58" ht="15.75" customHeight="1">
      <c r="J58" s="10"/>
      <c r="N58" s="11"/>
    </row>
    <row r="59" ht="15.75" customHeight="1">
      <c r="J59" s="10"/>
      <c r="N59" s="11"/>
    </row>
    <row r="60" ht="15.75" customHeight="1">
      <c r="J60" s="10"/>
      <c r="N60" s="11"/>
    </row>
    <row r="61" ht="15.75" customHeight="1">
      <c r="J61" s="10"/>
      <c r="N61" s="11"/>
    </row>
    <row r="62" ht="15.75" customHeight="1">
      <c r="J62" s="10"/>
      <c r="N62" s="11"/>
    </row>
    <row r="63" ht="15.75" customHeight="1">
      <c r="J63" s="10"/>
      <c r="N63" s="11"/>
    </row>
    <row r="64" ht="15.75" customHeight="1">
      <c r="J64" s="10"/>
      <c r="N64" s="11"/>
    </row>
    <row r="65" ht="15.75" customHeight="1">
      <c r="J65" s="10"/>
      <c r="N65" s="11"/>
    </row>
    <row r="66" ht="15.75" customHeight="1">
      <c r="J66" s="10"/>
      <c r="N66" s="11"/>
    </row>
    <row r="67" ht="15.75" customHeight="1">
      <c r="J67" s="10"/>
      <c r="N67" s="11"/>
    </row>
    <row r="68" ht="15.75" customHeight="1">
      <c r="J68" s="10"/>
      <c r="N68" s="11"/>
    </row>
    <row r="69" ht="15.75" customHeight="1">
      <c r="J69" s="10"/>
      <c r="N69" s="11"/>
    </row>
    <row r="70" ht="15.75" customHeight="1">
      <c r="J70" s="10"/>
      <c r="N70" s="11"/>
    </row>
    <row r="71" ht="15.75" customHeight="1">
      <c r="J71" s="10"/>
      <c r="N71" s="11"/>
    </row>
    <row r="72" ht="15.75" customHeight="1">
      <c r="J72" s="10"/>
      <c r="N72" s="11"/>
    </row>
    <row r="73" ht="15.75" customHeight="1">
      <c r="J73" s="10"/>
      <c r="N73" s="11"/>
    </row>
    <row r="74" ht="15.75" customHeight="1">
      <c r="J74" s="10"/>
      <c r="N74" s="11"/>
    </row>
    <row r="75" ht="15.75" customHeight="1">
      <c r="J75" s="10"/>
      <c r="N75" s="11"/>
    </row>
    <row r="76" ht="15.75" customHeight="1">
      <c r="J76" s="10"/>
      <c r="N76" s="11"/>
    </row>
    <row r="77" ht="15.75" customHeight="1">
      <c r="J77" s="10"/>
      <c r="N77" s="11"/>
    </row>
    <row r="78" ht="15.75" customHeight="1">
      <c r="J78" s="10"/>
      <c r="N78" s="11"/>
    </row>
    <row r="79" ht="15.75" customHeight="1">
      <c r="J79" s="10"/>
      <c r="N79" s="11"/>
    </row>
    <row r="80" ht="15.75" customHeight="1">
      <c r="J80" s="10"/>
      <c r="N80" s="11"/>
    </row>
    <row r="81" ht="15.75" customHeight="1">
      <c r="J81" s="10"/>
      <c r="N81" s="11"/>
    </row>
    <row r="82" ht="15.75" customHeight="1">
      <c r="J82" s="10"/>
      <c r="N82" s="11"/>
    </row>
    <row r="83" ht="15.75" customHeight="1">
      <c r="J83" s="10"/>
      <c r="N83" s="11"/>
    </row>
    <row r="84" ht="15.75" customHeight="1">
      <c r="J84" s="10"/>
      <c r="N84" s="11"/>
    </row>
    <row r="85" ht="15.75" customHeight="1">
      <c r="J85" s="10"/>
      <c r="N85" s="11"/>
    </row>
    <row r="86" ht="15.75" customHeight="1">
      <c r="J86" s="10"/>
      <c r="N86" s="11"/>
    </row>
    <row r="87" ht="15.75" customHeight="1">
      <c r="J87" s="10"/>
      <c r="N87" s="11"/>
    </row>
    <row r="88" ht="15.75" customHeight="1">
      <c r="J88" s="10"/>
      <c r="N88" s="11"/>
    </row>
    <row r="89" ht="15.75" customHeight="1">
      <c r="J89" s="10"/>
      <c r="N89" s="11"/>
    </row>
    <row r="90" ht="15.75" customHeight="1">
      <c r="J90" s="10"/>
      <c r="N90" s="11"/>
    </row>
    <row r="91" ht="15.75" customHeight="1">
      <c r="J91" s="10"/>
      <c r="N91" s="11"/>
    </row>
    <row r="92" ht="15.75" customHeight="1">
      <c r="J92" s="10"/>
      <c r="N92" s="11"/>
    </row>
    <row r="93" ht="15.75" customHeight="1">
      <c r="J93" s="10"/>
      <c r="N93" s="11"/>
    </row>
    <row r="94" ht="15.75" customHeight="1">
      <c r="J94" s="10"/>
      <c r="N94" s="11"/>
    </row>
    <row r="95" ht="15.75" customHeight="1">
      <c r="J95" s="10"/>
      <c r="N95" s="11"/>
    </row>
    <row r="96" ht="15.75" customHeight="1">
      <c r="J96" s="10"/>
      <c r="N96" s="11"/>
    </row>
    <row r="97" ht="15.75" customHeight="1">
      <c r="J97" s="10"/>
      <c r="N97" s="11"/>
    </row>
    <row r="98" ht="15.75" customHeight="1">
      <c r="J98" s="10"/>
      <c r="N98" s="11"/>
    </row>
    <row r="99" ht="15.75" customHeight="1">
      <c r="J99" s="10"/>
      <c r="N99" s="11"/>
    </row>
    <row r="100" ht="15.75" customHeight="1">
      <c r="J100" s="10"/>
      <c r="N100" s="11"/>
    </row>
    <row r="101" ht="15.75" customHeight="1">
      <c r="J101" s="10"/>
      <c r="N101" s="11"/>
    </row>
    <row r="102" ht="15.75" customHeight="1">
      <c r="J102" s="10"/>
      <c r="N102" s="11"/>
    </row>
    <row r="103" ht="15.75" customHeight="1">
      <c r="J103" s="10"/>
      <c r="N103" s="11"/>
    </row>
    <row r="104" ht="15.75" customHeight="1">
      <c r="J104" s="10"/>
      <c r="N104" s="11"/>
    </row>
    <row r="105" ht="15.75" customHeight="1">
      <c r="J105" s="10"/>
      <c r="N105" s="11"/>
    </row>
    <row r="106" ht="15.75" customHeight="1">
      <c r="J106" s="10"/>
      <c r="N106" s="11"/>
    </row>
    <row r="107" ht="15.75" customHeight="1">
      <c r="J107" s="10"/>
      <c r="N107" s="11"/>
    </row>
    <row r="108" ht="15.75" customHeight="1">
      <c r="J108" s="10"/>
      <c r="N108" s="11"/>
    </row>
    <row r="109" ht="15.75" customHeight="1">
      <c r="J109" s="10"/>
      <c r="N109" s="11"/>
    </row>
    <row r="110" ht="15.75" customHeight="1">
      <c r="J110" s="10"/>
      <c r="N110" s="11"/>
    </row>
    <row r="111" ht="15.75" customHeight="1">
      <c r="J111" s="10"/>
      <c r="N111" s="11"/>
    </row>
    <row r="112" ht="15.75" customHeight="1">
      <c r="J112" s="10"/>
      <c r="N112" s="11"/>
    </row>
    <row r="113" ht="15.75" customHeight="1">
      <c r="J113" s="10"/>
      <c r="N113" s="11"/>
    </row>
    <row r="114" ht="15.75" customHeight="1">
      <c r="J114" s="10"/>
      <c r="N114" s="11"/>
    </row>
    <row r="115" ht="15.75" customHeight="1">
      <c r="J115" s="10"/>
      <c r="N115" s="11"/>
    </row>
    <row r="116" ht="15.75" customHeight="1">
      <c r="J116" s="10"/>
      <c r="N116" s="11"/>
    </row>
    <row r="117" ht="15.75" customHeight="1">
      <c r="J117" s="10"/>
      <c r="N117" s="11"/>
    </row>
    <row r="118" ht="15.75" customHeight="1">
      <c r="J118" s="10"/>
      <c r="N118" s="11"/>
    </row>
    <row r="119" ht="15.75" customHeight="1">
      <c r="J119" s="10"/>
      <c r="N119" s="11"/>
    </row>
    <row r="120" ht="15.75" customHeight="1">
      <c r="J120" s="10"/>
      <c r="N120" s="11"/>
    </row>
    <row r="121" ht="15.75" customHeight="1">
      <c r="J121" s="10"/>
      <c r="N121" s="11"/>
    </row>
    <row r="122" ht="15.75" customHeight="1">
      <c r="J122" s="10"/>
      <c r="N122" s="11"/>
    </row>
    <row r="123" ht="15.75" customHeight="1">
      <c r="J123" s="10"/>
      <c r="N123" s="11"/>
    </row>
    <row r="124" ht="15.75" customHeight="1">
      <c r="J124" s="10"/>
      <c r="N124" s="11"/>
    </row>
    <row r="125" ht="15.75" customHeight="1">
      <c r="J125" s="10"/>
      <c r="N125" s="11"/>
    </row>
    <row r="126" ht="15.75" customHeight="1">
      <c r="J126" s="10"/>
      <c r="N126" s="11"/>
    </row>
    <row r="127" ht="15.75" customHeight="1">
      <c r="J127" s="10"/>
      <c r="N127" s="11"/>
    </row>
    <row r="128" ht="15.75" customHeight="1">
      <c r="J128" s="10"/>
      <c r="N128" s="11"/>
    </row>
    <row r="129" ht="15.75" customHeight="1">
      <c r="J129" s="10"/>
      <c r="N129" s="11"/>
    </row>
    <row r="130" ht="15.75" customHeight="1">
      <c r="J130" s="10"/>
      <c r="N130" s="11"/>
    </row>
    <row r="131" ht="15.75" customHeight="1">
      <c r="J131" s="10"/>
      <c r="N131" s="11"/>
    </row>
    <row r="132" ht="15.75" customHeight="1">
      <c r="J132" s="10"/>
      <c r="N132" s="11"/>
    </row>
    <row r="133" ht="15.75" customHeight="1">
      <c r="J133" s="10"/>
      <c r="N133" s="11"/>
    </row>
    <row r="134" ht="15.75" customHeight="1">
      <c r="J134" s="10"/>
      <c r="N134" s="11"/>
    </row>
    <row r="135" ht="15.75" customHeight="1">
      <c r="J135" s="10"/>
      <c r="N135" s="11"/>
    </row>
    <row r="136" ht="15.75" customHeight="1">
      <c r="J136" s="10"/>
      <c r="N136" s="11"/>
    </row>
    <row r="137" ht="15.75" customHeight="1">
      <c r="J137" s="10"/>
      <c r="N137" s="11"/>
    </row>
    <row r="138" ht="15.75" customHeight="1">
      <c r="J138" s="10"/>
      <c r="N138" s="11"/>
    </row>
    <row r="139" ht="15.75" customHeight="1">
      <c r="J139" s="10"/>
      <c r="N139" s="11"/>
    </row>
    <row r="140" ht="15.75" customHeight="1">
      <c r="J140" s="10"/>
      <c r="N140" s="11"/>
    </row>
    <row r="141" ht="15.75" customHeight="1">
      <c r="J141" s="10"/>
      <c r="N141" s="11"/>
    </row>
    <row r="142" ht="15.75" customHeight="1">
      <c r="J142" s="10"/>
      <c r="N142" s="11"/>
    </row>
    <row r="143" ht="15.75" customHeight="1">
      <c r="J143" s="10"/>
      <c r="N143" s="11"/>
    </row>
    <row r="144" ht="15.75" customHeight="1">
      <c r="J144" s="10"/>
      <c r="N144" s="11"/>
    </row>
    <row r="145" ht="15.75" customHeight="1">
      <c r="J145" s="10"/>
      <c r="N145" s="11"/>
    </row>
    <row r="146" ht="15.75" customHeight="1">
      <c r="J146" s="10"/>
      <c r="N146" s="11"/>
    </row>
    <row r="147" ht="15.75" customHeight="1">
      <c r="J147" s="10"/>
      <c r="N147" s="11"/>
    </row>
    <row r="148" ht="15.75" customHeight="1">
      <c r="J148" s="10"/>
      <c r="N148" s="11"/>
    </row>
    <row r="149" ht="15.75" customHeight="1">
      <c r="J149" s="10"/>
      <c r="N149" s="11"/>
    </row>
    <row r="150" ht="15.75" customHeight="1">
      <c r="J150" s="10"/>
      <c r="N150" s="11"/>
    </row>
    <row r="151" ht="15.75" customHeight="1">
      <c r="J151" s="10"/>
      <c r="N151" s="11"/>
    </row>
    <row r="152" ht="15.75" customHeight="1">
      <c r="J152" s="10"/>
      <c r="N152" s="11"/>
    </row>
    <row r="153" ht="15.75" customHeight="1">
      <c r="J153" s="10"/>
      <c r="N153" s="11"/>
    </row>
    <row r="154" ht="15.75" customHeight="1">
      <c r="J154" s="10"/>
      <c r="N154" s="11"/>
    </row>
    <row r="155" ht="15.75" customHeight="1">
      <c r="J155" s="10"/>
      <c r="N155" s="11"/>
    </row>
    <row r="156" ht="15.75" customHeight="1">
      <c r="J156" s="10"/>
      <c r="N156" s="11"/>
    </row>
    <row r="157" ht="15.75" customHeight="1">
      <c r="J157" s="10"/>
      <c r="N157" s="11"/>
    </row>
    <row r="158" ht="15.75" customHeight="1">
      <c r="J158" s="10"/>
      <c r="N158" s="11"/>
    </row>
    <row r="159" ht="15.75" customHeight="1">
      <c r="J159" s="10"/>
      <c r="N159" s="11"/>
    </row>
    <row r="160" ht="15.75" customHeight="1">
      <c r="J160" s="10"/>
      <c r="N160" s="11"/>
    </row>
    <row r="161" ht="15.75" customHeight="1">
      <c r="J161" s="10"/>
      <c r="N161" s="11"/>
    </row>
    <row r="162" ht="15.75" customHeight="1">
      <c r="J162" s="10"/>
      <c r="N162" s="11"/>
    </row>
    <row r="163" ht="15.75" customHeight="1">
      <c r="J163" s="10"/>
      <c r="N163" s="11"/>
    </row>
    <row r="164" ht="15.75" customHeight="1">
      <c r="J164" s="10"/>
      <c r="N164" s="11"/>
    </row>
    <row r="165" ht="15.75" customHeight="1">
      <c r="J165" s="10"/>
      <c r="N165" s="11"/>
    </row>
    <row r="166" ht="15.75" customHeight="1">
      <c r="J166" s="10"/>
      <c r="N166" s="11"/>
    </row>
    <row r="167" ht="15.75" customHeight="1">
      <c r="J167" s="10"/>
      <c r="N167" s="11"/>
    </row>
    <row r="168" ht="15.75" customHeight="1">
      <c r="J168" s="10"/>
      <c r="N168" s="11"/>
    </row>
    <row r="169" ht="15.75" customHeight="1">
      <c r="J169" s="10"/>
      <c r="N169" s="11"/>
    </row>
    <row r="170" ht="15.75" customHeight="1">
      <c r="J170" s="10"/>
      <c r="N170" s="11"/>
    </row>
    <row r="171" ht="15.75" customHeight="1">
      <c r="J171" s="10"/>
      <c r="N171" s="11"/>
    </row>
    <row r="172" ht="15.75" customHeight="1">
      <c r="J172" s="10"/>
      <c r="N172" s="11"/>
    </row>
    <row r="173" ht="15.75" customHeight="1">
      <c r="J173" s="10"/>
      <c r="N173" s="11"/>
    </row>
    <row r="174" ht="15.75" customHeight="1">
      <c r="J174" s="10"/>
      <c r="N174" s="11"/>
    </row>
    <row r="175" ht="15.75" customHeight="1">
      <c r="J175" s="10"/>
      <c r="N175" s="11"/>
    </row>
    <row r="176" ht="15.75" customHeight="1">
      <c r="J176" s="10"/>
      <c r="N176" s="11"/>
    </row>
    <row r="177" ht="15.75" customHeight="1">
      <c r="J177" s="10"/>
      <c r="N177" s="11"/>
    </row>
    <row r="178" ht="15.75" customHeight="1">
      <c r="J178" s="10"/>
      <c r="N178" s="11"/>
    </row>
    <row r="179" ht="15.75" customHeight="1">
      <c r="J179" s="10"/>
      <c r="N179" s="11"/>
    </row>
    <row r="180" ht="15.75" customHeight="1">
      <c r="J180" s="10"/>
      <c r="N180" s="11"/>
    </row>
    <row r="181" ht="15.75" customHeight="1">
      <c r="J181" s="10"/>
      <c r="N181" s="11"/>
    </row>
    <row r="182" ht="15.75" customHeight="1">
      <c r="J182" s="10"/>
      <c r="N182" s="11"/>
    </row>
    <row r="183" ht="15.75" customHeight="1">
      <c r="J183" s="10"/>
      <c r="N183" s="11"/>
    </row>
    <row r="184" ht="15.75" customHeight="1">
      <c r="J184" s="10"/>
      <c r="N184" s="11"/>
    </row>
    <row r="185" ht="15.75" customHeight="1">
      <c r="J185" s="10"/>
      <c r="N185" s="11"/>
    </row>
    <row r="186" ht="15.75" customHeight="1">
      <c r="J186" s="10"/>
      <c r="N186" s="11"/>
    </row>
    <row r="187" ht="15.75" customHeight="1">
      <c r="J187" s="10"/>
      <c r="N187" s="11"/>
    </row>
    <row r="188" ht="15.75" customHeight="1">
      <c r="J188" s="10"/>
      <c r="N188" s="11"/>
    </row>
    <row r="189" ht="15.75" customHeight="1">
      <c r="J189" s="10"/>
      <c r="N189" s="11"/>
    </row>
    <row r="190" ht="15.75" customHeight="1">
      <c r="J190" s="10"/>
      <c r="N190" s="11"/>
    </row>
    <row r="191" ht="15.75" customHeight="1">
      <c r="J191" s="10"/>
      <c r="N191" s="11"/>
    </row>
    <row r="192" ht="15.75" customHeight="1">
      <c r="J192" s="10"/>
      <c r="N192" s="11"/>
    </row>
    <row r="193" ht="15.75" customHeight="1">
      <c r="J193" s="10"/>
      <c r="N193" s="11"/>
    </row>
    <row r="194" ht="15.75" customHeight="1">
      <c r="J194" s="10"/>
      <c r="N194" s="11"/>
    </row>
    <row r="195" ht="15.75" customHeight="1">
      <c r="J195" s="10"/>
      <c r="N195" s="11"/>
    </row>
    <row r="196" ht="15.75" customHeight="1">
      <c r="J196" s="10"/>
      <c r="N196" s="11"/>
    </row>
    <row r="197" ht="15.75" customHeight="1">
      <c r="J197" s="10"/>
      <c r="N197" s="11"/>
    </row>
    <row r="198" ht="15.75" customHeight="1">
      <c r="J198" s="10"/>
      <c r="N198" s="11"/>
    </row>
    <row r="199" ht="15.75" customHeight="1">
      <c r="J199" s="10"/>
      <c r="N199" s="11"/>
    </row>
    <row r="200" ht="15.75" customHeight="1">
      <c r="J200" s="10"/>
      <c r="N200" s="11"/>
    </row>
    <row r="201" ht="15.75" customHeight="1">
      <c r="J201" s="10"/>
      <c r="N201" s="11"/>
    </row>
    <row r="202" ht="15.75" customHeight="1">
      <c r="J202" s="10"/>
      <c r="N202" s="11"/>
    </row>
    <row r="203" ht="15.75" customHeight="1">
      <c r="J203" s="10"/>
      <c r="N203" s="11"/>
    </row>
    <row r="204" ht="15.75" customHeight="1">
      <c r="J204" s="10"/>
      <c r="N204" s="11"/>
    </row>
    <row r="205" ht="15.75" customHeight="1">
      <c r="J205" s="10"/>
      <c r="N205" s="11"/>
    </row>
    <row r="206" ht="15.75" customHeight="1">
      <c r="J206" s="10"/>
      <c r="N206" s="11"/>
    </row>
    <row r="207" ht="15.75" customHeight="1">
      <c r="J207" s="10"/>
      <c r="N207" s="11"/>
    </row>
    <row r="208" ht="15.75" customHeight="1">
      <c r="J208" s="10"/>
      <c r="N208" s="11"/>
    </row>
    <row r="209" ht="15.75" customHeight="1">
      <c r="J209" s="10"/>
      <c r="N209" s="11"/>
    </row>
    <row r="210" ht="15.75" customHeight="1">
      <c r="J210" s="10"/>
      <c r="N210" s="11"/>
    </row>
    <row r="211" ht="15.75" customHeight="1">
      <c r="J211" s="10"/>
      <c r="N211" s="11"/>
    </row>
    <row r="212" ht="15.75" customHeight="1">
      <c r="J212" s="10"/>
      <c r="N212" s="11"/>
    </row>
    <row r="213" ht="15.75" customHeight="1">
      <c r="J213" s="10"/>
      <c r="N213" s="11"/>
    </row>
    <row r="214" ht="15.75" customHeight="1">
      <c r="J214" s="10"/>
      <c r="N214" s="11"/>
    </row>
    <row r="215" ht="15.75" customHeight="1">
      <c r="J215" s="10"/>
      <c r="N215" s="11"/>
    </row>
    <row r="216" ht="15.75" customHeight="1">
      <c r="J216" s="10"/>
      <c r="N216" s="11"/>
    </row>
    <row r="217" ht="15.75" customHeight="1">
      <c r="J217" s="10"/>
      <c r="N217" s="11"/>
    </row>
    <row r="218" ht="15.75" customHeight="1">
      <c r="J218" s="10"/>
      <c r="N218" s="11"/>
    </row>
    <row r="219" ht="15.75" customHeight="1">
      <c r="J219" s="10"/>
      <c r="N219" s="11"/>
    </row>
    <row r="220" ht="15.75" customHeight="1">
      <c r="J220" s="10"/>
      <c r="N220" s="11"/>
    </row>
    <row r="221" ht="15.75" customHeight="1">
      <c r="J221" s="10"/>
      <c r="N221" s="11"/>
    </row>
    <row r="222" ht="15.75" customHeight="1">
      <c r="J222" s="10"/>
      <c r="N222" s="11"/>
    </row>
    <row r="223" ht="15.75" customHeight="1">
      <c r="J223" s="10"/>
      <c r="N223" s="11"/>
    </row>
    <row r="224" ht="15.75" customHeight="1">
      <c r="J224" s="10"/>
      <c r="N224" s="11"/>
    </row>
    <row r="225" ht="15.75" customHeight="1">
      <c r="J225" s="10"/>
      <c r="N225" s="11"/>
    </row>
    <row r="226" ht="15.75" customHeight="1">
      <c r="J226" s="10"/>
      <c r="N226" s="11"/>
    </row>
    <row r="227" ht="15.75" customHeight="1">
      <c r="J227" s="10"/>
      <c r="N227" s="11"/>
    </row>
    <row r="228" ht="15.75" customHeight="1">
      <c r="J228" s="10"/>
      <c r="N228" s="11"/>
    </row>
    <row r="229" ht="15.75" customHeight="1">
      <c r="J229" s="10"/>
      <c r="N229" s="11"/>
    </row>
    <row r="230" ht="15.75" customHeight="1">
      <c r="J230" s="10"/>
      <c r="N230" s="11"/>
    </row>
    <row r="231" ht="15.75" customHeight="1">
      <c r="J231" s="10"/>
      <c r="N231" s="11"/>
    </row>
    <row r="232" ht="15.75" customHeight="1">
      <c r="J232" s="10"/>
      <c r="N232" s="11"/>
    </row>
    <row r="233" ht="15.75" customHeight="1">
      <c r="J233" s="10"/>
      <c r="N233" s="11"/>
    </row>
    <row r="234" ht="15.75" customHeight="1">
      <c r="J234" s="10"/>
      <c r="N234" s="11"/>
    </row>
    <row r="235" ht="15.75" customHeight="1">
      <c r="J235" s="10"/>
      <c r="N235" s="11"/>
    </row>
    <row r="236" ht="15.75" customHeight="1">
      <c r="J236" s="10"/>
      <c r="N236" s="11"/>
    </row>
    <row r="237" ht="15.75" customHeight="1">
      <c r="J237" s="10"/>
      <c r="N237" s="11"/>
    </row>
    <row r="238" ht="15.75" customHeight="1">
      <c r="J238" s="10"/>
      <c r="N238" s="11"/>
    </row>
    <row r="239" ht="15.75" customHeight="1">
      <c r="J239" s="10"/>
      <c r="N239" s="11"/>
    </row>
    <row r="240" ht="15.75" customHeight="1">
      <c r="J240" s="10"/>
      <c r="N240" s="11"/>
    </row>
    <row r="241" ht="15.75" customHeight="1">
      <c r="J241" s="10"/>
      <c r="N241" s="11"/>
    </row>
    <row r="242" ht="15.75" customHeight="1">
      <c r="J242" s="10"/>
      <c r="N242" s="11"/>
    </row>
    <row r="243" ht="15.75" customHeight="1">
      <c r="J243" s="10"/>
      <c r="N243" s="11"/>
    </row>
    <row r="244" ht="15.75" customHeight="1">
      <c r="J244" s="10"/>
      <c r="N244" s="11"/>
    </row>
    <row r="245" ht="15.75" customHeight="1">
      <c r="J245" s="10"/>
      <c r="N245" s="11"/>
    </row>
    <row r="246" ht="15.75" customHeight="1">
      <c r="J246" s="10"/>
      <c r="N246" s="11"/>
    </row>
    <row r="247" ht="15.75" customHeight="1">
      <c r="J247" s="10"/>
      <c r="N247" s="11"/>
    </row>
    <row r="248" ht="15.75" customHeight="1">
      <c r="J248" s="10"/>
      <c r="N248" s="11"/>
    </row>
    <row r="249" ht="15.75" customHeight="1">
      <c r="J249" s="10"/>
      <c r="N249" s="11"/>
    </row>
    <row r="250" ht="15.75" customHeight="1">
      <c r="J250" s="10"/>
      <c r="N250" s="11"/>
    </row>
    <row r="251" ht="15.75" customHeight="1">
      <c r="J251" s="10"/>
      <c r="N251" s="11"/>
    </row>
    <row r="252" ht="15.75" customHeight="1">
      <c r="J252" s="10"/>
      <c r="N252" s="11"/>
    </row>
    <row r="253" ht="15.75" customHeight="1">
      <c r="J253" s="10"/>
      <c r="N253" s="11"/>
    </row>
    <row r="254" ht="15.75" customHeight="1">
      <c r="J254" s="10"/>
      <c r="N254" s="11"/>
    </row>
    <row r="255" ht="15.75" customHeight="1">
      <c r="J255" s="10"/>
      <c r="N255" s="11"/>
    </row>
    <row r="256" ht="15.75" customHeight="1">
      <c r="J256" s="10"/>
      <c r="N256" s="11"/>
    </row>
    <row r="257" ht="15.75" customHeight="1">
      <c r="J257" s="10"/>
      <c r="N257" s="11"/>
    </row>
    <row r="258" ht="15.75" customHeight="1">
      <c r="J258" s="10"/>
      <c r="N258" s="11"/>
    </row>
    <row r="259" ht="15.75" customHeight="1">
      <c r="J259" s="10"/>
      <c r="N259" s="11"/>
    </row>
    <row r="260" ht="15.75" customHeight="1">
      <c r="J260" s="10"/>
      <c r="N260" s="11"/>
    </row>
    <row r="261" ht="15.75" customHeight="1">
      <c r="J261" s="10"/>
      <c r="N261" s="11"/>
    </row>
    <row r="262" ht="15.75" customHeight="1">
      <c r="J262" s="10"/>
      <c r="N262" s="11"/>
    </row>
    <row r="263" ht="15.75" customHeight="1">
      <c r="J263" s="10"/>
      <c r="N263" s="11"/>
    </row>
    <row r="264" ht="15.75" customHeight="1">
      <c r="J264" s="10"/>
      <c r="N264" s="11"/>
    </row>
    <row r="265" ht="15.75" customHeight="1">
      <c r="J265" s="10"/>
      <c r="N265" s="11"/>
    </row>
    <row r="266" ht="15.75" customHeight="1">
      <c r="J266" s="10"/>
      <c r="N266" s="11"/>
    </row>
    <row r="267" ht="15.75" customHeight="1">
      <c r="J267" s="10"/>
      <c r="N267" s="11"/>
    </row>
    <row r="268" ht="15.75" customHeight="1">
      <c r="J268" s="10"/>
      <c r="N268" s="11"/>
    </row>
    <row r="269" ht="15.75" customHeight="1">
      <c r="J269" s="10"/>
      <c r="N269" s="11"/>
    </row>
    <row r="270" ht="15.75" customHeight="1">
      <c r="J270" s="10"/>
      <c r="N270" s="11"/>
    </row>
    <row r="271" ht="15.75" customHeight="1">
      <c r="J271" s="10"/>
      <c r="N271" s="11"/>
    </row>
    <row r="272" ht="15.75" customHeight="1">
      <c r="J272" s="10"/>
      <c r="N272" s="11"/>
    </row>
    <row r="273" ht="15.75" customHeight="1">
      <c r="J273" s="10"/>
      <c r="N273" s="11"/>
    </row>
    <row r="274" ht="15.75" customHeight="1">
      <c r="J274" s="10"/>
      <c r="N274" s="11"/>
    </row>
    <row r="275" ht="15.75" customHeight="1">
      <c r="J275" s="10"/>
      <c r="N275" s="11"/>
    </row>
    <row r="276" ht="15.75" customHeight="1">
      <c r="J276" s="10"/>
      <c r="N276" s="11"/>
    </row>
    <row r="277" ht="15.75" customHeight="1">
      <c r="J277" s="10"/>
      <c r="N277" s="11"/>
    </row>
    <row r="278" ht="15.75" customHeight="1">
      <c r="J278" s="10"/>
      <c r="N278" s="11"/>
    </row>
    <row r="279" ht="15.75" customHeight="1">
      <c r="J279" s="10"/>
      <c r="N279" s="11"/>
    </row>
    <row r="280" ht="15.75" customHeight="1">
      <c r="J280" s="10"/>
      <c r="N280" s="11"/>
    </row>
    <row r="281" ht="15.75" customHeight="1">
      <c r="J281" s="10"/>
      <c r="N281" s="11"/>
    </row>
    <row r="282" ht="15.75" customHeight="1">
      <c r="J282" s="10"/>
      <c r="N282" s="11"/>
    </row>
    <row r="283" ht="15.75" customHeight="1">
      <c r="J283" s="10"/>
      <c r="N283" s="11"/>
    </row>
    <row r="284" ht="15.75" customHeight="1">
      <c r="J284" s="10"/>
      <c r="N284" s="11"/>
    </row>
    <row r="285" ht="15.75" customHeight="1">
      <c r="J285" s="10"/>
      <c r="N285" s="11"/>
    </row>
    <row r="286" ht="15.75" customHeight="1">
      <c r="J286" s="10"/>
      <c r="N286" s="11"/>
    </row>
    <row r="287" ht="15.75" customHeight="1">
      <c r="J287" s="10"/>
      <c r="N287" s="11"/>
    </row>
    <row r="288" ht="15.75" customHeight="1">
      <c r="J288" s="10"/>
      <c r="N288" s="11"/>
    </row>
    <row r="289" ht="15.75" customHeight="1">
      <c r="J289" s="10"/>
      <c r="N289" s="11"/>
    </row>
    <row r="290" ht="15.75" customHeight="1">
      <c r="J290" s="10"/>
      <c r="N290" s="11"/>
    </row>
    <row r="291" ht="15.75" customHeight="1">
      <c r="J291" s="10"/>
      <c r="N291" s="11"/>
    </row>
    <row r="292" ht="15.75" customHeight="1">
      <c r="J292" s="10"/>
      <c r="N292" s="11"/>
    </row>
    <row r="293" ht="15.75" customHeight="1">
      <c r="J293" s="10"/>
      <c r="N293" s="11"/>
    </row>
    <row r="294" ht="15.75" customHeight="1">
      <c r="J294" s="10"/>
      <c r="N294" s="11"/>
    </row>
    <row r="295" ht="15.75" customHeight="1">
      <c r="J295" s="10"/>
      <c r="N295" s="11"/>
    </row>
    <row r="296" ht="15.75" customHeight="1">
      <c r="J296" s="10"/>
      <c r="N296" s="11"/>
    </row>
    <row r="297" ht="15.75" customHeight="1">
      <c r="J297" s="10"/>
      <c r="N297" s="11"/>
    </row>
    <row r="298" ht="15.75" customHeight="1">
      <c r="J298" s="10"/>
      <c r="N298" s="11"/>
    </row>
    <row r="299" ht="15.75" customHeight="1">
      <c r="J299" s="10"/>
      <c r="N299" s="11"/>
    </row>
    <row r="300" ht="15.75" customHeight="1">
      <c r="J300" s="10"/>
      <c r="N300" s="11"/>
    </row>
    <row r="301" ht="15.75" customHeight="1">
      <c r="J301" s="10"/>
      <c r="N301" s="11"/>
    </row>
    <row r="302" ht="15.75" customHeight="1">
      <c r="J302" s="10"/>
      <c r="N302" s="11"/>
    </row>
    <row r="303" ht="15.75" customHeight="1">
      <c r="J303" s="10"/>
      <c r="N303" s="11"/>
    </row>
    <row r="304" ht="15.75" customHeight="1">
      <c r="J304" s="10"/>
      <c r="N304" s="11"/>
    </row>
    <row r="305" ht="15.75" customHeight="1">
      <c r="J305" s="10"/>
      <c r="N305" s="11"/>
    </row>
    <row r="306" ht="15.75" customHeight="1">
      <c r="J306" s="10"/>
      <c r="N306" s="11"/>
    </row>
    <row r="307" ht="15.75" customHeight="1">
      <c r="J307" s="10"/>
      <c r="N307" s="11"/>
    </row>
    <row r="308" ht="15.75" customHeight="1">
      <c r="J308" s="10"/>
      <c r="N308" s="11"/>
    </row>
    <row r="309" ht="15.75" customHeight="1">
      <c r="J309" s="10"/>
      <c r="N309" s="11"/>
    </row>
    <row r="310" ht="15.75" customHeight="1">
      <c r="J310" s="10"/>
      <c r="N310" s="11"/>
    </row>
    <row r="311" ht="15.75" customHeight="1">
      <c r="J311" s="10"/>
      <c r="N311" s="11"/>
    </row>
    <row r="312" ht="15.75" customHeight="1">
      <c r="J312" s="10"/>
      <c r="N312" s="11"/>
    </row>
    <row r="313" ht="15.75" customHeight="1">
      <c r="J313" s="10"/>
      <c r="N313" s="11"/>
    </row>
    <row r="314" ht="15.75" customHeight="1">
      <c r="J314" s="10"/>
      <c r="N314" s="11"/>
    </row>
    <row r="315" ht="15.75" customHeight="1">
      <c r="J315" s="10"/>
      <c r="N315" s="11"/>
    </row>
    <row r="316" ht="15.75" customHeight="1">
      <c r="J316" s="10"/>
      <c r="N316" s="11"/>
    </row>
    <row r="317" ht="15.75" customHeight="1">
      <c r="J317" s="10"/>
      <c r="N317" s="11"/>
    </row>
    <row r="318" ht="15.75" customHeight="1">
      <c r="J318" s="10"/>
      <c r="N318" s="11"/>
    </row>
    <row r="319" ht="15.75" customHeight="1">
      <c r="J319" s="10"/>
      <c r="N319" s="11"/>
    </row>
    <row r="320" ht="15.75" customHeight="1">
      <c r="J320" s="10"/>
      <c r="N320" s="11"/>
    </row>
    <row r="321" ht="15.75" customHeight="1">
      <c r="J321" s="10"/>
      <c r="N321" s="11"/>
    </row>
    <row r="322" ht="15.75" customHeight="1">
      <c r="J322" s="10"/>
      <c r="N322" s="11"/>
    </row>
    <row r="323" ht="15.75" customHeight="1">
      <c r="J323" s="10"/>
      <c r="N323" s="11"/>
    </row>
    <row r="324" ht="15.75" customHeight="1">
      <c r="J324" s="10"/>
      <c r="N324" s="11"/>
    </row>
    <row r="325" ht="15.75" customHeight="1">
      <c r="J325" s="10"/>
      <c r="N325" s="11"/>
    </row>
    <row r="326" ht="15.75" customHeight="1">
      <c r="J326" s="10"/>
      <c r="N326" s="11"/>
    </row>
    <row r="327" ht="15.75" customHeight="1">
      <c r="J327" s="10"/>
      <c r="N327" s="11"/>
    </row>
    <row r="328" ht="15.75" customHeight="1">
      <c r="J328" s="10"/>
      <c r="N328" s="11"/>
    </row>
    <row r="329" ht="15.75" customHeight="1">
      <c r="J329" s="10"/>
      <c r="N329" s="11"/>
    </row>
    <row r="330" ht="15.75" customHeight="1">
      <c r="J330" s="10"/>
      <c r="N330" s="11"/>
    </row>
    <row r="331" ht="15.75" customHeight="1">
      <c r="J331" s="10"/>
      <c r="N331" s="11"/>
    </row>
    <row r="332" ht="15.75" customHeight="1">
      <c r="J332" s="10"/>
      <c r="N332" s="11"/>
    </row>
    <row r="333" ht="15.75" customHeight="1">
      <c r="J333" s="10"/>
      <c r="N333" s="11"/>
    </row>
    <row r="334" ht="15.75" customHeight="1">
      <c r="J334" s="10"/>
      <c r="N334" s="11"/>
    </row>
    <row r="335" ht="15.75" customHeight="1">
      <c r="J335" s="10"/>
      <c r="N335" s="11"/>
    </row>
    <row r="336" ht="15.75" customHeight="1">
      <c r="J336" s="10"/>
      <c r="N336" s="11"/>
    </row>
    <row r="337" ht="15.75" customHeight="1">
      <c r="J337" s="10"/>
      <c r="N337" s="11"/>
    </row>
    <row r="338" ht="15.75" customHeight="1">
      <c r="J338" s="10"/>
      <c r="N338" s="11"/>
    </row>
    <row r="339" ht="15.75" customHeight="1">
      <c r="J339" s="10"/>
      <c r="N339" s="11"/>
    </row>
    <row r="340" ht="15.75" customHeight="1">
      <c r="J340" s="10"/>
      <c r="N340" s="11"/>
    </row>
    <row r="341" ht="15.75" customHeight="1">
      <c r="J341" s="10"/>
      <c r="N341" s="11"/>
    </row>
    <row r="342" ht="15.75" customHeight="1">
      <c r="J342" s="10"/>
      <c r="N342" s="11"/>
    </row>
    <row r="343" ht="15.75" customHeight="1">
      <c r="J343" s="10"/>
      <c r="N343" s="11"/>
    </row>
    <row r="344" ht="15.75" customHeight="1">
      <c r="J344" s="10"/>
      <c r="N344" s="11"/>
    </row>
    <row r="345" ht="15.75" customHeight="1">
      <c r="J345" s="10"/>
      <c r="N345" s="11"/>
    </row>
    <row r="346" ht="15.75" customHeight="1">
      <c r="J346" s="10"/>
      <c r="N346" s="11"/>
    </row>
    <row r="347" ht="15.75" customHeight="1">
      <c r="J347" s="10"/>
      <c r="N347" s="11"/>
    </row>
    <row r="348" ht="15.75" customHeight="1">
      <c r="J348" s="10"/>
      <c r="N348" s="11"/>
    </row>
    <row r="349" ht="15.75" customHeight="1">
      <c r="J349" s="10"/>
      <c r="N349" s="11"/>
    </row>
    <row r="350" ht="15.75" customHeight="1">
      <c r="J350" s="10"/>
      <c r="N350" s="11"/>
    </row>
    <row r="351" ht="15.75" customHeight="1">
      <c r="J351" s="10"/>
      <c r="N351" s="11"/>
    </row>
    <row r="352" ht="15.75" customHeight="1">
      <c r="J352" s="10"/>
      <c r="N352" s="11"/>
    </row>
    <row r="353" ht="15.75" customHeight="1">
      <c r="J353" s="10"/>
      <c r="N353" s="11"/>
    </row>
    <row r="354" ht="15.75" customHeight="1">
      <c r="J354" s="10"/>
      <c r="N354" s="11"/>
    </row>
    <row r="355" ht="15.75" customHeight="1">
      <c r="J355" s="10"/>
      <c r="N355" s="11"/>
    </row>
    <row r="356" ht="15.75" customHeight="1">
      <c r="J356" s="10"/>
      <c r="N356" s="11"/>
    </row>
    <row r="357" ht="15.75" customHeight="1">
      <c r="J357" s="10"/>
      <c r="N357" s="11"/>
    </row>
    <row r="358" ht="15.75" customHeight="1">
      <c r="J358" s="10"/>
      <c r="N358" s="11"/>
    </row>
    <row r="359" ht="15.75" customHeight="1">
      <c r="J359" s="10"/>
      <c r="N359" s="11"/>
    </row>
    <row r="360" ht="15.75" customHeight="1">
      <c r="J360" s="10"/>
      <c r="N360" s="11"/>
    </row>
    <row r="361" ht="15.75" customHeight="1">
      <c r="J361" s="10"/>
      <c r="N361" s="11"/>
    </row>
    <row r="362" ht="15.75" customHeight="1">
      <c r="J362" s="10"/>
      <c r="N362" s="11"/>
    </row>
    <row r="363" ht="15.75" customHeight="1">
      <c r="J363" s="10"/>
      <c r="N363" s="11"/>
    </row>
    <row r="364" ht="15.75" customHeight="1">
      <c r="J364" s="10"/>
      <c r="N364" s="11"/>
    </row>
    <row r="365" ht="15.75" customHeight="1">
      <c r="J365" s="10"/>
      <c r="N365" s="11"/>
    </row>
    <row r="366" ht="15.75" customHeight="1">
      <c r="J366" s="10"/>
      <c r="N366" s="11"/>
    </row>
    <row r="367" ht="15.75" customHeight="1">
      <c r="J367" s="10"/>
      <c r="N367" s="11"/>
    </row>
    <row r="368" ht="15.75" customHeight="1">
      <c r="J368" s="10"/>
      <c r="N368" s="11"/>
    </row>
    <row r="369" ht="15.75" customHeight="1">
      <c r="J369" s="10"/>
      <c r="N369" s="11"/>
    </row>
    <row r="370" ht="15.75" customHeight="1">
      <c r="J370" s="10"/>
      <c r="N370" s="11"/>
    </row>
    <row r="371" ht="15.75" customHeight="1">
      <c r="J371" s="10"/>
      <c r="N371" s="11"/>
    </row>
    <row r="372" ht="15.75" customHeight="1">
      <c r="J372" s="10"/>
      <c r="N372" s="11"/>
    </row>
    <row r="373" ht="15.75" customHeight="1">
      <c r="J373" s="10"/>
      <c r="N373" s="11"/>
    </row>
    <row r="374" ht="15.75" customHeight="1">
      <c r="J374" s="10"/>
      <c r="N374" s="11"/>
    </row>
    <row r="375" ht="15.75" customHeight="1">
      <c r="J375" s="10"/>
      <c r="N375" s="11"/>
    </row>
    <row r="376" ht="15.75" customHeight="1">
      <c r="J376" s="10"/>
      <c r="N376" s="11"/>
    </row>
    <row r="377" ht="15.75" customHeight="1">
      <c r="J377" s="10"/>
      <c r="N377" s="11"/>
    </row>
    <row r="378" ht="15.75" customHeight="1">
      <c r="J378" s="10"/>
      <c r="N378" s="11"/>
    </row>
    <row r="379" ht="15.75" customHeight="1">
      <c r="J379" s="10"/>
      <c r="N379" s="11"/>
    </row>
    <row r="380" ht="15.75" customHeight="1">
      <c r="J380" s="10"/>
      <c r="N380" s="11"/>
    </row>
    <row r="381" ht="15.75" customHeight="1">
      <c r="J381" s="10"/>
      <c r="N381" s="11"/>
    </row>
    <row r="382" ht="15.75" customHeight="1">
      <c r="J382" s="10"/>
      <c r="N382" s="11"/>
    </row>
    <row r="383" ht="15.75" customHeight="1">
      <c r="J383" s="10"/>
      <c r="N383" s="11"/>
    </row>
    <row r="384" ht="15.75" customHeight="1">
      <c r="J384" s="10"/>
      <c r="N384" s="11"/>
    </row>
    <row r="385" ht="15.75" customHeight="1">
      <c r="J385" s="10"/>
      <c r="N385" s="11"/>
    </row>
    <row r="386" ht="15.75" customHeight="1">
      <c r="J386" s="10"/>
      <c r="N386" s="11"/>
    </row>
    <row r="387" ht="15.75" customHeight="1">
      <c r="J387" s="10"/>
      <c r="N387" s="11"/>
    </row>
    <row r="388" ht="15.75" customHeight="1">
      <c r="J388" s="10"/>
      <c r="N388" s="11"/>
    </row>
    <row r="389" ht="15.75" customHeight="1">
      <c r="J389" s="10"/>
      <c r="N389" s="11"/>
    </row>
    <row r="390" ht="15.75" customHeight="1">
      <c r="J390" s="10"/>
      <c r="N390" s="11"/>
    </row>
    <row r="391" ht="15.75" customHeight="1">
      <c r="J391" s="10"/>
      <c r="N391" s="11"/>
    </row>
    <row r="392" ht="15.75" customHeight="1">
      <c r="J392" s="10"/>
      <c r="N392" s="11"/>
    </row>
    <row r="393" ht="15.75" customHeight="1">
      <c r="J393" s="10"/>
      <c r="N393" s="11"/>
    </row>
    <row r="394" ht="15.75" customHeight="1">
      <c r="J394" s="10"/>
      <c r="N394" s="11"/>
    </row>
    <row r="395" ht="15.75" customHeight="1">
      <c r="J395" s="10"/>
      <c r="N395" s="11"/>
    </row>
    <row r="396" ht="15.75" customHeight="1">
      <c r="J396" s="10"/>
      <c r="N396" s="11"/>
    </row>
    <row r="397" ht="15.75" customHeight="1">
      <c r="J397" s="10"/>
      <c r="N397" s="11"/>
    </row>
    <row r="398" ht="15.75" customHeight="1">
      <c r="J398" s="10"/>
      <c r="N398" s="11"/>
    </row>
    <row r="399" ht="15.75" customHeight="1">
      <c r="J399" s="10"/>
      <c r="N399" s="11"/>
    </row>
    <row r="400" ht="15.75" customHeight="1">
      <c r="J400" s="10"/>
      <c r="N400" s="11"/>
    </row>
    <row r="401" ht="15.75" customHeight="1">
      <c r="J401" s="10"/>
      <c r="N401" s="11"/>
    </row>
    <row r="402" ht="15.75" customHeight="1">
      <c r="J402" s="10"/>
      <c r="N402" s="11"/>
    </row>
    <row r="403" ht="15.75" customHeight="1">
      <c r="J403" s="10"/>
      <c r="N403" s="11"/>
    </row>
    <row r="404" ht="15.75" customHeight="1">
      <c r="J404" s="10"/>
      <c r="N404" s="11"/>
    </row>
    <row r="405" ht="15.75" customHeight="1">
      <c r="J405" s="10"/>
      <c r="N405" s="11"/>
    </row>
    <row r="406" ht="15.75" customHeight="1">
      <c r="J406" s="10"/>
      <c r="N406" s="11"/>
    </row>
    <row r="407" ht="15.75" customHeight="1">
      <c r="J407" s="10"/>
      <c r="N407" s="11"/>
    </row>
    <row r="408" ht="15.75" customHeight="1">
      <c r="J408" s="10"/>
      <c r="N408" s="11"/>
    </row>
    <row r="409" ht="15.75" customHeight="1">
      <c r="J409" s="10"/>
      <c r="N409" s="11"/>
    </row>
    <row r="410" ht="15.75" customHeight="1">
      <c r="J410" s="10"/>
      <c r="N410" s="11"/>
    </row>
    <row r="411" ht="15.75" customHeight="1">
      <c r="J411" s="10"/>
      <c r="N411" s="11"/>
    </row>
    <row r="412" ht="15.75" customHeight="1">
      <c r="J412" s="10"/>
      <c r="N412" s="11"/>
    </row>
    <row r="413" ht="15.75" customHeight="1">
      <c r="J413" s="10"/>
      <c r="N413" s="11"/>
    </row>
    <row r="414" ht="15.75" customHeight="1">
      <c r="J414" s="10"/>
      <c r="N414" s="11"/>
    </row>
    <row r="415" ht="15.75" customHeight="1">
      <c r="J415" s="10"/>
      <c r="N415" s="11"/>
    </row>
    <row r="416" ht="15.75" customHeight="1">
      <c r="J416" s="10"/>
      <c r="N416" s="11"/>
    </row>
    <row r="417" ht="15.75" customHeight="1">
      <c r="J417" s="10"/>
      <c r="N417" s="11"/>
    </row>
    <row r="418" ht="15.75" customHeight="1">
      <c r="J418" s="10"/>
      <c r="N418" s="11"/>
    </row>
    <row r="419" ht="15.75" customHeight="1">
      <c r="J419" s="10"/>
      <c r="N419" s="11"/>
    </row>
    <row r="420" ht="15.75" customHeight="1">
      <c r="J420" s="10"/>
      <c r="N420" s="11"/>
    </row>
    <row r="421" ht="15.75" customHeight="1">
      <c r="J421" s="10"/>
      <c r="N421" s="11"/>
    </row>
    <row r="422" ht="15.75" customHeight="1">
      <c r="J422" s="10"/>
      <c r="N422" s="11"/>
    </row>
    <row r="423" ht="15.75" customHeight="1">
      <c r="J423" s="10"/>
      <c r="N423" s="11"/>
    </row>
    <row r="424" ht="15.75" customHeight="1">
      <c r="J424" s="10"/>
      <c r="N424" s="11"/>
    </row>
    <row r="425" ht="15.75" customHeight="1">
      <c r="J425" s="10"/>
      <c r="N425" s="11"/>
    </row>
    <row r="426" ht="15.75" customHeight="1">
      <c r="J426" s="10"/>
      <c r="N426" s="11"/>
    </row>
    <row r="427" ht="15.75" customHeight="1">
      <c r="J427" s="10"/>
      <c r="N427" s="11"/>
    </row>
    <row r="428" ht="15.75" customHeight="1">
      <c r="J428" s="10"/>
      <c r="N428" s="11"/>
    </row>
    <row r="429" ht="15.75" customHeight="1">
      <c r="J429" s="10"/>
      <c r="N429" s="11"/>
    </row>
    <row r="430" ht="15.75" customHeight="1">
      <c r="J430" s="10"/>
      <c r="N430" s="11"/>
    </row>
    <row r="431" ht="15.75" customHeight="1">
      <c r="J431" s="10"/>
      <c r="N431" s="11"/>
    </row>
    <row r="432" ht="15.75" customHeight="1">
      <c r="J432" s="10"/>
      <c r="N432" s="11"/>
    </row>
    <row r="433" ht="15.75" customHeight="1">
      <c r="J433" s="10"/>
      <c r="N433" s="11"/>
    </row>
    <row r="434" ht="15.75" customHeight="1">
      <c r="J434" s="10"/>
      <c r="N434" s="11"/>
    </row>
    <row r="435" ht="15.75" customHeight="1">
      <c r="J435" s="10"/>
      <c r="N435" s="11"/>
    </row>
    <row r="436" ht="15.75" customHeight="1">
      <c r="J436" s="10"/>
      <c r="N436" s="11"/>
    </row>
    <row r="437" ht="15.75" customHeight="1">
      <c r="J437" s="10"/>
      <c r="N437" s="11"/>
    </row>
    <row r="438" ht="15.75" customHeight="1">
      <c r="J438" s="10"/>
      <c r="N438" s="11"/>
    </row>
    <row r="439" ht="15.75" customHeight="1">
      <c r="J439" s="10"/>
      <c r="N439" s="11"/>
    </row>
    <row r="440" ht="15.75" customHeight="1">
      <c r="J440" s="10"/>
      <c r="N440" s="11"/>
    </row>
    <row r="441" ht="15.75" customHeight="1">
      <c r="J441" s="10"/>
      <c r="N441" s="11"/>
    </row>
    <row r="442" ht="15.75" customHeight="1">
      <c r="J442" s="10"/>
      <c r="N442" s="11"/>
    </row>
    <row r="443" ht="15.75" customHeight="1">
      <c r="J443" s="10"/>
      <c r="N443" s="11"/>
    </row>
    <row r="444" ht="15.75" customHeight="1">
      <c r="J444" s="10"/>
      <c r="N444" s="11"/>
    </row>
    <row r="445" ht="15.75" customHeight="1">
      <c r="J445" s="10"/>
      <c r="N445" s="11"/>
    </row>
    <row r="446" ht="15.75" customHeight="1">
      <c r="J446" s="10"/>
      <c r="N446" s="11"/>
    </row>
    <row r="447" ht="15.75" customHeight="1">
      <c r="J447" s="10"/>
      <c r="N447" s="11"/>
    </row>
    <row r="448" ht="15.75" customHeight="1">
      <c r="J448" s="10"/>
      <c r="N448" s="11"/>
    </row>
    <row r="449" ht="15.75" customHeight="1">
      <c r="J449" s="10"/>
      <c r="N449" s="11"/>
    </row>
    <row r="450" ht="15.75" customHeight="1">
      <c r="J450" s="10"/>
      <c r="N450" s="11"/>
    </row>
    <row r="451" ht="15.75" customHeight="1">
      <c r="J451" s="10"/>
      <c r="N451" s="11"/>
    </row>
    <row r="452" ht="15.75" customHeight="1">
      <c r="J452" s="10"/>
      <c r="N452" s="11"/>
    </row>
    <row r="453" ht="15.75" customHeight="1">
      <c r="J453" s="10"/>
      <c r="N453" s="11"/>
    </row>
    <row r="454" ht="15.75" customHeight="1">
      <c r="J454" s="10"/>
      <c r="N454" s="11"/>
    </row>
    <row r="455" ht="15.75" customHeight="1">
      <c r="J455" s="10"/>
      <c r="N455" s="11"/>
    </row>
    <row r="456" ht="15.75" customHeight="1">
      <c r="J456" s="10"/>
      <c r="N456" s="11"/>
    </row>
    <row r="457" ht="15.75" customHeight="1">
      <c r="J457" s="10"/>
      <c r="N457" s="11"/>
    </row>
    <row r="458" ht="15.75" customHeight="1">
      <c r="J458" s="10"/>
      <c r="N458" s="11"/>
    </row>
    <row r="459" ht="15.75" customHeight="1">
      <c r="J459" s="10"/>
      <c r="N459" s="11"/>
    </row>
    <row r="460" ht="15.75" customHeight="1">
      <c r="J460" s="10"/>
      <c r="N460" s="11"/>
    </row>
    <row r="461" ht="15.75" customHeight="1">
      <c r="J461" s="10"/>
      <c r="N461" s="11"/>
    </row>
    <row r="462" ht="15.75" customHeight="1">
      <c r="J462" s="10"/>
      <c r="N462" s="11"/>
    </row>
    <row r="463" ht="15.75" customHeight="1">
      <c r="J463" s="10"/>
      <c r="N463" s="11"/>
    </row>
    <row r="464" ht="15.75" customHeight="1">
      <c r="J464" s="10"/>
      <c r="N464" s="11"/>
    </row>
    <row r="465" ht="15.75" customHeight="1">
      <c r="J465" s="10"/>
      <c r="N465" s="11"/>
    </row>
    <row r="466" ht="15.75" customHeight="1">
      <c r="J466" s="10"/>
      <c r="N466" s="11"/>
    </row>
    <row r="467" ht="15.75" customHeight="1">
      <c r="J467" s="10"/>
      <c r="N467" s="11"/>
    </row>
    <row r="468" ht="15.75" customHeight="1">
      <c r="J468" s="10"/>
      <c r="N468" s="11"/>
    </row>
    <row r="469" ht="15.75" customHeight="1">
      <c r="J469" s="10"/>
      <c r="N469" s="11"/>
    </row>
    <row r="470" ht="15.75" customHeight="1">
      <c r="J470" s="10"/>
      <c r="N470" s="11"/>
    </row>
    <row r="471" ht="15.75" customHeight="1">
      <c r="J471" s="10"/>
      <c r="N471" s="11"/>
    </row>
    <row r="472" ht="15.75" customHeight="1">
      <c r="J472" s="10"/>
      <c r="N472" s="11"/>
    </row>
    <row r="473" ht="15.75" customHeight="1">
      <c r="J473" s="10"/>
      <c r="N473" s="11"/>
    </row>
    <row r="474" ht="15.75" customHeight="1">
      <c r="J474" s="10"/>
      <c r="N474" s="11"/>
    </row>
    <row r="475" ht="15.75" customHeight="1">
      <c r="J475" s="10"/>
      <c r="N475" s="11"/>
    </row>
    <row r="476" ht="15.75" customHeight="1">
      <c r="J476" s="10"/>
      <c r="N476" s="11"/>
    </row>
    <row r="477" ht="15.75" customHeight="1">
      <c r="J477" s="10"/>
      <c r="N477" s="11"/>
    </row>
    <row r="478" ht="15.75" customHeight="1">
      <c r="J478" s="10"/>
      <c r="N478" s="11"/>
    </row>
    <row r="479" ht="15.75" customHeight="1">
      <c r="J479" s="10"/>
      <c r="N479" s="11"/>
    </row>
    <row r="480" ht="15.75" customHeight="1">
      <c r="J480" s="10"/>
      <c r="N480" s="11"/>
    </row>
    <row r="481" ht="15.75" customHeight="1">
      <c r="J481" s="10"/>
      <c r="N481" s="11"/>
    </row>
    <row r="482" ht="15.75" customHeight="1">
      <c r="J482" s="10"/>
      <c r="N482" s="11"/>
    </row>
    <row r="483" ht="15.75" customHeight="1">
      <c r="J483" s="10"/>
      <c r="N483" s="11"/>
    </row>
    <row r="484" ht="15.75" customHeight="1">
      <c r="J484" s="10"/>
      <c r="N484" s="11"/>
    </row>
    <row r="485" ht="15.75" customHeight="1">
      <c r="J485" s="10"/>
      <c r="N485" s="11"/>
    </row>
    <row r="486" ht="15.75" customHeight="1">
      <c r="J486" s="10"/>
      <c r="N486" s="11"/>
    </row>
    <row r="487" ht="15.75" customHeight="1">
      <c r="J487" s="10"/>
      <c r="N487" s="11"/>
    </row>
    <row r="488" ht="15.75" customHeight="1">
      <c r="J488" s="10"/>
      <c r="N488" s="11"/>
    </row>
    <row r="489" ht="15.75" customHeight="1">
      <c r="J489" s="10"/>
      <c r="N489" s="11"/>
    </row>
    <row r="490" ht="15.75" customHeight="1">
      <c r="J490" s="10"/>
      <c r="N490" s="11"/>
    </row>
    <row r="491" ht="15.75" customHeight="1">
      <c r="J491" s="10"/>
      <c r="N491" s="11"/>
    </row>
    <row r="492" ht="15.75" customHeight="1">
      <c r="J492" s="10"/>
      <c r="N492" s="11"/>
    </row>
    <row r="493" ht="15.75" customHeight="1">
      <c r="J493" s="10"/>
      <c r="N493" s="11"/>
    </row>
    <row r="494" ht="15.75" customHeight="1">
      <c r="J494" s="10"/>
      <c r="N494" s="11"/>
    </row>
    <row r="495" ht="15.75" customHeight="1">
      <c r="J495" s="10"/>
      <c r="N495" s="11"/>
    </row>
    <row r="496" ht="15.75" customHeight="1">
      <c r="J496" s="10"/>
      <c r="N496" s="11"/>
    </row>
    <row r="497" ht="15.75" customHeight="1">
      <c r="J497" s="10"/>
      <c r="N497" s="11"/>
    </row>
    <row r="498" ht="15.75" customHeight="1">
      <c r="J498" s="10"/>
      <c r="N498" s="11"/>
    </row>
    <row r="499" ht="15.75" customHeight="1">
      <c r="J499" s="10"/>
      <c r="N499" s="11"/>
    </row>
    <row r="500" ht="15.75" customHeight="1">
      <c r="J500" s="10"/>
      <c r="N500" s="11"/>
    </row>
    <row r="501" ht="15.75" customHeight="1">
      <c r="J501" s="10"/>
      <c r="N501" s="11"/>
    </row>
    <row r="502" ht="15.75" customHeight="1">
      <c r="J502" s="10"/>
      <c r="N502" s="11"/>
    </row>
    <row r="503" ht="15.75" customHeight="1">
      <c r="J503" s="10"/>
      <c r="N503" s="11"/>
    </row>
    <row r="504" ht="15.75" customHeight="1">
      <c r="J504" s="10"/>
      <c r="N504" s="11"/>
    </row>
    <row r="505" ht="15.75" customHeight="1">
      <c r="J505" s="10"/>
      <c r="N505" s="11"/>
    </row>
    <row r="506" ht="15.75" customHeight="1">
      <c r="J506" s="10"/>
      <c r="N506" s="11"/>
    </row>
    <row r="507" ht="15.75" customHeight="1">
      <c r="J507" s="10"/>
      <c r="N507" s="11"/>
    </row>
    <row r="508" ht="15.75" customHeight="1">
      <c r="J508" s="10"/>
      <c r="N508" s="11"/>
    </row>
    <row r="509" ht="15.75" customHeight="1">
      <c r="J509" s="10"/>
      <c r="N509" s="11"/>
    </row>
    <row r="510" ht="15.75" customHeight="1">
      <c r="J510" s="10"/>
      <c r="N510" s="11"/>
    </row>
    <row r="511" ht="15.75" customHeight="1">
      <c r="J511" s="10"/>
      <c r="N511" s="11"/>
    </row>
    <row r="512" ht="15.75" customHeight="1">
      <c r="J512" s="10"/>
      <c r="N512" s="11"/>
    </row>
    <row r="513" ht="15.75" customHeight="1">
      <c r="J513" s="10"/>
      <c r="N513" s="11"/>
    </row>
    <row r="514" ht="15.75" customHeight="1">
      <c r="J514" s="10"/>
      <c r="N514" s="11"/>
    </row>
    <row r="515" ht="15.75" customHeight="1">
      <c r="J515" s="10"/>
      <c r="N515" s="11"/>
    </row>
    <row r="516" ht="15.75" customHeight="1">
      <c r="J516" s="10"/>
      <c r="N516" s="11"/>
    </row>
    <row r="517" ht="15.75" customHeight="1">
      <c r="J517" s="10"/>
      <c r="N517" s="11"/>
    </row>
    <row r="518" ht="15.75" customHeight="1">
      <c r="J518" s="10"/>
      <c r="N518" s="11"/>
    </row>
    <row r="519" ht="15.75" customHeight="1">
      <c r="J519" s="10"/>
      <c r="N519" s="11"/>
    </row>
    <row r="520" ht="15.75" customHeight="1">
      <c r="J520" s="10"/>
      <c r="N520" s="11"/>
    </row>
    <row r="521" ht="15.75" customHeight="1">
      <c r="J521" s="10"/>
      <c r="N521" s="11"/>
    </row>
    <row r="522" ht="15.75" customHeight="1">
      <c r="J522" s="10"/>
      <c r="N522" s="11"/>
    </row>
    <row r="523" ht="15.75" customHeight="1">
      <c r="J523" s="10"/>
      <c r="N523" s="11"/>
    </row>
    <row r="524" ht="15.75" customHeight="1">
      <c r="J524" s="10"/>
      <c r="N524" s="11"/>
    </row>
    <row r="525" ht="15.75" customHeight="1">
      <c r="J525" s="10"/>
      <c r="N525" s="11"/>
    </row>
    <row r="526" ht="15.75" customHeight="1">
      <c r="J526" s="10"/>
      <c r="N526" s="11"/>
    </row>
    <row r="527" ht="15.75" customHeight="1">
      <c r="J527" s="10"/>
      <c r="N527" s="11"/>
    </row>
    <row r="528" ht="15.75" customHeight="1">
      <c r="J528" s="10"/>
      <c r="N528" s="11"/>
    </row>
    <row r="529" ht="15.75" customHeight="1">
      <c r="J529" s="10"/>
      <c r="N529" s="11"/>
    </row>
    <row r="530" ht="15.75" customHeight="1">
      <c r="J530" s="10"/>
      <c r="N530" s="11"/>
    </row>
    <row r="531" ht="15.75" customHeight="1">
      <c r="J531" s="10"/>
      <c r="N531" s="11"/>
    </row>
    <row r="532" ht="15.75" customHeight="1">
      <c r="J532" s="10"/>
      <c r="N532" s="11"/>
    </row>
    <row r="533" ht="15.75" customHeight="1">
      <c r="J533" s="10"/>
      <c r="N533" s="11"/>
    </row>
    <row r="534" ht="15.75" customHeight="1">
      <c r="J534" s="10"/>
      <c r="N534" s="11"/>
    </row>
    <row r="535" ht="15.75" customHeight="1">
      <c r="J535" s="10"/>
      <c r="N535" s="11"/>
    </row>
    <row r="536" ht="15.75" customHeight="1">
      <c r="J536" s="10"/>
      <c r="N536" s="11"/>
    </row>
    <row r="537" ht="15.75" customHeight="1">
      <c r="J537" s="10"/>
      <c r="N537" s="11"/>
    </row>
    <row r="538" ht="15.75" customHeight="1">
      <c r="J538" s="10"/>
      <c r="N538" s="11"/>
    </row>
    <row r="539" ht="15.75" customHeight="1">
      <c r="J539" s="10"/>
      <c r="N539" s="11"/>
    </row>
    <row r="540" ht="15.75" customHeight="1">
      <c r="J540" s="10"/>
      <c r="N540" s="11"/>
    </row>
    <row r="541" ht="15.75" customHeight="1">
      <c r="J541" s="10"/>
      <c r="N541" s="11"/>
    </row>
    <row r="542" ht="15.75" customHeight="1">
      <c r="J542" s="10"/>
      <c r="N542" s="11"/>
    </row>
    <row r="543" ht="15.75" customHeight="1">
      <c r="J543" s="10"/>
      <c r="N543" s="11"/>
    </row>
    <row r="544" ht="15.75" customHeight="1">
      <c r="J544" s="10"/>
      <c r="N544" s="11"/>
    </row>
    <row r="545" ht="15.75" customHeight="1">
      <c r="J545" s="10"/>
      <c r="N545" s="11"/>
    </row>
    <row r="546" ht="15.75" customHeight="1">
      <c r="J546" s="10"/>
      <c r="N546" s="11"/>
    </row>
    <row r="547" ht="15.75" customHeight="1">
      <c r="J547" s="10"/>
      <c r="N547" s="11"/>
    </row>
    <row r="548" ht="15.75" customHeight="1">
      <c r="J548" s="10"/>
      <c r="N548" s="11"/>
    </row>
    <row r="549" ht="15.75" customHeight="1">
      <c r="J549" s="10"/>
      <c r="N549" s="11"/>
    </row>
    <row r="550" ht="15.75" customHeight="1">
      <c r="J550" s="10"/>
      <c r="N550" s="11"/>
    </row>
    <row r="551" ht="15.75" customHeight="1">
      <c r="J551" s="10"/>
      <c r="N551" s="11"/>
    </row>
    <row r="552" ht="15.75" customHeight="1">
      <c r="J552" s="10"/>
      <c r="N552" s="11"/>
    </row>
    <row r="553" ht="15.75" customHeight="1">
      <c r="J553" s="10"/>
      <c r="N553" s="11"/>
    </row>
    <row r="554" ht="15.75" customHeight="1">
      <c r="J554" s="10"/>
      <c r="N554" s="11"/>
    </row>
    <row r="555" ht="15.75" customHeight="1">
      <c r="J555" s="10"/>
      <c r="N555" s="11"/>
    </row>
    <row r="556" ht="15.75" customHeight="1">
      <c r="J556" s="10"/>
      <c r="N556" s="11"/>
    </row>
    <row r="557" ht="15.75" customHeight="1">
      <c r="J557" s="10"/>
      <c r="N557" s="11"/>
    </row>
    <row r="558" ht="15.75" customHeight="1">
      <c r="J558" s="10"/>
      <c r="N558" s="11"/>
    </row>
    <row r="559" ht="15.75" customHeight="1">
      <c r="J559" s="10"/>
      <c r="N559" s="11"/>
    </row>
    <row r="560" ht="15.75" customHeight="1">
      <c r="J560" s="10"/>
      <c r="N560" s="11"/>
    </row>
    <row r="561" ht="15.75" customHeight="1">
      <c r="J561" s="10"/>
      <c r="N561" s="11"/>
    </row>
    <row r="562" ht="15.75" customHeight="1">
      <c r="J562" s="10"/>
      <c r="N562" s="11"/>
    </row>
    <row r="563" ht="15.75" customHeight="1">
      <c r="J563" s="10"/>
      <c r="N563" s="11"/>
    </row>
    <row r="564" ht="15.75" customHeight="1">
      <c r="J564" s="10"/>
      <c r="N564" s="11"/>
    </row>
    <row r="565" ht="15.75" customHeight="1">
      <c r="J565" s="10"/>
      <c r="N565" s="11"/>
    </row>
    <row r="566" ht="15.75" customHeight="1">
      <c r="J566" s="10"/>
      <c r="N566" s="11"/>
    </row>
    <row r="567" ht="15.75" customHeight="1">
      <c r="J567" s="10"/>
      <c r="N567" s="11"/>
    </row>
    <row r="568" ht="15.75" customHeight="1">
      <c r="J568" s="10"/>
      <c r="N568" s="11"/>
    </row>
    <row r="569" ht="15.75" customHeight="1">
      <c r="J569" s="10"/>
      <c r="N569" s="11"/>
    </row>
    <row r="570" ht="15.75" customHeight="1">
      <c r="J570" s="10"/>
      <c r="N570" s="11"/>
    </row>
    <row r="571" ht="15.75" customHeight="1">
      <c r="J571" s="10"/>
      <c r="N571" s="11"/>
    </row>
    <row r="572" ht="15.75" customHeight="1">
      <c r="J572" s="10"/>
      <c r="N572" s="11"/>
    </row>
    <row r="573" ht="15.75" customHeight="1">
      <c r="J573" s="10"/>
      <c r="N573" s="11"/>
    </row>
    <row r="574" ht="15.75" customHeight="1">
      <c r="J574" s="10"/>
      <c r="N574" s="11"/>
    </row>
    <row r="575" ht="15.75" customHeight="1">
      <c r="J575" s="10"/>
      <c r="N575" s="11"/>
    </row>
    <row r="576" ht="15.75" customHeight="1">
      <c r="J576" s="10"/>
      <c r="N576" s="11"/>
    </row>
    <row r="577" ht="15.75" customHeight="1">
      <c r="J577" s="10"/>
      <c r="N577" s="11"/>
    </row>
    <row r="578" ht="15.75" customHeight="1">
      <c r="J578" s="10"/>
      <c r="N578" s="11"/>
    </row>
    <row r="579" ht="15.75" customHeight="1">
      <c r="J579" s="10"/>
      <c r="N579" s="11"/>
    </row>
    <row r="580" ht="15.75" customHeight="1">
      <c r="J580" s="10"/>
      <c r="N580" s="11"/>
    </row>
    <row r="581" ht="15.75" customHeight="1">
      <c r="J581" s="10"/>
      <c r="N581" s="11"/>
    </row>
    <row r="582" ht="15.75" customHeight="1">
      <c r="J582" s="10"/>
      <c r="N582" s="11"/>
    </row>
    <row r="583" ht="15.75" customHeight="1">
      <c r="J583" s="10"/>
      <c r="N583" s="11"/>
    </row>
    <row r="584" ht="15.75" customHeight="1">
      <c r="J584" s="10"/>
      <c r="N584" s="11"/>
    </row>
    <row r="585" ht="15.75" customHeight="1">
      <c r="J585" s="10"/>
      <c r="N585" s="11"/>
    </row>
    <row r="586" ht="15.75" customHeight="1">
      <c r="J586" s="10"/>
      <c r="N586" s="11"/>
    </row>
    <row r="587" ht="15.75" customHeight="1">
      <c r="J587" s="10"/>
      <c r="N587" s="11"/>
    </row>
    <row r="588" ht="15.75" customHeight="1">
      <c r="J588" s="10"/>
      <c r="N588" s="11"/>
    </row>
    <row r="589" ht="15.75" customHeight="1">
      <c r="J589" s="10"/>
      <c r="N589" s="11"/>
    </row>
    <row r="590" ht="15.75" customHeight="1">
      <c r="J590" s="10"/>
      <c r="N590" s="11"/>
    </row>
    <row r="591" ht="15.75" customHeight="1">
      <c r="J591" s="10"/>
      <c r="N591" s="11"/>
    </row>
    <row r="592" ht="15.75" customHeight="1">
      <c r="J592" s="10"/>
      <c r="N592" s="11"/>
    </row>
    <row r="593" ht="15.75" customHeight="1">
      <c r="J593" s="10"/>
      <c r="N593" s="11"/>
    </row>
    <row r="594" ht="15.75" customHeight="1">
      <c r="J594" s="10"/>
      <c r="N594" s="11"/>
    </row>
    <row r="595" ht="15.75" customHeight="1">
      <c r="J595" s="10"/>
      <c r="N595" s="11"/>
    </row>
    <row r="596" ht="15.75" customHeight="1">
      <c r="J596" s="10"/>
      <c r="N596" s="11"/>
    </row>
    <row r="597" ht="15.75" customHeight="1">
      <c r="J597" s="10"/>
      <c r="N597" s="11"/>
    </row>
    <row r="598" ht="15.75" customHeight="1">
      <c r="J598" s="10"/>
      <c r="N598" s="11"/>
    </row>
    <row r="599" ht="15.75" customHeight="1">
      <c r="J599" s="10"/>
      <c r="N599" s="11"/>
    </row>
    <row r="600" ht="15.75" customHeight="1">
      <c r="J600" s="10"/>
      <c r="N600" s="11"/>
    </row>
    <row r="601" ht="15.75" customHeight="1">
      <c r="J601" s="10"/>
      <c r="N601" s="11"/>
    </row>
    <row r="602" ht="15.75" customHeight="1">
      <c r="J602" s="10"/>
      <c r="N602" s="11"/>
    </row>
    <row r="603" ht="15.75" customHeight="1">
      <c r="J603" s="10"/>
      <c r="N603" s="11"/>
    </row>
    <row r="604" ht="15.75" customHeight="1">
      <c r="J604" s="10"/>
      <c r="N604" s="11"/>
    </row>
    <row r="605" ht="15.75" customHeight="1">
      <c r="J605" s="10"/>
      <c r="N605" s="11"/>
    </row>
    <row r="606" ht="15.75" customHeight="1">
      <c r="J606" s="10"/>
      <c r="N606" s="11"/>
    </row>
    <row r="607" ht="15.75" customHeight="1">
      <c r="J607" s="10"/>
      <c r="N607" s="11"/>
    </row>
    <row r="608" ht="15.75" customHeight="1">
      <c r="J608" s="10"/>
      <c r="N608" s="11"/>
    </row>
    <row r="609" ht="15.75" customHeight="1">
      <c r="J609" s="10"/>
      <c r="N609" s="11"/>
    </row>
    <row r="610" ht="15.75" customHeight="1">
      <c r="J610" s="10"/>
      <c r="N610" s="11"/>
    </row>
    <row r="611" ht="15.75" customHeight="1">
      <c r="J611" s="10"/>
      <c r="N611" s="11"/>
    </row>
    <row r="612" ht="15.75" customHeight="1">
      <c r="J612" s="10"/>
      <c r="N612" s="11"/>
    </row>
    <row r="613" ht="15.75" customHeight="1">
      <c r="J613" s="10"/>
      <c r="N613" s="11"/>
    </row>
    <row r="614" ht="15.75" customHeight="1">
      <c r="J614" s="10"/>
      <c r="N614" s="11"/>
    </row>
    <row r="615" ht="15.75" customHeight="1">
      <c r="J615" s="10"/>
      <c r="N615" s="11"/>
    </row>
    <row r="616" ht="15.75" customHeight="1">
      <c r="J616" s="10"/>
      <c r="N616" s="11"/>
    </row>
    <row r="617" ht="15.75" customHeight="1">
      <c r="J617" s="10"/>
      <c r="N617" s="11"/>
    </row>
    <row r="618" ht="15.75" customHeight="1">
      <c r="J618" s="10"/>
      <c r="N618" s="11"/>
    </row>
    <row r="619" ht="15.75" customHeight="1">
      <c r="J619" s="10"/>
      <c r="N619" s="11"/>
    </row>
    <row r="620" ht="15.75" customHeight="1">
      <c r="J620" s="10"/>
      <c r="N620" s="11"/>
    </row>
    <row r="621" ht="15.75" customHeight="1">
      <c r="J621" s="10"/>
      <c r="N621" s="11"/>
    </row>
    <row r="622" ht="15.75" customHeight="1">
      <c r="J622" s="10"/>
      <c r="N622" s="11"/>
    </row>
    <row r="623" ht="15.75" customHeight="1">
      <c r="J623" s="10"/>
      <c r="N623" s="11"/>
    </row>
    <row r="624" ht="15.75" customHeight="1">
      <c r="J624" s="10"/>
      <c r="N624" s="11"/>
    </row>
    <row r="625" ht="15.75" customHeight="1">
      <c r="J625" s="10"/>
      <c r="N625" s="11"/>
    </row>
    <row r="626" ht="15.75" customHeight="1">
      <c r="J626" s="10"/>
      <c r="N626" s="11"/>
    </row>
    <row r="627" ht="15.75" customHeight="1">
      <c r="J627" s="10"/>
      <c r="N627" s="11"/>
    </row>
    <row r="628" ht="15.75" customHeight="1">
      <c r="J628" s="10"/>
      <c r="N628" s="11"/>
    </row>
    <row r="629" ht="15.75" customHeight="1">
      <c r="J629" s="10"/>
      <c r="N629" s="11"/>
    </row>
    <row r="630" ht="15.75" customHeight="1">
      <c r="J630" s="10"/>
      <c r="N630" s="11"/>
    </row>
    <row r="631" ht="15.75" customHeight="1">
      <c r="J631" s="10"/>
      <c r="N631" s="11"/>
    </row>
    <row r="632" ht="15.75" customHeight="1">
      <c r="J632" s="10"/>
      <c r="N632" s="11"/>
    </row>
    <row r="633" ht="15.75" customHeight="1">
      <c r="J633" s="10"/>
      <c r="N633" s="11"/>
    </row>
    <row r="634" ht="15.75" customHeight="1">
      <c r="J634" s="10"/>
      <c r="N634" s="11"/>
    </row>
    <row r="635" ht="15.75" customHeight="1">
      <c r="J635" s="10"/>
      <c r="N635" s="11"/>
    </row>
    <row r="636" ht="15.75" customHeight="1">
      <c r="J636" s="10"/>
      <c r="N636" s="11"/>
    </row>
    <row r="637" ht="15.75" customHeight="1">
      <c r="J637" s="10"/>
      <c r="N637" s="11"/>
    </row>
    <row r="638" ht="15.75" customHeight="1">
      <c r="J638" s="10"/>
      <c r="N638" s="11"/>
    </row>
    <row r="639" ht="15.75" customHeight="1">
      <c r="J639" s="10"/>
      <c r="N639" s="11"/>
    </row>
    <row r="640" ht="15.75" customHeight="1">
      <c r="J640" s="10"/>
      <c r="N640" s="11"/>
    </row>
    <row r="641" ht="15.75" customHeight="1">
      <c r="J641" s="10"/>
      <c r="N641" s="11"/>
    </row>
    <row r="642" ht="15.75" customHeight="1">
      <c r="J642" s="10"/>
      <c r="N642" s="11"/>
    </row>
    <row r="643" ht="15.75" customHeight="1">
      <c r="J643" s="10"/>
      <c r="N643" s="11"/>
    </row>
    <row r="644" ht="15.75" customHeight="1">
      <c r="J644" s="10"/>
      <c r="N644" s="11"/>
    </row>
    <row r="645" ht="15.75" customHeight="1">
      <c r="J645" s="10"/>
      <c r="N645" s="11"/>
    </row>
    <row r="646" ht="15.75" customHeight="1">
      <c r="J646" s="10"/>
      <c r="N646" s="11"/>
    </row>
    <row r="647" ht="15.75" customHeight="1">
      <c r="J647" s="10"/>
      <c r="N647" s="11"/>
    </row>
    <row r="648" ht="15.75" customHeight="1">
      <c r="J648" s="10"/>
      <c r="N648" s="11"/>
    </row>
    <row r="649" ht="15.75" customHeight="1">
      <c r="J649" s="10"/>
      <c r="N649" s="11"/>
    </row>
    <row r="650" ht="15.75" customHeight="1">
      <c r="J650" s="10"/>
      <c r="N650" s="11"/>
    </row>
    <row r="651" ht="15.75" customHeight="1">
      <c r="J651" s="10"/>
      <c r="N651" s="11"/>
    </row>
    <row r="652" ht="15.75" customHeight="1">
      <c r="J652" s="10"/>
      <c r="N652" s="11"/>
    </row>
    <row r="653" ht="15.75" customHeight="1">
      <c r="J653" s="10"/>
      <c r="N653" s="11"/>
    </row>
    <row r="654" ht="15.75" customHeight="1">
      <c r="J654" s="10"/>
      <c r="N654" s="11"/>
    </row>
    <row r="655" ht="15.75" customHeight="1">
      <c r="J655" s="10"/>
      <c r="N655" s="11"/>
    </row>
    <row r="656" ht="15.75" customHeight="1">
      <c r="J656" s="10"/>
      <c r="N656" s="11"/>
    </row>
    <row r="657" ht="15.75" customHeight="1">
      <c r="J657" s="10"/>
      <c r="N657" s="11"/>
    </row>
    <row r="658" ht="15.75" customHeight="1">
      <c r="J658" s="10"/>
      <c r="N658" s="11"/>
    </row>
    <row r="659" ht="15.75" customHeight="1">
      <c r="J659" s="10"/>
      <c r="N659" s="11"/>
    </row>
    <row r="660" ht="15.75" customHeight="1">
      <c r="J660" s="10"/>
      <c r="N660" s="11"/>
    </row>
    <row r="661" ht="15.75" customHeight="1">
      <c r="J661" s="10"/>
      <c r="N661" s="11"/>
    </row>
    <row r="662" ht="15.75" customHeight="1">
      <c r="J662" s="10"/>
      <c r="N662" s="11"/>
    </row>
    <row r="663" ht="15.75" customHeight="1">
      <c r="J663" s="10"/>
      <c r="N663" s="11"/>
    </row>
    <row r="664" ht="15.75" customHeight="1">
      <c r="J664" s="10"/>
      <c r="N664" s="11"/>
    </row>
    <row r="665" ht="15.75" customHeight="1">
      <c r="J665" s="10"/>
      <c r="N665" s="11"/>
    </row>
    <row r="666" ht="15.75" customHeight="1">
      <c r="J666" s="10"/>
      <c r="N666" s="11"/>
    </row>
    <row r="667" ht="15.75" customHeight="1">
      <c r="J667" s="10"/>
      <c r="N667" s="11"/>
    </row>
    <row r="668" ht="15.75" customHeight="1">
      <c r="J668" s="10"/>
      <c r="N668" s="11"/>
    </row>
    <row r="669" ht="15.75" customHeight="1">
      <c r="J669" s="10"/>
      <c r="N669" s="11"/>
    </row>
    <row r="670" ht="15.75" customHeight="1">
      <c r="J670" s="10"/>
      <c r="N670" s="11"/>
    </row>
    <row r="671" ht="15.75" customHeight="1">
      <c r="J671" s="10"/>
      <c r="N671" s="11"/>
    </row>
    <row r="672" ht="15.75" customHeight="1">
      <c r="J672" s="10"/>
      <c r="N672" s="11"/>
    </row>
    <row r="673" ht="15.75" customHeight="1">
      <c r="J673" s="10"/>
      <c r="N673" s="11"/>
    </row>
    <row r="674" ht="15.75" customHeight="1">
      <c r="J674" s="10"/>
      <c r="N674" s="11"/>
    </row>
    <row r="675" ht="15.75" customHeight="1">
      <c r="J675" s="10"/>
      <c r="N675" s="11"/>
    </row>
    <row r="676" ht="15.75" customHeight="1">
      <c r="J676" s="10"/>
      <c r="N676" s="11"/>
    </row>
    <row r="677" ht="15.75" customHeight="1">
      <c r="J677" s="10"/>
      <c r="N677" s="11"/>
    </row>
    <row r="678" ht="15.75" customHeight="1">
      <c r="J678" s="10"/>
      <c r="N678" s="11"/>
    </row>
    <row r="679" ht="15.75" customHeight="1">
      <c r="J679" s="10"/>
      <c r="N679" s="11"/>
    </row>
    <row r="680" ht="15.75" customHeight="1">
      <c r="J680" s="10"/>
      <c r="N680" s="11"/>
    </row>
    <row r="681" ht="15.75" customHeight="1">
      <c r="J681" s="10"/>
      <c r="N681" s="11"/>
    </row>
    <row r="682" ht="15.75" customHeight="1">
      <c r="J682" s="10"/>
      <c r="N682" s="11"/>
    </row>
    <row r="683" ht="15.75" customHeight="1">
      <c r="J683" s="10"/>
      <c r="N683" s="11"/>
    </row>
    <row r="684" ht="15.75" customHeight="1">
      <c r="J684" s="10"/>
      <c r="N684" s="11"/>
    </row>
    <row r="685" ht="15.75" customHeight="1">
      <c r="J685" s="10"/>
      <c r="N685" s="11"/>
    </row>
    <row r="686" ht="15.75" customHeight="1">
      <c r="J686" s="10"/>
      <c r="N686" s="11"/>
    </row>
    <row r="687" ht="15.75" customHeight="1">
      <c r="J687" s="10"/>
      <c r="N687" s="11"/>
    </row>
    <row r="688" ht="15.75" customHeight="1">
      <c r="J688" s="10"/>
      <c r="N688" s="11"/>
    </row>
    <row r="689" ht="15.75" customHeight="1">
      <c r="J689" s="10"/>
      <c r="N689" s="11"/>
    </row>
    <row r="690" ht="15.75" customHeight="1">
      <c r="J690" s="10"/>
      <c r="N690" s="11"/>
    </row>
    <row r="691" ht="15.75" customHeight="1">
      <c r="J691" s="10"/>
      <c r="N691" s="11"/>
    </row>
    <row r="692" ht="15.75" customHeight="1">
      <c r="J692" s="10"/>
      <c r="N692" s="11"/>
    </row>
    <row r="693" ht="15.75" customHeight="1">
      <c r="J693" s="10"/>
      <c r="N693" s="11"/>
    </row>
    <row r="694" ht="15.75" customHeight="1">
      <c r="J694" s="10"/>
      <c r="N694" s="11"/>
    </row>
    <row r="695" ht="15.75" customHeight="1">
      <c r="J695" s="10"/>
      <c r="N695" s="11"/>
    </row>
    <row r="696" ht="15.75" customHeight="1">
      <c r="J696" s="10"/>
      <c r="N696" s="11"/>
    </row>
    <row r="697" ht="15.75" customHeight="1">
      <c r="J697" s="10"/>
      <c r="N697" s="11"/>
    </row>
    <row r="698" ht="15.75" customHeight="1">
      <c r="J698" s="10"/>
      <c r="N698" s="11"/>
    </row>
    <row r="699" ht="15.75" customHeight="1">
      <c r="J699" s="10"/>
      <c r="N699" s="11"/>
    </row>
    <row r="700" ht="15.75" customHeight="1">
      <c r="J700" s="10"/>
      <c r="N700" s="11"/>
    </row>
    <row r="701" ht="15.75" customHeight="1">
      <c r="J701" s="10"/>
      <c r="N701" s="11"/>
    </row>
    <row r="702" ht="15.75" customHeight="1">
      <c r="J702" s="10"/>
      <c r="N702" s="11"/>
    </row>
    <row r="703" ht="15.75" customHeight="1">
      <c r="J703" s="10"/>
      <c r="N703" s="11"/>
    </row>
    <row r="704" ht="15.75" customHeight="1">
      <c r="J704" s="10"/>
      <c r="N704" s="11"/>
    </row>
    <row r="705" ht="15.75" customHeight="1">
      <c r="J705" s="10"/>
      <c r="N705" s="11"/>
    </row>
    <row r="706" ht="15.75" customHeight="1">
      <c r="J706" s="10"/>
      <c r="N706" s="11"/>
    </row>
    <row r="707" ht="15.75" customHeight="1">
      <c r="J707" s="10"/>
      <c r="N707" s="11"/>
    </row>
    <row r="708" ht="15.75" customHeight="1">
      <c r="J708" s="10"/>
      <c r="N708" s="11"/>
    </row>
    <row r="709" ht="15.75" customHeight="1">
      <c r="J709" s="10"/>
      <c r="N709" s="11"/>
    </row>
    <row r="710" ht="15.75" customHeight="1">
      <c r="J710" s="10"/>
      <c r="N710" s="11"/>
    </row>
    <row r="711" ht="15.75" customHeight="1">
      <c r="J711" s="10"/>
      <c r="N711" s="11"/>
    </row>
    <row r="712" ht="15.75" customHeight="1">
      <c r="J712" s="10"/>
      <c r="N712" s="11"/>
    </row>
    <row r="713" ht="15.75" customHeight="1">
      <c r="J713" s="10"/>
      <c r="N713" s="11"/>
    </row>
    <row r="714" ht="15.75" customHeight="1">
      <c r="J714" s="10"/>
      <c r="N714" s="11"/>
    </row>
    <row r="715" ht="15.75" customHeight="1">
      <c r="J715" s="10"/>
      <c r="N715" s="11"/>
    </row>
    <row r="716" ht="15.75" customHeight="1">
      <c r="J716" s="10"/>
      <c r="N716" s="11"/>
    </row>
    <row r="717" ht="15.75" customHeight="1">
      <c r="J717" s="10"/>
      <c r="N717" s="11"/>
    </row>
    <row r="718" ht="15.75" customHeight="1">
      <c r="J718" s="10"/>
      <c r="N718" s="11"/>
    </row>
    <row r="719" ht="15.75" customHeight="1">
      <c r="J719" s="10"/>
      <c r="N719" s="11"/>
    </row>
    <row r="720" ht="15.75" customHeight="1">
      <c r="J720" s="10"/>
      <c r="N720" s="11"/>
    </row>
    <row r="721" ht="15.75" customHeight="1">
      <c r="J721" s="10"/>
      <c r="N721" s="11"/>
    </row>
    <row r="722" ht="15.75" customHeight="1">
      <c r="J722" s="10"/>
      <c r="N722" s="11"/>
    </row>
    <row r="723" ht="15.75" customHeight="1">
      <c r="J723" s="10"/>
      <c r="N723" s="11"/>
    </row>
    <row r="724" ht="15.75" customHeight="1">
      <c r="J724" s="10"/>
      <c r="N724" s="11"/>
    </row>
    <row r="725" ht="15.75" customHeight="1">
      <c r="J725" s="10"/>
      <c r="N725" s="11"/>
    </row>
    <row r="726" ht="15.75" customHeight="1">
      <c r="J726" s="10"/>
      <c r="N726" s="11"/>
    </row>
    <row r="727" ht="15.75" customHeight="1">
      <c r="J727" s="10"/>
      <c r="N727" s="11"/>
    </row>
    <row r="728" ht="15.75" customHeight="1">
      <c r="J728" s="10"/>
      <c r="N728" s="11"/>
    </row>
    <row r="729" ht="15.75" customHeight="1">
      <c r="J729" s="10"/>
      <c r="N729" s="11"/>
    </row>
    <row r="730" ht="15.75" customHeight="1">
      <c r="J730" s="10"/>
      <c r="N730" s="11"/>
    </row>
    <row r="731" ht="15.75" customHeight="1">
      <c r="J731" s="10"/>
      <c r="N731" s="11"/>
    </row>
    <row r="732" ht="15.75" customHeight="1">
      <c r="J732" s="10"/>
      <c r="N732" s="11"/>
    </row>
    <row r="733" ht="15.75" customHeight="1">
      <c r="J733" s="10"/>
      <c r="N733" s="11"/>
    </row>
    <row r="734" ht="15.75" customHeight="1">
      <c r="J734" s="10"/>
      <c r="N734" s="11"/>
    </row>
    <row r="735" ht="15.75" customHeight="1">
      <c r="J735" s="10"/>
      <c r="N735" s="11"/>
    </row>
    <row r="736" ht="15.75" customHeight="1">
      <c r="J736" s="10"/>
      <c r="N736" s="11"/>
    </row>
    <row r="737" ht="15.75" customHeight="1">
      <c r="J737" s="10"/>
      <c r="N737" s="11"/>
    </row>
    <row r="738" ht="15.75" customHeight="1">
      <c r="J738" s="10"/>
      <c r="N738" s="11"/>
    </row>
    <row r="739" ht="15.75" customHeight="1">
      <c r="J739" s="10"/>
      <c r="N739" s="11"/>
    </row>
    <row r="740" ht="15.75" customHeight="1">
      <c r="J740" s="10"/>
      <c r="N740" s="11"/>
    </row>
    <row r="741" ht="15.75" customHeight="1">
      <c r="J741" s="10"/>
      <c r="N741" s="11"/>
    </row>
    <row r="742" ht="15.75" customHeight="1">
      <c r="J742" s="10"/>
      <c r="N742" s="11"/>
    </row>
    <row r="743" ht="15.75" customHeight="1">
      <c r="J743" s="10"/>
      <c r="N743" s="11"/>
    </row>
    <row r="744" ht="15.75" customHeight="1">
      <c r="J744" s="10"/>
      <c r="N744" s="11"/>
    </row>
    <row r="745" ht="15.75" customHeight="1">
      <c r="J745" s="10"/>
      <c r="N745" s="11"/>
    </row>
    <row r="746" ht="15.75" customHeight="1">
      <c r="J746" s="10"/>
      <c r="N746" s="11"/>
    </row>
    <row r="747" ht="15.75" customHeight="1">
      <c r="J747" s="10"/>
      <c r="N747" s="11"/>
    </row>
    <row r="748" ht="15.75" customHeight="1">
      <c r="J748" s="10"/>
      <c r="N748" s="11"/>
    </row>
    <row r="749" ht="15.75" customHeight="1">
      <c r="J749" s="10"/>
      <c r="N749" s="11"/>
    </row>
    <row r="750" ht="15.75" customHeight="1">
      <c r="J750" s="10"/>
      <c r="N750" s="11"/>
    </row>
    <row r="751" ht="15.75" customHeight="1">
      <c r="J751" s="10"/>
      <c r="N751" s="11"/>
    </row>
    <row r="752" ht="15.75" customHeight="1">
      <c r="J752" s="10"/>
      <c r="N752" s="11"/>
    </row>
    <row r="753" ht="15.75" customHeight="1">
      <c r="J753" s="10"/>
      <c r="N753" s="11"/>
    </row>
    <row r="754" ht="15.75" customHeight="1">
      <c r="J754" s="10"/>
      <c r="N754" s="11"/>
    </row>
    <row r="755" ht="15.75" customHeight="1">
      <c r="J755" s="10"/>
      <c r="N755" s="11"/>
    </row>
    <row r="756" ht="15.75" customHeight="1">
      <c r="J756" s="10"/>
      <c r="N756" s="11"/>
    </row>
    <row r="757" ht="15.75" customHeight="1">
      <c r="J757" s="10"/>
      <c r="N757" s="11"/>
    </row>
    <row r="758" ht="15.75" customHeight="1">
      <c r="J758" s="10"/>
      <c r="N758" s="11"/>
    </row>
    <row r="759" ht="15.75" customHeight="1">
      <c r="J759" s="10"/>
      <c r="N759" s="11"/>
    </row>
    <row r="760" ht="15.75" customHeight="1">
      <c r="J760" s="10"/>
      <c r="N760" s="11"/>
    </row>
    <row r="761" ht="15.75" customHeight="1">
      <c r="J761" s="10"/>
      <c r="N761" s="11"/>
    </row>
    <row r="762" ht="15.75" customHeight="1">
      <c r="J762" s="10"/>
      <c r="N762" s="11"/>
    </row>
    <row r="763" ht="15.75" customHeight="1">
      <c r="J763" s="10"/>
      <c r="N763" s="11"/>
    </row>
    <row r="764" ht="15.75" customHeight="1">
      <c r="J764" s="10"/>
      <c r="N764" s="11"/>
    </row>
    <row r="765" ht="15.75" customHeight="1">
      <c r="J765" s="10"/>
      <c r="N765" s="11"/>
    </row>
    <row r="766" ht="15.75" customHeight="1">
      <c r="J766" s="10"/>
      <c r="N766" s="11"/>
    </row>
    <row r="767" ht="15.75" customHeight="1">
      <c r="J767" s="10"/>
      <c r="N767" s="11"/>
    </row>
    <row r="768" ht="15.75" customHeight="1">
      <c r="J768" s="10"/>
      <c r="N768" s="11"/>
    </row>
    <row r="769" ht="15.75" customHeight="1">
      <c r="J769" s="10"/>
      <c r="N769" s="11"/>
    </row>
    <row r="770" ht="15.75" customHeight="1">
      <c r="J770" s="10"/>
      <c r="N770" s="11"/>
    </row>
    <row r="771" ht="15.75" customHeight="1">
      <c r="J771" s="10"/>
      <c r="N771" s="11"/>
    </row>
    <row r="772" ht="15.75" customHeight="1">
      <c r="J772" s="10"/>
      <c r="N772" s="11"/>
    </row>
    <row r="773" ht="15.75" customHeight="1">
      <c r="J773" s="10"/>
      <c r="N773" s="11"/>
    </row>
    <row r="774" ht="15.75" customHeight="1">
      <c r="J774" s="10"/>
      <c r="N774" s="11"/>
    </row>
    <row r="775" ht="15.75" customHeight="1">
      <c r="J775" s="10"/>
      <c r="N775" s="11"/>
    </row>
    <row r="776" ht="15.75" customHeight="1">
      <c r="J776" s="10"/>
      <c r="N776" s="11"/>
    </row>
    <row r="777" ht="15.75" customHeight="1">
      <c r="J777" s="10"/>
      <c r="N777" s="11"/>
    </row>
    <row r="778" ht="15.75" customHeight="1">
      <c r="J778" s="10"/>
      <c r="N778" s="11"/>
    </row>
    <row r="779" ht="15.75" customHeight="1">
      <c r="J779" s="10"/>
      <c r="N779" s="11"/>
    </row>
    <row r="780" ht="15.75" customHeight="1">
      <c r="J780" s="10"/>
      <c r="N780" s="11"/>
    </row>
    <row r="781" ht="15.75" customHeight="1">
      <c r="J781" s="10"/>
      <c r="N781" s="11"/>
    </row>
    <row r="782" ht="15.75" customHeight="1">
      <c r="J782" s="10"/>
      <c r="N782" s="11"/>
    </row>
    <row r="783" ht="15.75" customHeight="1">
      <c r="J783" s="10"/>
      <c r="N783" s="11"/>
    </row>
    <row r="784" ht="15.75" customHeight="1">
      <c r="J784" s="10"/>
      <c r="N784" s="11"/>
    </row>
    <row r="785" ht="15.75" customHeight="1">
      <c r="J785" s="10"/>
      <c r="N785" s="11"/>
    </row>
    <row r="786" ht="15.75" customHeight="1">
      <c r="J786" s="10"/>
      <c r="N786" s="11"/>
    </row>
    <row r="787" ht="15.75" customHeight="1">
      <c r="J787" s="10"/>
      <c r="N787" s="11"/>
    </row>
    <row r="788" ht="15.75" customHeight="1">
      <c r="J788" s="10"/>
      <c r="N788" s="11"/>
    </row>
    <row r="789" ht="15.75" customHeight="1">
      <c r="J789" s="10"/>
      <c r="N789" s="11"/>
    </row>
    <row r="790" ht="15.75" customHeight="1">
      <c r="J790" s="10"/>
      <c r="N790" s="11"/>
    </row>
    <row r="791" ht="15.75" customHeight="1">
      <c r="J791" s="10"/>
      <c r="N791" s="11"/>
    </row>
    <row r="792" ht="15.75" customHeight="1">
      <c r="J792" s="10"/>
      <c r="N792" s="11"/>
    </row>
    <row r="793" ht="15.75" customHeight="1">
      <c r="J793" s="10"/>
      <c r="N793" s="11"/>
    </row>
    <row r="794" ht="15.75" customHeight="1">
      <c r="J794" s="10"/>
      <c r="N794" s="11"/>
    </row>
    <row r="795" ht="15.75" customHeight="1">
      <c r="J795" s="10"/>
      <c r="N795" s="11"/>
    </row>
    <row r="796" ht="15.75" customHeight="1">
      <c r="J796" s="10"/>
      <c r="N796" s="11"/>
    </row>
    <row r="797" ht="15.75" customHeight="1">
      <c r="J797" s="10"/>
      <c r="N797" s="11"/>
    </row>
    <row r="798" ht="15.75" customHeight="1">
      <c r="J798" s="10"/>
      <c r="N798" s="11"/>
    </row>
    <row r="799" ht="15.75" customHeight="1">
      <c r="J799" s="10"/>
      <c r="N799" s="11"/>
    </row>
    <row r="800" ht="15.75" customHeight="1">
      <c r="J800" s="10"/>
      <c r="N800" s="11"/>
    </row>
    <row r="801" ht="15.75" customHeight="1">
      <c r="J801" s="10"/>
      <c r="N801" s="11"/>
    </row>
    <row r="802" ht="15.75" customHeight="1">
      <c r="J802" s="10"/>
      <c r="N802" s="11"/>
    </row>
    <row r="803" ht="15.75" customHeight="1">
      <c r="J803" s="10"/>
      <c r="N803" s="11"/>
    </row>
    <row r="804" ht="15.75" customHeight="1">
      <c r="J804" s="10"/>
      <c r="N804" s="11"/>
    </row>
    <row r="805" ht="15.75" customHeight="1">
      <c r="J805" s="10"/>
      <c r="N805" s="11"/>
    </row>
    <row r="806" ht="15.75" customHeight="1">
      <c r="J806" s="10"/>
      <c r="N806" s="11"/>
    </row>
    <row r="807" ht="15.75" customHeight="1">
      <c r="J807" s="10"/>
      <c r="N807" s="11"/>
    </row>
    <row r="808" ht="15.75" customHeight="1">
      <c r="J808" s="10"/>
      <c r="N808" s="11"/>
    </row>
    <row r="809" ht="15.75" customHeight="1">
      <c r="J809" s="10"/>
      <c r="N809" s="11"/>
    </row>
    <row r="810" ht="15.75" customHeight="1">
      <c r="J810" s="10"/>
      <c r="N810" s="11"/>
    </row>
    <row r="811" ht="15.75" customHeight="1">
      <c r="J811" s="10"/>
      <c r="N811" s="11"/>
    </row>
    <row r="812" ht="15.75" customHeight="1">
      <c r="J812" s="10"/>
      <c r="N812" s="11"/>
    </row>
    <row r="813" ht="15.75" customHeight="1">
      <c r="J813" s="10"/>
      <c r="N813" s="11"/>
    </row>
    <row r="814" ht="15.75" customHeight="1">
      <c r="J814" s="10"/>
      <c r="N814" s="11"/>
    </row>
    <row r="815" ht="15.75" customHeight="1">
      <c r="J815" s="10"/>
      <c r="N815" s="11"/>
    </row>
    <row r="816" ht="15.75" customHeight="1">
      <c r="J816" s="10"/>
      <c r="N816" s="11"/>
    </row>
    <row r="817" ht="15.75" customHeight="1">
      <c r="J817" s="10"/>
      <c r="N817" s="11"/>
    </row>
    <row r="818" ht="15.75" customHeight="1">
      <c r="J818" s="10"/>
      <c r="N818" s="11"/>
    </row>
    <row r="819" ht="15.75" customHeight="1">
      <c r="J819" s="10"/>
      <c r="N819" s="11"/>
    </row>
    <row r="820" ht="15.75" customHeight="1">
      <c r="J820" s="10"/>
      <c r="N820" s="11"/>
    </row>
    <row r="821" ht="15.75" customHeight="1">
      <c r="J821" s="10"/>
      <c r="N821" s="11"/>
    </row>
    <row r="822" ht="15.75" customHeight="1">
      <c r="J822" s="10"/>
      <c r="N822" s="11"/>
    </row>
    <row r="823" ht="15.75" customHeight="1">
      <c r="J823" s="10"/>
      <c r="N823" s="11"/>
    </row>
    <row r="824" ht="15.75" customHeight="1">
      <c r="J824" s="10"/>
      <c r="N824" s="11"/>
    </row>
    <row r="825" ht="15.75" customHeight="1">
      <c r="J825" s="10"/>
      <c r="N825" s="11"/>
    </row>
    <row r="826" ht="15.75" customHeight="1">
      <c r="J826" s="10"/>
      <c r="N826" s="11"/>
    </row>
    <row r="827" ht="15.75" customHeight="1">
      <c r="J827" s="10"/>
      <c r="N827" s="11"/>
    </row>
    <row r="828" ht="15.75" customHeight="1">
      <c r="J828" s="10"/>
      <c r="N828" s="11"/>
    </row>
    <row r="829" ht="15.75" customHeight="1">
      <c r="J829" s="10"/>
      <c r="N829" s="11"/>
    </row>
    <row r="830" ht="15.75" customHeight="1">
      <c r="J830" s="10"/>
      <c r="N830" s="11"/>
    </row>
    <row r="831" ht="15.75" customHeight="1">
      <c r="J831" s="10"/>
      <c r="N831" s="11"/>
    </row>
    <row r="832" ht="15.75" customHeight="1">
      <c r="J832" s="10"/>
      <c r="N832" s="11"/>
    </row>
    <row r="833" ht="15.75" customHeight="1">
      <c r="J833" s="10"/>
      <c r="N833" s="11"/>
    </row>
    <row r="834" ht="15.75" customHeight="1">
      <c r="J834" s="10"/>
      <c r="N834" s="11"/>
    </row>
    <row r="835" ht="15.75" customHeight="1">
      <c r="J835" s="10"/>
      <c r="N835" s="11"/>
    </row>
    <row r="836" ht="15.75" customHeight="1">
      <c r="J836" s="10"/>
      <c r="N836" s="11"/>
    </row>
    <row r="837" ht="15.75" customHeight="1">
      <c r="J837" s="10"/>
      <c r="N837" s="11"/>
    </row>
    <row r="838" ht="15.75" customHeight="1">
      <c r="J838" s="10"/>
      <c r="N838" s="11"/>
    </row>
    <row r="839" ht="15.75" customHeight="1">
      <c r="J839" s="10"/>
      <c r="N839" s="11"/>
    </row>
    <row r="840" ht="15.75" customHeight="1">
      <c r="J840" s="10"/>
      <c r="N840" s="11"/>
    </row>
    <row r="841" ht="15.75" customHeight="1">
      <c r="J841" s="10"/>
      <c r="N841" s="11"/>
    </row>
    <row r="842" ht="15.75" customHeight="1">
      <c r="J842" s="10"/>
      <c r="N842" s="11"/>
    </row>
    <row r="843" ht="15.75" customHeight="1">
      <c r="J843" s="10"/>
      <c r="N843" s="11"/>
    </row>
    <row r="844" ht="15.75" customHeight="1">
      <c r="J844" s="10"/>
      <c r="N844" s="11"/>
    </row>
    <row r="845" ht="15.75" customHeight="1">
      <c r="J845" s="10"/>
      <c r="N845" s="11"/>
    </row>
    <row r="846" ht="15.75" customHeight="1">
      <c r="J846" s="10"/>
      <c r="N846" s="11"/>
    </row>
    <row r="847" ht="15.75" customHeight="1">
      <c r="J847" s="10"/>
      <c r="N847" s="11"/>
    </row>
    <row r="848" ht="15.75" customHeight="1">
      <c r="J848" s="10"/>
      <c r="N848" s="11"/>
    </row>
    <row r="849" ht="15.75" customHeight="1">
      <c r="J849" s="10"/>
      <c r="N849" s="11"/>
    </row>
    <row r="850" ht="15.75" customHeight="1">
      <c r="J850" s="10"/>
      <c r="N850" s="11"/>
    </row>
    <row r="851" ht="15.75" customHeight="1">
      <c r="J851" s="10"/>
      <c r="N851" s="11"/>
    </row>
    <row r="852" ht="15.75" customHeight="1">
      <c r="J852" s="10"/>
      <c r="N852" s="11"/>
    </row>
    <row r="853" ht="15.75" customHeight="1">
      <c r="J853" s="10"/>
      <c r="N853" s="11"/>
    </row>
    <row r="854" ht="15.75" customHeight="1">
      <c r="J854" s="10"/>
      <c r="N854" s="11"/>
    </row>
    <row r="855" ht="15.75" customHeight="1">
      <c r="J855" s="10"/>
      <c r="N855" s="11"/>
    </row>
    <row r="856" ht="15.75" customHeight="1">
      <c r="J856" s="10"/>
      <c r="N856" s="11"/>
    </row>
    <row r="857" ht="15.75" customHeight="1">
      <c r="J857" s="10"/>
      <c r="N857" s="11"/>
    </row>
    <row r="858" ht="15.75" customHeight="1">
      <c r="J858" s="10"/>
      <c r="N858" s="11"/>
    </row>
    <row r="859" ht="15.75" customHeight="1">
      <c r="J859" s="10"/>
      <c r="N859" s="11"/>
    </row>
    <row r="860" ht="15.75" customHeight="1">
      <c r="J860" s="10"/>
      <c r="N860" s="11"/>
    </row>
    <row r="861" ht="15.75" customHeight="1">
      <c r="J861" s="10"/>
      <c r="N861" s="11"/>
    </row>
    <row r="862" ht="15.75" customHeight="1">
      <c r="J862" s="10"/>
      <c r="N862" s="11"/>
    </row>
    <row r="863" ht="15.75" customHeight="1">
      <c r="J863" s="10"/>
      <c r="N863" s="11"/>
    </row>
    <row r="864" ht="15.75" customHeight="1">
      <c r="J864" s="10"/>
      <c r="N864" s="11"/>
    </row>
    <row r="865" ht="15.75" customHeight="1">
      <c r="J865" s="10"/>
      <c r="N865" s="11"/>
    </row>
    <row r="866" ht="15.75" customHeight="1">
      <c r="J866" s="10"/>
      <c r="N866" s="11"/>
    </row>
    <row r="867" ht="15.75" customHeight="1">
      <c r="J867" s="10"/>
      <c r="N867" s="11"/>
    </row>
    <row r="868" ht="15.75" customHeight="1">
      <c r="J868" s="10"/>
      <c r="N868" s="11"/>
    </row>
    <row r="869" ht="15.75" customHeight="1">
      <c r="J869" s="10"/>
      <c r="N869" s="11"/>
    </row>
    <row r="870" ht="15.75" customHeight="1">
      <c r="J870" s="10"/>
      <c r="N870" s="11"/>
    </row>
    <row r="871" ht="15.75" customHeight="1">
      <c r="J871" s="10"/>
      <c r="N871" s="11"/>
    </row>
    <row r="872" ht="15.75" customHeight="1">
      <c r="J872" s="10"/>
      <c r="N872" s="11"/>
    </row>
    <row r="873" ht="15.75" customHeight="1">
      <c r="J873" s="10"/>
      <c r="N873" s="11"/>
    </row>
    <row r="874" ht="15.75" customHeight="1">
      <c r="J874" s="10"/>
      <c r="N874" s="11"/>
    </row>
    <row r="875" ht="15.75" customHeight="1">
      <c r="J875" s="10"/>
      <c r="N875" s="11"/>
    </row>
    <row r="876" ht="15.75" customHeight="1">
      <c r="J876" s="10"/>
      <c r="N876" s="11"/>
    </row>
    <row r="877" ht="15.75" customHeight="1">
      <c r="J877" s="10"/>
      <c r="N877" s="11"/>
    </row>
    <row r="878" ht="15.75" customHeight="1">
      <c r="J878" s="10"/>
      <c r="N878" s="11"/>
    </row>
    <row r="879" ht="15.75" customHeight="1">
      <c r="J879" s="10"/>
      <c r="N879" s="11"/>
    </row>
    <row r="880" ht="15.75" customHeight="1">
      <c r="J880" s="10"/>
      <c r="N880" s="11"/>
    </row>
    <row r="881" ht="15.75" customHeight="1">
      <c r="J881" s="10"/>
      <c r="N881" s="11"/>
    </row>
    <row r="882" ht="15.75" customHeight="1">
      <c r="J882" s="10"/>
      <c r="N882" s="11"/>
    </row>
    <row r="883" ht="15.75" customHeight="1">
      <c r="J883" s="10"/>
      <c r="N883" s="11"/>
    </row>
    <row r="884" ht="15.75" customHeight="1">
      <c r="J884" s="10"/>
      <c r="N884" s="11"/>
    </row>
    <row r="885" ht="15.75" customHeight="1">
      <c r="J885" s="10"/>
      <c r="N885" s="11"/>
    </row>
    <row r="886" ht="15.75" customHeight="1">
      <c r="J886" s="10"/>
      <c r="N886" s="11"/>
    </row>
    <row r="887" ht="15.75" customHeight="1">
      <c r="J887" s="10"/>
      <c r="N887" s="11"/>
    </row>
    <row r="888" ht="15.75" customHeight="1">
      <c r="J888" s="10"/>
      <c r="N888" s="11"/>
    </row>
    <row r="889" ht="15.75" customHeight="1">
      <c r="J889" s="10"/>
      <c r="N889" s="11"/>
    </row>
    <row r="890" ht="15.75" customHeight="1">
      <c r="J890" s="10"/>
      <c r="N890" s="11"/>
    </row>
    <row r="891" ht="15.75" customHeight="1">
      <c r="J891" s="10"/>
      <c r="N891" s="11"/>
    </row>
    <row r="892" ht="15.75" customHeight="1">
      <c r="J892" s="10"/>
      <c r="N892" s="11"/>
    </row>
    <row r="893" ht="15.75" customHeight="1">
      <c r="J893" s="10"/>
      <c r="N893" s="11"/>
    </row>
    <row r="894" ht="15.75" customHeight="1">
      <c r="J894" s="10"/>
      <c r="N894" s="11"/>
    </row>
    <row r="895" ht="15.75" customHeight="1">
      <c r="J895" s="10"/>
      <c r="N895" s="11"/>
    </row>
    <row r="896" ht="15.75" customHeight="1">
      <c r="J896" s="10"/>
      <c r="N896" s="11"/>
    </row>
    <row r="897" ht="15.75" customHeight="1">
      <c r="J897" s="10"/>
      <c r="N897" s="11"/>
    </row>
    <row r="898" ht="15.75" customHeight="1">
      <c r="J898" s="10"/>
      <c r="N898" s="11"/>
    </row>
    <row r="899" ht="15.75" customHeight="1">
      <c r="J899" s="10"/>
      <c r="N899" s="11"/>
    </row>
    <row r="900" ht="15.75" customHeight="1">
      <c r="J900" s="10"/>
      <c r="N900" s="11"/>
    </row>
    <row r="901" ht="15.75" customHeight="1">
      <c r="J901" s="10"/>
      <c r="N901" s="11"/>
    </row>
    <row r="902" ht="15.75" customHeight="1">
      <c r="J902" s="10"/>
      <c r="N902" s="11"/>
    </row>
    <row r="903" ht="15.75" customHeight="1">
      <c r="J903" s="10"/>
      <c r="N903" s="11"/>
    </row>
    <row r="904" ht="15.75" customHeight="1">
      <c r="J904" s="10"/>
      <c r="N904" s="11"/>
    </row>
    <row r="905" ht="15.75" customHeight="1">
      <c r="J905" s="10"/>
      <c r="N905" s="11"/>
    </row>
    <row r="906" ht="15.75" customHeight="1">
      <c r="J906" s="10"/>
      <c r="N906" s="11"/>
    </row>
    <row r="907" ht="15.75" customHeight="1">
      <c r="J907" s="10"/>
      <c r="N907" s="11"/>
    </row>
    <row r="908" ht="15.75" customHeight="1">
      <c r="J908" s="10"/>
      <c r="N908" s="11"/>
    </row>
    <row r="909" ht="15.75" customHeight="1">
      <c r="J909" s="10"/>
      <c r="N909" s="11"/>
    </row>
    <row r="910" ht="15.75" customHeight="1">
      <c r="J910" s="10"/>
      <c r="N910" s="11"/>
    </row>
    <row r="911" ht="15.75" customHeight="1">
      <c r="J911" s="10"/>
      <c r="N911" s="11"/>
    </row>
    <row r="912" ht="15.75" customHeight="1">
      <c r="J912" s="10"/>
      <c r="N912" s="11"/>
    </row>
    <row r="913" ht="15.75" customHeight="1">
      <c r="J913" s="10"/>
      <c r="N913" s="11"/>
    </row>
    <row r="914" ht="15.75" customHeight="1">
      <c r="J914" s="10"/>
      <c r="N914" s="11"/>
    </row>
    <row r="915" ht="15.75" customHeight="1">
      <c r="J915" s="10"/>
      <c r="N915" s="11"/>
    </row>
    <row r="916" ht="15.75" customHeight="1">
      <c r="J916" s="10"/>
      <c r="N916" s="11"/>
    </row>
    <row r="917" ht="15.75" customHeight="1">
      <c r="J917" s="10"/>
      <c r="N917" s="11"/>
    </row>
    <row r="918" ht="15.75" customHeight="1">
      <c r="J918" s="10"/>
      <c r="N918" s="11"/>
    </row>
    <row r="919" ht="15.75" customHeight="1">
      <c r="J919" s="10"/>
      <c r="N919" s="11"/>
    </row>
    <row r="920" ht="15.75" customHeight="1">
      <c r="J920" s="10"/>
      <c r="N920" s="11"/>
    </row>
    <row r="921" ht="15.75" customHeight="1">
      <c r="J921" s="10"/>
      <c r="N921" s="11"/>
    </row>
    <row r="922" ht="15.75" customHeight="1">
      <c r="J922" s="10"/>
      <c r="N922" s="11"/>
    </row>
    <row r="923" ht="15.75" customHeight="1">
      <c r="J923" s="10"/>
      <c r="N923" s="11"/>
    </row>
    <row r="924" ht="15.75" customHeight="1">
      <c r="J924" s="10"/>
      <c r="N924" s="11"/>
    </row>
    <row r="925" ht="15.75" customHeight="1">
      <c r="J925" s="10"/>
      <c r="N925" s="11"/>
    </row>
    <row r="926" ht="15.75" customHeight="1">
      <c r="J926" s="10"/>
      <c r="N926" s="11"/>
    </row>
    <row r="927" ht="15.75" customHeight="1">
      <c r="J927" s="10"/>
      <c r="N927" s="11"/>
    </row>
    <row r="928" ht="15.75" customHeight="1">
      <c r="J928" s="10"/>
      <c r="N928" s="11"/>
    </row>
    <row r="929" ht="15.75" customHeight="1">
      <c r="J929" s="10"/>
      <c r="N929" s="11"/>
    </row>
    <row r="930" ht="15.75" customHeight="1">
      <c r="J930" s="10"/>
      <c r="N930" s="11"/>
    </row>
    <row r="931" ht="15.75" customHeight="1">
      <c r="J931" s="10"/>
      <c r="N931" s="11"/>
    </row>
    <row r="932" ht="15.75" customHeight="1">
      <c r="J932" s="10"/>
      <c r="N932" s="11"/>
    </row>
    <row r="933" ht="15.75" customHeight="1">
      <c r="J933" s="10"/>
      <c r="N933" s="11"/>
    </row>
    <row r="934" ht="15.75" customHeight="1">
      <c r="J934" s="10"/>
      <c r="N934" s="11"/>
    </row>
    <row r="935" ht="15.75" customHeight="1">
      <c r="J935" s="10"/>
      <c r="N935" s="11"/>
    </row>
    <row r="936" ht="15.75" customHeight="1">
      <c r="J936" s="10"/>
      <c r="N936" s="11"/>
    </row>
    <row r="937" ht="15.75" customHeight="1">
      <c r="J937" s="10"/>
      <c r="N937" s="11"/>
    </row>
    <row r="938" ht="15.75" customHeight="1">
      <c r="J938" s="10"/>
      <c r="N938" s="11"/>
    </row>
    <row r="939" ht="15.75" customHeight="1">
      <c r="J939" s="10"/>
      <c r="N939" s="11"/>
    </row>
    <row r="940" ht="15.75" customHeight="1">
      <c r="J940" s="10"/>
      <c r="N940" s="11"/>
    </row>
    <row r="941" ht="15.75" customHeight="1">
      <c r="J941" s="10"/>
      <c r="N941" s="11"/>
    </row>
    <row r="942" ht="15.75" customHeight="1">
      <c r="J942" s="10"/>
      <c r="N942" s="11"/>
    </row>
    <row r="943" ht="15.75" customHeight="1">
      <c r="J943" s="10"/>
      <c r="N943" s="11"/>
    </row>
    <row r="944" ht="15.75" customHeight="1">
      <c r="J944" s="10"/>
      <c r="N944" s="11"/>
    </row>
    <row r="945" ht="15.75" customHeight="1">
      <c r="J945" s="10"/>
      <c r="N945" s="11"/>
    </row>
    <row r="946" ht="15.75" customHeight="1">
      <c r="J946" s="10"/>
      <c r="N946" s="11"/>
    </row>
    <row r="947" ht="15.75" customHeight="1">
      <c r="J947" s="10"/>
      <c r="N947" s="11"/>
    </row>
    <row r="948" ht="15.75" customHeight="1">
      <c r="J948" s="10"/>
      <c r="N948" s="11"/>
    </row>
    <row r="949" ht="15.75" customHeight="1">
      <c r="J949" s="10"/>
      <c r="N949" s="11"/>
    </row>
    <row r="950" ht="15.75" customHeight="1">
      <c r="J950" s="10"/>
      <c r="N950" s="11"/>
    </row>
    <row r="951" ht="15.75" customHeight="1">
      <c r="J951" s="10"/>
      <c r="N951" s="11"/>
    </row>
    <row r="952" ht="15.75" customHeight="1">
      <c r="J952" s="10"/>
      <c r="N952" s="11"/>
    </row>
    <row r="953" ht="15.75" customHeight="1">
      <c r="J953" s="10"/>
      <c r="N953" s="11"/>
    </row>
    <row r="954" ht="15.75" customHeight="1">
      <c r="J954" s="10"/>
      <c r="N954" s="11"/>
    </row>
    <row r="955" ht="15.75" customHeight="1">
      <c r="J955" s="10"/>
      <c r="N955" s="11"/>
    </row>
    <row r="956" ht="15.75" customHeight="1">
      <c r="J956" s="10"/>
      <c r="N956" s="11"/>
    </row>
    <row r="957" ht="15.75" customHeight="1">
      <c r="J957" s="10"/>
      <c r="N957" s="11"/>
    </row>
    <row r="958" ht="15.75" customHeight="1">
      <c r="J958" s="10"/>
      <c r="N958" s="11"/>
    </row>
    <row r="959" ht="15.75" customHeight="1">
      <c r="J959" s="10"/>
      <c r="N959" s="11"/>
    </row>
    <row r="960" ht="15.75" customHeight="1">
      <c r="J960" s="10"/>
      <c r="N960" s="11"/>
    </row>
    <row r="961" ht="15.75" customHeight="1">
      <c r="J961" s="10"/>
      <c r="N961" s="11"/>
    </row>
    <row r="962" ht="15.75" customHeight="1">
      <c r="J962" s="10"/>
      <c r="N962" s="11"/>
    </row>
    <row r="963" ht="15.75" customHeight="1">
      <c r="J963" s="10"/>
      <c r="N963" s="11"/>
    </row>
    <row r="964" ht="15.75" customHeight="1">
      <c r="J964" s="10"/>
      <c r="N964" s="11"/>
    </row>
    <row r="965" ht="15.75" customHeight="1">
      <c r="J965" s="10"/>
      <c r="N965" s="11"/>
    </row>
    <row r="966" ht="15.75" customHeight="1">
      <c r="J966" s="10"/>
      <c r="N966" s="11"/>
    </row>
    <row r="967" ht="15.75" customHeight="1">
      <c r="J967" s="10"/>
      <c r="N967" s="11"/>
    </row>
    <row r="968" ht="15.75" customHeight="1">
      <c r="J968" s="10"/>
      <c r="N968" s="11"/>
    </row>
    <row r="969" ht="15.75" customHeight="1">
      <c r="J969" s="10"/>
      <c r="N969" s="11"/>
    </row>
    <row r="970" ht="15.75" customHeight="1">
      <c r="J970" s="10"/>
      <c r="N970" s="11"/>
    </row>
    <row r="971" ht="15.75" customHeight="1">
      <c r="J971" s="10"/>
      <c r="N971" s="11"/>
    </row>
    <row r="972" ht="15.75" customHeight="1">
      <c r="J972" s="10"/>
      <c r="N972" s="11"/>
    </row>
    <row r="973" ht="15.75" customHeight="1">
      <c r="J973" s="10"/>
      <c r="N973" s="11"/>
    </row>
    <row r="974" ht="15.75" customHeight="1">
      <c r="J974" s="10"/>
      <c r="N974" s="11"/>
    </row>
    <row r="975" ht="15.75" customHeight="1">
      <c r="J975" s="10"/>
      <c r="N975" s="11"/>
    </row>
    <row r="976" ht="15.75" customHeight="1">
      <c r="J976" s="10"/>
      <c r="N976" s="11"/>
    </row>
    <row r="977" ht="15.75" customHeight="1">
      <c r="J977" s="10"/>
      <c r="N977" s="11"/>
    </row>
    <row r="978" ht="15.75" customHeight="1">
      <c r="J978" s="10"/>
      <c r="N978" s="11"/>
    </row>
    <row r="979" ht="15.75" customHeight="1">
      <c r="J979" s="10"/>
      <c r="N979" s="11"/>
    </row>
    <row r="980" ht="15.75" customHeight="1">
      <c r="J980" s="10"/>
      <c r="N980" s="11"/>
    </row>
    <row r="981" ht="15.75" customHeight="1">
      <c r="J981" s="10"/>
      <c r="N981" s="11"/>
    </row>
    <row r="982" ht="15.75" customHeight="1">
      <c r="J982" s="10"/>
      <c r="N982" s="11"/>
    </row>
    <row r="983" ht="15.75" customHeight="1">
      <c r="J983" s="10"/>
      <c r="N983" s="11"/>
    </row>
    <row r="984" ht="15.75" customHeight="1">
      <c r="J984" s="10"/>
      <c r="N984" s="11"/>
    </row>
    <row r="985" ht="15.75" customHeight="1">
      <c r="J985" s="10"/>
      <c r="N985" s="11"/>
    </row>
    <row r="986" ht="15.75" customHeight="1">
      <c r="J986" s="10"/>
      <c r="N986" s="11"/>
    </row>
    <row r="987" ht="15.75" customHeight="1">
      <c r="J987" s="10"/>
      <c r="N987" s="11"/>
    </row>
    <row r="988" ht="15.75" customHeight="1">
      <c r="J988" s="10"/>
      <c r="N988" s="11"/>
    </row>
    <row r="989" ht="15.75" customHeight="1">
      <c r="J989" s="10"/>
      <c r="N989" s="11"/>
    </row>
    <row r="990" ht="15.75" customHeight="1">
      <c r="J990" s="10"/>
      <c r="N990" s="11"/>
    </row>
    <row r="991" ht="15.75" customHeight="1">
      <c r="J991" s="10"/>
      <c r="N991" s="11"/>
    </row>
    <row r="992" ht="15.75" customHeight="1">
      <c r="J992" s="10"/>
      <c r="N992" s="11"/>
    </row>
    <row r="993" ht="15.75" customHeight="1">
      <c r="J993" s="10"/>
      <c r="N993" s="11"/>
    </row>
    <row r="994" ht="15.75" customHeight="1">
      <c r="J994" s="10"/>
      <c r="N994" s="11"/>
    </row>
    <row r="995" ht="15.75" customHeight="1">
      <c r="J995" s="10"/>
      <c r="N995" s="11"/>
    </row>
    <row r="996" ht="15.75" customHeight="1">
      <c r="J996" s="10"/>
      <c r="N996" s="11"/>
    </row>
    <row r="997" ht="15.75" customHeight="1">
      <c r="J997" s="10"/>
      <c r="N997" s="11"/>
    </row>
  </sheetData>
  <mergeCells count="16">
    <mergeCell ref="G6:G9"/>
    <mergeCell ref="H6:H9"/>
    <mergeCell ref="I6:I9"/>
    <mergeCell ref="J6:J9"/>
    <mergeCell ref="H11:H14"/>
    <mergeCell ref="I11:I14"/>
    <mergeCell ref="J11:J14"/>
    <mergeCell ref="I21:I26"/>
    <mergeCell ref="J21:J26"/>
    <mergeCell ref="G11:G14"/>
    <mergeCell ref="G16:G19"/>
    <mergeCell ref="H16:H19"/>
    <mergeCell ref="I16:I19"/>
    <mergeCell ref="J16:J19"/>
    <mergeCell ref="G21:G26"/>
    <mergeCell ref="H21:H2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44"/>
    <col customWidth="1" min="3" max="3" width="12.78"/>
    <col customWidth="1" min="4" max="4" width="18.56"/>
    <col customWidth="1" min="5" max="5" width="12.78"/>
    <col customWidth="1" min="6" max="6" width="16.11"/>
    <col customWidth="1" min="7" max="8" width="12.78"/>
    <col customWidth="1" min="9" max="10" width="20.56"/>
    <col customWidth="1" min="11" max="26" width="10.44"/>
  </cols>
  <sheetData>
    <row r="1" ht="15.75" customHeight="1">
      <c r="A1" s="1"/>
    </row>
    <row r="2">
      <c r="A2" s="1"/>
      <c r="B2" s="3" t="s">
        <v>0</v>
      </c>
      <c r="C2" s="4"/>
      <c r="E2" s="5"/>
    </row>
    <row r="3" ht="15.75" customHeight="1">
      <c r="A3" s="1"/>
      <c r="B3" s="3"/>
      <c r="E3" s="5"/>
    </row>
    <row r="4" ht="15.75" customHeight="1">
      <c r="A4" s="1"/>
      <c r="B4" s="8"/>
      <c r="C4" s="9"/>
      <c r="D4" s="8"/>
      <c r="E4" s="8"/>
      <c r="F4" s="8"/>
      <c r="G4" s="8"/>
      <c r="H4" s="9"/>
      <c r="I4" s="8"/>
      <c r="J4" s="5"/>
    </row>
    <row r="5" ht="15.75" customHeight="1">
      <c r="A5" s="1"/>
      <c r="B5" s="8"/>
      <c r="C5" s="8"/>
      <c r="D5" s="8"/>
      <c r="E5" s="8"/>
      <c r="F5" s="8"/>
      <c r="G5" s="8"/>
      <c r="H5" s="8"/>
      <c r="I5" s="8"/>
    </row>
    <row r="6">
      <c r="A6" s="14"/>
      <c r="B6" s="15" t="s">
        <v>6</v>
      </c>
      <c r="C6" s="16" t="s">
        <v>7</v>
      </c>
      <c r="D6" s="16" t="s">
        <v>9</v>
      </c>
      <c r="E6" s="16" t="s">
        <v>11</v>
      </c>
      <c r="F6" s="16" t="s">
        <v>13</v>
      </c>
      <c r="G6" s="16" t="s">
        <v>14</v>
      </c>
      <c r="H6" s="18" t="s">
        <v>16</v>
      </c>
      <c r="I6" s="15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1"/>
      <c r="B7" s="21" t="s">
        <v>7</v>
      </c>
      <c r="C7" s="6">
        <v>3.258440545629337E8</v>
      </c>
      <c r="D7" s="6">
        <v>57779.661397631855</v>
      </c>
      <c r="E7" s="6">
        <v>5.347806258551044E7</v>
      </c>
      <c r="F7" s="6">
        <v>671324.6140679603</v>
      </c>
      <c r="G7" s="6">
        <v>1201712.1500964095</v>
      </c>
      <c r="H7" s="25">
        <f t="shared" ref="H7:H11" si="1">SUM(C7:G7)</f>
        <v>381252933.6</v>
      </c>
      <c r="I7" s="9"/>
    </row>
    <row r="8" ht="15.75" customHeight="1">
      <c r="A8" s="1"/>
      <c r="B8" s="21" t="s">
        <v>9</v>
      </c>
      <c r="C8" s="6">
        <v>61771.87824364621</v>
      </c>
      <c r="D8" s="6">
        <v>1.3866797106561612E7</v>
      </c>
      <c r="E8" s="6">
        <v>1181687.5219193385</v>
      </c>
      <c r="F8" s="6">
        <v>54804.833392682</v>
      </c>
      <c r="G8" s="6">
        <v>1039174.9243637247</v>
      </c>
      <c r="H8" s="25">
        <f t="shared" si="1"/>
        <v>16204236.26</v>
      </c>
      <c r="I8" s="8"/>
    </row>
    <row r="9" ht="15.75" customHeight="1">
      <c r="A9" s="1"/>
      <c r="B9" s="21" t="s">
        <v>11</v>
      </c>
      <c r="C9" s="6">
        <v>1435675.496182264</v>
      </c>
      <c r="D9" s="6">
        <v>100329.65499779052</v>
      </c>
      <c r="E9" s="6">
        <v>1.0437191069982545E7</v>
      </c>
      <c r="F9" s="6">
        <v>81748.25571460584</v>
      </c>
      <c r="G9" s="6">
        <v>34169.12645658571</v>
      </c>
      <c r="H9" s="25">
        <f t="shared" si="1"/>
        <v>12089113.6</v>
      </c>
      <c r="I9" s="8"/>
    </row>
    <row r="10" ht="15.75" customHeight="1">
      <c r="A10" s="1"/>
      <c r="B10" s="21" t="s">
        <v>13</v>
      </c>
      <c r="C10" s="6">
        <v>13633.15532023926</v>
      </c>
      <c r="D10" s="6">
        <v>5259.818588677976</v>
      </c>
      <c r="E10" s="6">
        <v>125925.9273417787</v>
      </c>
      <c r="F10" s="6">
        <v>362636.4792327906</v>
      </c>
      <c r="G10" s="6">
        <v>4969.706475006104</v>
      </c>
      <c r="H10" s="25">
        <f t="shared" si="1"/>
        <v>512425.087</v>
      </c>
      <c r="I10" s="8"/>
    </row>
    <row r="11" ht="15.75" customHeight="1">
      <c r="A11" s="1"/>
      <c r="B11" s="21" t="s">
        <v>14</v>
      </c>
      <c r="C11" s="6">
        <v>621350.2444911307</v>
      </c>
      <c r="D11" s="6">
        <v>733004.1285041688</v>
      </c>
      <c r="E11" s="6">
        <v>42469.243305188</v>
      </c>
      <c r="F11" s="6">
        <v>22933.031847387683</v>
      </c>
      <c r="G11" s="6">
        <v>9303170.86578325</v>
      </c>
      <c r="H11" s="25">
        <f t="shared" si="1"/>
        <v>10722927.51</v>
      </c>
      <c r="I11" s="8"/>
    </row>
    <row r="12" ht="15.75" customHeight="1">
      <c r="A12" s="1"/>
      <c r="B12" s="38" t="s">
        <v>27</v>
      </c>
      <c r="C12" s="25">
        <f t="shared" ref="C12:H12" si="2">SUM(C7:C11)</f>
        <v>327976485.3</v>
      </c>
      <c r="D12" s="25">
        <f t="shared" si="2"/>
        <v>14763170.37</v>
      </c>
      <c r="E12" s="25">
        <f t="shared" si="2"/>
        <v>65265336.35</v>
      </c>
      <c r="F12" s="25">
        <f t="shared" si="2"/>
        <v>1193447.214</v>
      </c>
      <c r="G12" s="25">
        <f t="shared" si="2"/>
        <v>11583196.77</v>
      </c>
      <c r="H12" s="25">
        <f t="shared" si="2"/>
        <v>420781636</v>
      </c>
      <c r="I12" s="8"/>
    </row>
    <row r="13" ht="15.75" customHeight="1">
      <c r="A13" s="1"/>
    </row>
    <row r="14" ht="15.75" customHeight="1">
      <c r="A14" s="1"/>
    </row>
    <row r="15" ht="15.75" customHeight="1">
      <c r="A15" s="1"/>
      <c r="B15" s="46"/>
      <c r="C15" s="47" t="s">
        <v>30</v>
      </c>
      <c r="D15" s="47" t="s">
        <v>25</v>
      </c>
      <c r="E15" s="47" t="s">
        <v>31</v>
      </c>
      <c r="F15" s="49" t="s">
        <v>20</v>
      </c>
    </row>
    <row r="16" ht="15.75" customHeight="1">
      <c r="A16" s="1"/>
      <c r="B16" s="50" t="s">
        <v>30</v>
      </c>
      <c r="C16" s="5">
        <f>SUM(C7:D8)</f>
        <v>339830403.2</v>
      </c>
      <c r="D16" s="5">
        <f>SUM(E7:E8)</f>
        <v>54659750.11</v>
      </c>
      <c r="E16" s="5">
        <f>SUM(F7:G8)</f>
        <v>2967016.522</v>
      </c>
      <c r="F16" s="53">
        <f t="shared" ref="F16:F18" si="3">SUM(C16:E16)</f>
        <v>397457169.8</v>
      </c>
    </row>
    <row r="17" ht="15.75" customHeight="1">
      <c r="A17" s="1"/>
      <c r="B17" s="50" t="s">
        <v>25</v>
      </c>
      <c r="C17" s="5">
        <f>C9+D9</f>
        <v>1536005.151</v>
      </c>
      <c r="D17" s="5">
        <f>E9</f>
        <v>10437191.07</v>
      </c>
      <c r="E17" s="5">
        <f>SUM(F9:G9)</f>
        <v>115917.3822</v>
      </c>
      <c r="F17" s="53">
        <f t="shared" si="3"/>
        <v>12089113.6</v>
      </c>
    </row>
    <row r="18" ht="15.75" customHeight="1">
      <c r="A18" s="1"/>
      <c r="B18" s="50" t="s">
        <v>31</v>
      </c>
      <c r="C18" s="5">
        <f>SUM(C10:D11)</f>
        <v>1373247.347</v>
      </c>
      <c r="D18" s="5">
        <f>E10+E11</f>
        <v>168395.1706</v>
      </c>
      <c r="E18" s="5">
        <f>SUM(F10:G11)</f>
        <v>9693710.083</v>
      </c>
      <c r="F18" s="53">
        <f t="shared" si="3"/>
        <v>11235352.6</v>
      </c>
    </row>
    <row r="19" ht="15.75" customHeight="1">
      <c r="A19" s="1"/>
      <c r="B19" s="56" t="s">
        <v>20</v>
      </c>
      <c r="C19" s="57">
        <f t="shared" ref="C19:E19" si="4">SUM(C16:C18)</f>
        <v>342739655.7</v>
      </c>
      <c r="D19" s="57">
        <f t="shared" si="4"/>
        <v>65265336.35</v>
      </c>
      <c r="E19" s="57">
        <f t="shared" si="4"/>
        <v>12776643.99</v>
      </c>
      <c r="F19" s="59">
        <f>SUM(C16:E18)</f>
        <v>420781636</v>
      </c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56"/>
    <col customWidth="1" min="2" max="2" width="18.56"/>
    <col customWidth="1" min="3" max="3" width="18.0"/>
    <col customWidth="1" min="4" max="4" width="16.44"/>
    <col customWidth="1" min="5" max="5" width="14.56"/>
    <col customWidth="1" min="6" max="41" width="15.0"/>
    <col customWidth="1" min="42" max="42" width="12.67"/>
    <col customWidth="1" min="43" max="43" width="12.11"/>
    <col customWidth="1" min="44" max="44" width="15.11"/>
    <col customWidth="1" min="45" max="45" width="14.44"/>
    <col customWidth="1" min="46" max="46" width="34.11"/>
    <col customWidth="1" min="47" max="47" width="14.0"/>
  </cols>
  <sheetData>
    <row r="1" ht="15.75" customHeight="1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>
      <c r="A2" s="89" t="s">
        <v>83</v>
      </c>
      <c r="B2" s="5"/>
      <c r="C2" s="5"/>
      <c r="D2" s="90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ht="15.7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ht="15.75" customHeight="1">
      <c r="B4" s="93">
        <v>1985.0</v>
      </c>
      <c r="C4" s="93">
        <v>1986.0</v>
      </c>
      <c r="D4" s="93">
        <v>1987.0</v>
      </c>
      <c r="E4" s="93">
        <v>1988.0</v>
      </c>
      <c r="F4" s="93">
        <v>1989.0</v>
      </c>
      <c r="G4" s="93">
        <v>1990.0</v>
      </c>
      <c r="H4" s="93">
        <v>1991.0</v>
      </c>
      <c r="I4" s="93">
        <v>1992.0</v>
      </c>
      <c r="J4" s="93">
        <v>1993.0</v>
      </c>
      <c r="K4" s="93">
        <v>1994.0</v>
      </c>
      <c r="L4" s="93">
        <v>1995.0</v>
      </c>
      <c r="M4" s="93">
        <v>1996.0</v>
      </c>
      <c r="N4" s="93">
        <v>1997.0</v>
      </c>
      <c r="O4" s="93">
        <v>1998.0</v>
      </c>
      <c r="P4" s="93">
        <v>1999.0</v>
      </c>
      <c r="Q4" s="93">
        <v>2000.0</v>
      </c>
      <c r="R4" s="93">
        <v>2001.0</v>
      </c>
      <c r="S4" s="93">
        <v>2002.0</v>
      </c>
      <c r="T4" s="93">
        <v>2003.0</v>
      </c>
      <c r="U4" s="93">
        <v>2004.0</v>
      </c>
      <c r="V4" s="93">
        <v>2005.0</v>
      </c>
      <c r="W4" s="93">
        <v>2006.0</v>
      </c>
      <c r="X4" s="93">
        <v>2007.0</v>
      </c>
      <c r="Y4" s="93">
        <v>2008.0</v>
      </c>
      <c r="Z4" s="93">
        <v>2009.0</v>
      </c>
      <c r="AA4" s="93">
        <v>2010.0</v>
      </c>
      <c r="AB4" s="93">
        <v>2011.0</v>
      </c>
      <c r="AC4" s="93">
        <v>2012.0</v>
      </c>
      <c r="AD4" s="93">
        <v>2013.0</v>
      </c>
      <c r="AE4" s="93">
        <v>2014.0</v>
      </c>
      <c r="AF4" s="93">
        <v>2015.0</v>
      </c>
      <c r="AG4" s="93">
        <v>2016.0</v>
      </c>
      <c r="AH4" s="93">
        <v>2017.0</v>
      </c>
      <c r="AI4" s="93">
        <v>2018.0</v>
      </c>
      <c r="AJ4" s="93">
        <v>2019.0</v>
      </c>
      <c r="AK4" s="93">
        <v>2020.0</v>
      </c>
      <c r="AL4" s="93">
        <v>2021.0</v>
      </c>
      <c r="AM4" s="93">
        <v>2022.0</v>
      </c>
      <c r="AN4" s="93">
        <v>2023.0</v>
      </c>
      <c r="AO4" s="93">
        <v>2024.0</v>
      </c>
      <c r="AP4" s="93">
        <v>2025.0</v>
      </c>
      <c r="AQ4" s="95"/>
    </row>
    <row r="5" ht="15.75" customHeight="1">
      <c r="A5" s="96" t="s">
        <v>7</v>
      </c>
      <c r="B5" s="96">
        <v>3.812529537722761E8</v>
      </c>
      <c r="C5" s="96">
        <v>3.808349766056656E8</v>
      </c>
      <c r="D5" s="96">
        <v>3.793106038137624E8</v>
      </c>
      <c r="E5" s="96">
        <v>3.779091969683902E8</v>
      </c>
      <c r="F5" s="96">
        <v>3.767077401777734E8</v>
      </c>
      <c r="G5" s="96">
        <v>3.7582679101873004E8</v>
      </c>
      <c r="H5" s="96">
        <v>3.746585614799408E8</v>
      </c>
      <c r="I5" s="96">
        <v>3.730394113097701E8</v>
      </c>
      <c r="J5" s="96">
        <v>3.714807190248514E8</v>
      </c>
      <c r="K5" s="96">
        <v>3.6969754528457004E8</v>
      </c>
      <c r="L5" s="96">
        <v>3.6734469537777185E8</v>
      </c>
      <c r="M5" s="96">
        <v>3.652732835165392E8</v>
      </c>
      <c r="N5" s="96">
        <v>3.6333499798353004E8</v>
      </c>
      <c r="O5" s="96">
        <v>3.6135201007791984E8</v>
      </c>
      <c r="P5" s="96">
        <v>3.592319125779344E8</v>
      </c>
      <c r="Q5" s="96">
        <v>3.5791778740190417E8</v>
      </c>
      <c r="R5" s="96">
        <v>3.5612773347561765E8</v>
      </c>
      <c r="S5" s="96">
        <v>3.540877359075399E8</v>
      </c>
      <c r="T5" s="96">
        <v>3.5129483686120635E8</v>
      </c>
      <c r="U5" s="96">
        <v>3.487428906800372E8</v>
      </c>
      <c r="V5" s="96">
        <v>3.4675595148008907E8</v>
      </c>
      <c r="W5" s="96">
        <v>3.4521047374296594E8</v>
      </c>
      <c r="X5" s="96">
        <v>3.4402066848204154E8</v>
      </c>
      <c r="Y5" s="96">
        <v>3.427909735499767E8</v>
      </c>
      <c r="Z5" s="96">
        <v>3.420321000935756E8</v>
      </c>
      <c r="AA5" s="96">
        <v>3.4162120589916444E8</v>
      </c>
      <c r="AB5" s="96">
        <v>3.411728478798131E8</v>
      </c>
      <c r="AC5" s="96">
        <v>3.407527543486366E8</v>
      </c>
      <c r="AD5" s="96">
        <v>3.401911350389334E8</v>
      </c>
      <c r="AE5" s="96">
        <v>3.395852954653146E8</v>
      </c>
      <c r="AF5" s="96">
        <v>3.387904256705063E8</v>
      </c>
      <c r="AG5" s="96">
        <v>3.379362585299543E8</v>
      </c>
      <c r="AH5" s="96">
        <v>3.3723793436122966E8</v>
      </c>
      <c r="AI5" s="96">
        <v>3.365692452312207E8</v>
      </c>
      <c r="AJ5" s="96">
        <v>3.353336052551629E8</v>
      </c>
      <c r="AK5" s="96">
        <v>3.341802980055018E8</v>
      </c>
      <c r="AL5" s="96">
        <v>3.326674032148228E8</v>
      </c>
      <c r="AM5" s="104">
        <v>3.3095865531995726E8</v>
      </c>
      <c r="AN5" s="104">
        <v>3.294891286569077E8</v>
      </c>
      <c r="AO5" s="104">
        <v>3.2864052969271934E8</v>
      </c>
      <c r="AP5" s="104">
        <v>3.279765451815543E8</v>
      </c>
      <c r="AQ5" s="33"/>
      <c r="AR5" s="105">
        <f t="shared" ref="AR5:AR36" si="1">AP5-B5</f>
        <v>-53276408.59</v>
      </c>
      <c r="AS5" s="107">
        <f t="shared" ref="AS5:AS10" si="2">AR5/B5</f>
        <v>-0.1397403169</v>
      </c>
      <c r="AT5" s="108" t="s">
        <v>93</v>
      </c>
      <c r="AU5" s="109">
        <f>AP5/AP36</f>
        <v>0.7794437953</v>
      </c>
    </row>
    <row r="6" ht="15.75" customHeight="1">
      <c r="A6" s="111" t="s">
        <v>22</v>
      </c>
      <c r="B6" s="112">
        <v>3.359754693208689E8</v>
      </c>
      <c r="C6" s="112">
        <v>3.358121903323514E8</v>
      </c>
      <c r="D6" s="112">
        <v>3.3450915538244534E8</v>
      </c>
      <c r="E6" s="112">
        <v>3.333341674245734E8</v>
      </c>
      <c r="F6" s="112">
        <v>3.324154206617811E8</v>
      </c>
      <c r="G6" s="112">
        <v>3.316106998867093E8</v>
      </c>
      <c r="H6" s="112">
        <v>3.305704554510002E8</v>
      </c>
      <c r="I6" s="112">
        <v>3.2908724930549884E8</v>
      </c>
      <c r="J6" s="112">
        <v>3.2770201498050326E8</v>
      </c>
      <c r="K6" s="112">
        <v>3.2605118551547015E8</v>
      </c>
      <c r="L6" s="112">
        <v>3.23893669144938E8</v>
      </c>
      <c r="M6" s="112">
        <v>3.220505412574965E8</v>
      </c>
      <c r="N6" s="112">
        <v>3.202793980174092E8</v>
      </c>
      <c r="O6" s="112">
        <v>3.185109127816463E8</v>
      </c>
      <c r="P6" s="112">
        <v>3.166770403521365E8</v>
      </c>
      <c r="Q6" s="112">
        <v>3.151705126672615E8</v>
      </c>
      <c r="R6" s="112">
        <v>3.1340623303205043E8</v>
      </c>
      <c r="S6" s="112">
        <v>3.1142860797457623E8</v>
      </c>
      <c r="T6" s="112">
        <v>3.0869859245409316E8</v>
      </c>
      <c r="U6" s="112">
        <v>3.0622038898115325E8</v>
      </c>
      <c r="V6" s="112">
        <v>3.042618788214825E8</v>
      </c>
      <c r="W6" s="112">
        <v>3.0276268043168443E8</v>
      </c>
      <c r="X6" s="112">
        <v>3.015975337543E8</v>
      </c>
      <c r="Y6" s="112">
        <v>3.00425262895471E8</v>
      </c>
      <c r="Z6" s="112">
        <v>2.997324300204708E8</v>
      </c>
      <c r="AA6" s="112">
        <v>2.993136433221562E8</v>
      </c>
      <c r="AB6" s="112">
        <v>2.9885049944716954E8</v>
      </c>
      <c r="AC6" s="112">
        <v>2.9845349889800274E8</v>
      </c>
      <c r="AD6" s="112">
        <v>2.9788079350151366E8</v>
      </c>
      <c r="AE6" s="112">
        <v>2.972949884117161E8</v>
      </c>
      <c r="AF6" s="112">
        <v>2.965191550987404E8</v>
      </c>
      <c r="AG6" s="112">
        <v>2.957040140543808E8</v>
      </c>
      <c r="AH6" s="112">
        <v>2.9505148703288686E8</v>
      </c>
      <c r="AI6" s="112">
        <v>2.9439427978960764E8</v>
      </c>
      <c r="AJ6" s="112">
        <v>2.931969057343593E8</v>
      </c>
      <c r="AK6" s="112">
        <v>2.920412887830426E8</v>
      </c>
      <c r="AL6" s="112">
        <v>2.905883292790539E8</v>
      </c>
      <c r="AM6" s="112">
        <v>2.8900708612843937E8</v>
      </c>
      <c r="AN6" s="112">
        <v>2.876342242551966E8</v>
      </c>
      <c r="AO6" s="112">
        <v>2.868026579935105E8</v>
      </c>
      <c r="AP6" s="112">
        <v>2.8627036611265904E8</v>
      </c>
      <c r="AQ6" s="112"/>
      <c r="AR6" s="105">
        <f t="shared" si="1"/>
        <v>-49705103.21</v>
      </c>
      <c r="AS6" s="107">
        <f t="shared" si="2"/>
        <v>-0.1479426558</v>
      </c>
      <c r="AT6" s="10" t="s">
        <v>98</v>
      </c>
      <c r="AU6" s="109">
        <f>(AP5+AP12)/AP36</f>
        <v>0.8145289069</v>
      </c>
    </row>
    <row r="7" ht="15.75" customHeight="1">
      <c r="A7" s="117" t="s">
        <v>32</v>
      </c>
      <c r="B7" s="112">
        <v>3955401.801962385</v>
      </c>
      <c r="C7" s="112">
        <v>3903841.608471333</v>
      </c>
      <c r="D7" s="112">
        <v>3845174.8888935</v>
      </c>
      <c r="E7" s="112">
        <v>3800089.6184057826</v>
      </c>
      <c r="F7" s="112">
        <v>3776248.1630621795</v>
      </c>
      <c r="G7" s="112">
        <v>3758226.71018527</v>
      </c>
      <c r="H7" s="112">
        <v>3728867.5893841097</v>
      </c>
      <c r="I7" s="112">
        <v>3696976.0543850237</v>
      </c>
      <c r="J7" s="112">
        <v>3664272.131776622</v>
      </c>
      <c r="K7" s="112">
        <v>3630027.3150917944</v>
      </c>
      <c r="L7" s="112">
        <v>3580311.656055518</v>
      </c>
      <c r="M7" s="112">
        <v>3541815.0752126006</v>
      </c>
      <c r="N7" s="112">
        <v>3492213.8792283502</v>
      </c>
      <c r="O7" s="112">
        <v>3430106.8566479185</v>
      </c>
      <c r="P7" s="112">
        <v>3374573.239022458</v>
      </c>
      <c r="Q7" s="112">
        <v>3355945.6172505766</v>
      </c>
      <c r="R7" s="112">
        <v>3345003.948506817</v>
      </c>
      <c r="S7" s="112">
        <v>3329432.986526688</v>
      </c>
      <c r="T7" s="112">
        <v>3305695.130347775</v>
      </c>
      <c r="U7" s="112">
        <v>3286303.975841855</v>
      </c>
      <c r="V7" s="112">
        <v>3275827.47574941</v>
      </c>
      <c r="W7" s="112">
        <v>3264450.8644785685</v>
      </c>
      <c r="X7" s="112">
        <v>3257469.21318791</v>
      </c>
      <c r="Y7" s="112">
        <v>3247612.953814247</v>
      </c>
      <c r="Z7" s="112">
        <v>3242485.944574825</v>
      </c>
      <c r="AA7" s="112">
        <v>3237937.1633813623</v>
      </c>
      <c r="AB7" s="112">
        <v>3236520.69523149</v>
      </c>
      <c r="AC7" s="112">
        <v>3238254.081929707</v>
      </c>
      <c r="AD7" s="112">
        <v>3238426.052994996</v>
      </c>
      <c r="AE7" s="112">
        <v>3236784.910974023</v>
      </c>
      <c r="AF7" s="112">
        <v>3233167.807622138</v>
      </c>
      <c r="AG7" s="112">
        <v>3225059.6874620835</v>
      </c>
      <c r="AH7" s="112">
        <v>3218917.600901161</v>
      </c>
      <c r="AI7" s="112">
        <v>3213282.215319433</v>
      </c>
      <c r="AJ7" s="112">
        <v>3209376.1938478556</v>
      </c>
      <c r="AK7" s="112">
        <v>3208392.966033442</v>
      </c>
      <c r="AL7" s="112">
        <v>3197005.5821310463</v>
      </c>
      <c r="AM7" s="112">
        <v>3186023.2974703554</v>
      </c>
      <c r="AN7" s="112">
        <v>3185057.694751633</v>
      </c>
      <c r="AO7" s="112">
        <v>3166186.424294516</v>
      </c>
      <c r="AP7" s="112">
        <v>3155783.388873341</v>
      </c>
      <c r="AQ7" s="112"/>
      <c r="AR7" s="105">
        <f t="shared" si="1"/>
        <v>-799618.4131</v>
      </c>
      <c r="AS7" s="107">
        <f t="shared" si="2"/>
        <v>-0.2021585804</v>
      </c>
      <c r="AT7" s="5" t="s">
        <v>99</v>
      </c>
      <c r="AU7" s="5">
        <f>AR5</f>
        <v>-53276408.59</v>
      </c>
    </row>
    <row r="8" ht="15.75" customHeight="1">
      <c r="A8" s="118" t="s">
        <v>33</v>
      </c>
      <c r="B8" s="112">
        <v>0.08582274780273437</v>
      </c>
      <c r="C8" s="112">
        <v>0.08582274780273437</v>
      </c>
      <c r="D8" s="112">
        <v>0.0</v>
      </c>
      <c r="E8" s="112">
        <v>0.08582274780273437</v>
      </c>
      <c r="F8" s="112">
        <v>0.0</v>
      </c>
      <c r="G8" s="112">
        <v>0.0</v>
      </c>
      <c r="H8" s="112">
        <v>0.08582274780273437</v>
      </c>
      <c r="I8" s="112">
        <v>0.0</v>
      </c>
      <c r="J8" s="112">
        <v>0.0</v>
      </c>
      <c r="K8" s="112">
        <v>0.0</v>
      </c>
      <c r="L8" s="112">
        <v>0.0</v>
      </c>
      <c r="M8" s="112">
        <v>0.0</v>
      </c>
      <c r="N8" s="112">
        <v>0.0</v>
      </c>
      <c r="O8" s="112">
        <v>0.0</v>
      </c>
      <c r="P8" s="112">
        <v>0.0861663818359375</v>
      </c>
      <c r="Q8" s="112">
        <v>0.0</v>
      </c>
      <c r="R8" s="112">
        <v>0.0</v>
      </c>
      <c r="S8" s="112">
        <v>0.0</v>
      </c>
      <c r="T8" s="112">
        <v>0.0</v>
      </c>
      <c r="U8" s="112">
        <v>0.0</v>
      </c>
      <c r="V8" s="112">
        <v>0.0</v>
      </c>
      <c r="W8" s="112">
        <v>0.0</v>
      </c>
      <c r="X8" s="112">
        <v>0.0</v>
      </c>
      <c r="Y8" s="112">
        <v>0.0</v>
      </c>
      <c r="Z8" s="112">
        <v>0.0</v>
      </c>
      <c r="AA8" s="112">
        <v>0.0</v>
      </c>
      <c r="AB8" s="112">
        <v>0.0</v>
      </c>
      <c r="AC8" s="112">
        <v>0.0</v>
      </c>
      <c r="AD8" s="112">
        <v>0.0</v>
      </c>
      <c r="AE8" s="112">
        <v>0.0</v>
      </c>
      <c r="AF8" s="112">
        <v>0.0</v>
      </c>
      <c r="AG8" s="112">
        <v>0.0</v>
      </c>
      <c r="AH8" s="112">
        <v>0.0</v>
      </c>
      <c r="AI8" s="112">
        <v>0.0</v>
      </c>
      <c r="AJ8" s="112">
        <v>0.0</v>
      </c>
      <c r="AK8" s="112">
        <v>0.0</v>
      </c>
      <c r="AL8" s="112">
        <v>0.0</v>
      </c>
      <c r="AM8" s="112">
        <v>0.0</v>
      </c>
      <c r="AN8" s="112">
        <v>0.0</v>
      </c>
      <c r="AO8" s="112">
        <v>0.0</v>
      </c>
      <c r="AP8" s="112">
        <v>0.0</v>
      </c>
      <c r="AQ8" s="112"/>
      <c r="AR8" s="105">
        <f t="shared" si="1"/>
        <v>-0.0858227478</v>
      </c>
      <c r="AS8" s="107">
        <f t="shared" si="2"/>
        <v>-1</v>
      </c>
      <c r="AT8" s="5" t="s">
        <v>100</v>
      </c>
      <c r="AU8" s="119">
        <f>AR5+AR12</f>
        <v>-54717447.08</v>
      </c>
    </row>
    <row r="9" ht="15.75" customHeight="1">
      <c r="A9" s="118" t="s">
        <v>34</v>
      </c>
      <c r="B9" s="112">
        <v>728179.2082477694</v>
      </c>
      <c r="C9" s="112">
        <v>727565.9507709416</v>
      </c>
      <c r="D9" s="112">
        <v>725805.822060822</v>
      </c>
      <c r="E9" s="112">
        <v>726279.6990472291</v>
      </c>
      <c r="F9" s="112">
        <v>729271.4415811965</v>
      </c>
      <c r="G9" s="112">
        <v>733173.6056348463</v>
      </c>
      <c r="H9" s="112">
        <v>735900.2163631876</v>
      </c>
      <c r="I9" s="112">
        <v>735868.4143265556</v>
      </c>
      <c r="J9" s="112">
        <v>735064.591928642</v>
      </c>
      <c r="K9" s="112">
        <v>735723.4643974183</v>
      </c>
      <c r="L9" s="112">
        <v>737531.536097041</v>
      </c>
      <c r="M9" s="112">
        <v>738590.7931241964</v>
      </c>
      <c r="N9" s="112">
        <v>738410.062027811</v>
      </c>
      <c r="O9" s="112">
        <v>732239.3944320637</v>
      </c>
      <c r="P9" s="112">
        <v>728128.4518502547</v>
      </c>
      <c r="Q9" s="112">
        <v>732870.1896090605</v>
      </c>
      <c r="R9" s="112">
        <v>732930.2343718342</v>
      </c>
      <c r="S9" s="112">
        <v>733516.2941119174</v>
      </c>
      <c r="T9" s="112">
        <v>734300.6697678722</v>
      </c>
      <c r="U9" s="112">
        <v>734971.8285741697</v>
      </c>
      <c r="V9" s="112">
        <v>733837.6020825335</v>
      </c>
      <c r="W9" s="112">
        <v>732795.407854652</v>
      </c>
      <c r="X9" s="112">
        <v>732031.2537033234</v>
      </c>
      <c r="Y9" s="112">
        <v>732311.3816957842</v>
      </c>
      <c r="Z9" s="112">
        <v>733771.8932318385</v>
      </c>
      <c r="AA9" s="112">
        <v>733360.8624067607</v>
      </c>
      <c r="AB9" s="112">
        <v>735283.7943215901</v>
      </c>
      <c r="AC9" s="112">
        <v>735253.7245160664</v>
      </c>
      <c r="AD9" s="112">
        <v>734876.4995447112</v>
      </c>
      <c r="AE9" s="112">
        <v>736148.5962954683</v>
      </c>
      <c r="AF9" s="112">
        <v>732714.114769101</v>
      </c>
      <c r="AG9" s="112">
        <v>729883.4718330195</v>
      </c>
      <c r="AH9" s="112">
        <v>729591.1521895493</v>
      </c>
      <c r="AI9" s="112">
        <v>729918.2814524451</v>
      </c>
      <c r="AJ9" s="112">
        <v>733129.7736971842</v>
      </c>
      <c r="AK9" s="112">
        <v>730320.9694728684</v>
      </c>
      <c r="AL9" s="112">
        <v>735515.3059419397</v>
      </c>
      <c r="AM9" s="112">
        <v>737442.5650844516</v>
      </c>
      <c r="AN9" s="112">
        <v>744129.9166642176</v>
      </c>
      <c r="AO9" s="112">
        <v>746697.7117420484</v>
      </c>
      <c r="AP9" s="112">
        <v>746837.338267849</v>
      </c>
      <c r="AQ9" s="112"/>
      <c r="AR9" s="105">
        <f t="shared" si="1"/>
        <v>18658.13002</v>
      </c>
      <c r="AS9" s="107">
        <f t="shared" si="2"/>
        <v>0.02562299199</v>
      </c>
    </row>
    <row r="10" ht="15.75" customHeight="1">
      <c r="A10" s="118" t="s">
        <v>35</v>
      </c>
      <c r="B10" s="112">
        <v>4.0593903355374284E7</v>
      </c>
      <c r="C10" s="112">
        <v>4.039137862824924E7</v>
      </c>
      <c r="D10" s="112">
        <v>4.023046772036279E7</v>
      </c>
      <c r="E10" s="112">
        <v>4.004866014054106E7</v>
      </c>
      <c r="F10" s="112">
        <v>3.978679991134898E7</v>
      </c>
      <c r="G10" s="112">
        <v>3.9724690816200584E7</v>
      </c>
      <c r="H10" s="112">
        <v>3.9623338137370475E7</v>
      </c>
      <c r="I10" s="112">
        <v>3.95193175355597E7</v>
      </c>
      <c r="J10" s="112">
        <v>3.9379367320642844E7</v>
      </c>
      <c r="K10" s="112">
        <v>3.928060898961066E7</v>
      </c>
      <c r="L10" s="112">
        <v>3.913318304068131E7</v>
      </c>
      <c r="M10" s="112">
        <v>3.8942336390705965E7</v>
      </c>
      <c r="N10" s="112">
        <v>3.882497602486467E7</v>
      </c>
      <c r="O10" s="112">
        <v>3.867875104519357E7</v>
      </c>
      <c r="P10" s="112">
        <v>3.845217044875885E7</v>
      </c>
      <c r="Q10" s="112">
        <v>3.8658458927783065E7</v>
      </c>
      <c r="R10" s="112">
        <v>3.864356626068856E7</v>
      </c>
      <c r="S10" s="112">
        <v>3.8596178652325116E7</v>
      </c>
      <c r="T10" s="112">
        <v>3.855624860699757E7</v>
      </c>
      <c r="U10" s="112">
        <v>3.8501225894467905E7</v>
      </c>
      <c r="V10" s="112">
        <v>3.8484407580774575E7</v>
      </c>
      <c r="W10" s="112">
        <v>3.845054703894827E7</v>
      </c>
      <c r="X10" s="112">
        <v>3.843363426085032E7</v>
      </c>
      <c r="Y10" s="112">
        <v>3.838578631899568E7</v>
      </c>
      <c r="Z10" s="112">
        <v>3.8323412235298164E7</v>
      </c>
      <c r="AA10" s="112">
        <v>3.8336264551220134E7</v>
      </c>
      <c r="AB10" s="112">
        <v>3.835054394309042E7</v>
      </c>
      <c r="AC10" s="112">
        <v>3.832574764418811E7</v>
      </c>
      <c r="AD10" s="112">
        <v>3.833703898488002E7</v>
      </c>
      <c r="AE10" s="112">
        <v>3.831737354632899E7</v>
      </c>
      <c r="AF10" s="112">
        <v>3.830538864937466E7</v>
      </c>
      <c r="AG10" s="112">
        <v>3.827730131627843E7</v>
      </c>
      <c r="AH10" s="112">
        <v>3.823793857525207E7</v>
      </c>
      <c r="AI10" s="112">
        <v>3.8231764944841206E7</v>
      </c>
      <c r="AJ10" s="112">
        <v>3.819419355325854E7</v>
      </c>
      <c r="AK10" s="112">
        <v>3.820029528695286E7</v>
      </c>
      <c r="AL10" s="112">
        <v>3.8146553047695935E7</v>
      </c>
      <c r="AM10" s="112">
        <v>3.802810332896308E7</v>
      </c>
      <c r="AN10" s="112">
        <v>3.792571679029524E7</v>
      </c>
      <c r="AO10" s="112">
        <v>3.79249875631723E7</v>
      </c>
      <c r="AP10" s="112">
        <v>3.780355834175405E7</v>
      </c>
      <c r="AQ10" s="112"/>
      <c r="AR10" s="105">
        <f t="shared" si="1"/>
        <v>-2790345.014</v>
      </c>
      <c r="AS10" s="107">
        <f t="shared" si="2"/>
        <v>-0.06873803165</v>
      </c>
      <c r="AT10" s="5" t="s">
        <v>101</v>
      </c>
      <c r="AU10" s="120">
        <f>AR20/B20</f>
        <v>4.398734899</v>
      </c>
    </row>
    <row r="11" ht="15.75" customHeight="1">
      <c r="A11" s="118" t="s">
        <v>37</v>
      </c>
      <c r="B11" s="112">
        <v>0.0</v>
      </c>
      <c r="C11" s="112">
        <v>0.0</v>
      </c>
      <c r="D11" s="112">
        <v>0.0</v>
      </c>
      <c r="E11" s="112">
        <v>0.0</v>
      </c>
      <c r="F11" s="112">
        <v>0.0</v>
      </c>
      <c r="G11" s="112">
        <v>0.0</v>
      </c>
      <c r="H11" s="112">
        <v>0.0</v>
      </c>
      <c r="I11" s="112">
        <v>0.0</v>
      </c>
      <c r="J11" s="112">
        <v>0.0</v>
      </c>
      <c r="K11" s="112">
        <v>0.0</v>
      </c>
      <c r="L11" s="112">
        <v>0.0</v>
      </c>
      <c r="M11" s="112">
        <v>0.0</v>
      </c>
      <c r="N11" s="112">
        <v>0.0</v>
      </c>
      <c r="O11" s="112">
        <v>0.0</v>
      </c>
      <c r="P11" s="112">
        <v>0.0</v>
      </c>
      <c r="Q11" s="112">
        <v>0.0</v>
      </c>
      <c r="R11" s="112">
        <v>0.0</v>
      </c>
      <c r="S11" s="112">
        <v>0.0</v>
      </c>
      <c r="T11" s="112">
        <v>0.0</v>
      </c>
      <c r="U11" s="112">
        <v>0.0</v>
      </c>
      <c r="V11" s="112">
        <v>0.0</v>
      </c>
      <c r="W11" s="112">
        <v>0.0</v>
      </c>
      <c r="X11" s="112">
        <v>0.0</v>
      </c>
      <c r="Y11" s="112">
        <v>0.0</v>
      </c>
      <c r="Z11" s="112">
        <v>0.0</v>
      </c>
      <c r="AA11" s="112">
        <v>0.0</v>
      </c>
      <c r="AB11" s="112">
        <v>0.0</v>
      </c>
      <c r="AC11" s="112">
        <v>0.0</v>
      </c>
      <c r="AD11" s="112">
        <v>0.0</v>
      </c>
      <c r="AE11" s="112">
        <v>0.0</v>
      </c>
      <c r="AF11" s="112">
        <v>0.0</v>
      </c>
      <c r="AG11" s="112">
        <v>0.0</v>
      </c>
      <c r="AH11" s="112">
        <v>0.0</v>
      </c>
      <c r="AI11" s="112">
        <v>0.0</v>
      </c>
      <c r="AJ11" s="112">
        <v>0.0</v>
      </c>
      <c r="AK11" s="112">
        <v>0.0</v>
      </c>
      <c r="AL11" s="112">
        <v>0.0</v>
      </c>
      <c r="AM11" s="112">
        <v>0.0</v>
      </c>
      <c r="AN11" s="112">
        <v>0.0</v>
      </c>
      <c r="AO11" s="112">
        <v>0.0</v>
      </c>
      <c r="AP11" s="112">
        <v>0.0</v>
      </c>
      <c r="AQ11" s="112"/>
      <c r="AR11" s="105">
        <f t="shared" si="1"/>
        <v>0</v>
      </c>
      <c r="AS11" s="107" t="s">
        <v>77</v>
      </c>
      <c r="AT11" s="5" t="s">
        <v>102</v>
      </c>
      <c r="AU11" s="10">
        <f>AP5/BRASIL!B13</f>
        <v>0.6485031331</v>
      </c>
    </row>
    <row r="12" ht="15.75" customHeight="1">
      <c r="A12" s="96" t="s">
        <v>9</v>
      </c>
      <c r="B12" s="96">
        <v>1.620425014221156E7</v>
      </c>
      <c r="C12" s="96">
        <v>1.5726365616204027E7</v>
      </c>
      <c r="D12" s="96">
        <v>1.5625947721495219E7</v>
      </c>
      <c r="E12" s="96">
        <v>1.55771831551313E7</v>
      </c>
      <c r="F12" s="96">
        <v>1.5438568405736446E7</v>
      </c>
      <c r="G12" s="96">
        <v>1.5406453524479687E7</v>
      </c>
      <c r="H12" s="96">
        <v>1.5255606715268513E7</v>
      </c>
      <c r="I12" s="96">
        <v>1.5325188474538175E7</v>
      </c>
      <c r="J12" s="96">
        <v>1.5079322689133786E7</v>
      </c>
      <c r="K12" s="96">
        <v>1.5186683306709655E7</v>
      </c>
      <c r="L12" s="96">
        <v>1.5288441525112664E7</v>
      </c>
      <c r="M12" s="96">
        <v>1.4951075354561074E7</v>
      </c>
      <c r="N12" s="96">
        <v>1.5093164359540882E7</v>
      </c>
      <c r="O12" s="96">
        <v>1.5235257149715262E7</v>
      </c>
      <c r="P12" s="96">
        <v>1.478300842115003E7</v>
      </c>
      <c r="Q12" s="96">
        <v>1.5587714325704776E7</v>
      </c>
      <c r="R12" s="96">
        <v>1.5708597227503648E7</v>
      </c>
      <c r="S12" s="96">
        <v>1.5626673307095647E7</v>
      </c>
      <c r="T12" s="96">
        <v>1.577889655068516E7</v>
      </c>
      <c r="U12" s="96">
        <v>1.5760054312111024E7</v>
      </c>
      <c r="V12" s="96">
        <v>1.551429176389314E7</v>
      </c>
      <c r="W12" s="96">
        <v>1.5380217828806376E7</v>
      </c>
      <c r="X12" s="96">
        <v>1.5303604457383027E7</v>
      </c>
      <c r="Y12" s="96">
        <v>1.5282281791068621E7</v>
      </c>
      <c r="Z12" s="96">
        <v>1.5203920123896006E7</v>
      </c>
      <c r="AA12" s="96">
        <v>1.5411028871337812E7</v>
      </c>
      <c r="AB12" s="96">
        <v>1.5364010397255316E7</v>
      </c>
      <c r="AC12" s="96">
        <v>1.520526839390932E7</v>
      </c>
      <c r="AD12" s="96">
        <v>1.5424574165351389E7</v>
      </c>
      <c r="AE12" s="96">
        <v>1.5482764515571883E7</v>
      </c>
      <c r="AF12" s="96">
        <v>1.5579619892971335E7</v>
      </c>
      <c r="AG12" s="96">
        <v>1.5693969615444886E7</v>
      </c>
      <c r="AH12" s="96">
        <v>1.5560554712786391E7</v>
      </c>
      <c r="AI12" s="96">
        <v>1.5580278410387956E7</v>
      </c>
      <c r="AJ12" s="96">
        <v>1.5485438261065658E7</v>
      </c>
      <c r="AK12" s="96">
        <v>1.5511654826630997E7</v>
      </c>
      <c r="AL12" s="96">
        <v>1.5305062877793174E7</v>
      </c>
      <c r="AM12" s="104">
        <v>1.465179793224869E7</v>
      </c>
      <c r="AN12" s="104">
        <v>1.518664429480099E7</v>
      </c>
      <c r="AO12" s="104">
        <v>1.5339115406195784E7</v>
      </c>
      <c r="AP12" s="104">
        <v>1.476321164915888E7</v>
      </c>
      <c r="AQ12" s="33"/>
      <c r="AR12" s="105">
        <f t="shared" si="1"/>
        <v>-1441038.493</v>
      </c>
      <c r="AS12" s="107">
        <f t="shared" ref="AS12:AS13" si="3">AR12/B12</f>
        <v>-0.08892966231</v>
      </c>
      <c r="AT12" s="108"/>
    </row>
    <row r="13" ht="15.75" customHeight="1">
      <c r="A13" s="33" t="s">
        <v>45</v>
      </c>
      <c r="B13" s="112">
        <v>9816075.177130507</v>
      </c>
      <c r="C13" s="112">
        <v>9363654.177169975</v>
      </c>
      <c r="D13" s="112">
        <v>9280783.392885562</v>
      </c>
      <c r="E13" s="112">
        <v>9239421.419635179</v>
      </c>
      <c r="F13" s="112">
        <v>9117012.656966276</v>
      </c>
      <c r="G13" s="112">
        <v>9089854.913504068</v>
      </c>
      <c r="H13" s="112">
        <v>8959708.255406674</v>
      </c>
      <c r="I13" s="112">
        <v>9037134.851582732</v>
      </c>
      <c r="J13" s="112">
        <v>8794114.209063388</v>
      </c>
      <c r="K13" s="112">
        <v>8910836.319645446</v>
      </c>
      <c r="L13" s="112">
        <v>9019414.112503536</v>
      </c>
      <c r="M13" s="112">
        <v>8698474.032936184</v>
      </c>
      <c r="N13" s="112">
        <v>8851449.33382231</v>
      </c>
      <c r="O13" s="112">
        <v>9007354.738527829</v>
      </c>
      <c r="P13" s="112">
        <v>8568825.2944315</v>
      </c>
      <c r="Q13" s="112">
        <v>9379172.570277618</v>
      </c>
      <c r="R13" s="112">
        <v>9515865.044761831</v>
      </c>
      <c r="S13" s="112">
        <v>9453349.306531066</v>
      </c>
      <c r="T13" s="112">
        <v>9619443.83545328</v>
      </c>
      <c r="U13" s="112">
        <v>9616473.420425408</v>
      </c>
      <c r="V13" s="112">
        <v>9394545.973662203</v>
      </c>
      <c r="W13" s="112">
        <v>9287406.37895168</v>
      </c>
      <c r="X13" s="112">
        <v>9222361.49047963</v>
      </c>
      <c r="Y13" s="112">
        <v>9214156.123692334</v>
      </c>
      <c r="Z13" s="112">
        <v>9139955.636422347</v>
      </c>
      <c r="AA13" s="112">
        <v>9353774.952188</v>
      </c>
      <c r="AB13" s="112">
        <v>9311778.842960598</v>
      </c>
      <c r="AC13" s="112">
        <v>9158565.049510462</v>
      </c>
      <c r="AD13" s="112">
        <v>9396329.29918028</v>
      </c>
      <c r="AE13" s="112">
        <v>9484404.400641331</v>
      </c>
      <c r="AF13" s="112">
        <v>9600281.813237185</v>
      </c>
      <c r="AG13" s="112">
        <v>9730048.914296543</v>
      </c>
      <c r="AH13" s="112">
        <v>9611762.068545623</v>
      </c>
      <c r="AI13" s="112">
        <v>9645681.833353985</v>
      </c>
      <c r="AJ13" s="112">
        <v>9568864.555245075</v>
      </c>
      <c r="AK13" s="112">
        <v>9613951.549542671</v>
      </c>
      <c r="AL13" s="112">
        <v>9415082.110731322</v>
      </c>
      <c r="AM13" s="112">
        <v>8792351.24453229</v>
      </c>
      <c r="AN13" s="112">
        <v>9363170.395014714</v>
      </c>
      <c r="AO13" s="112">
        <v>9548290.714342907</v>
      </c>
      <c r="AP13" s="112">
        <v>9010925.484620834</v>
      </c>
      <c r="AQ13" s="112"/>
      <c r="AR13" s="105">
        <f t="shared" si="1"/>
        <v>-805149.6925</v>
      </c>
      <c r="AS13" s="107">
        <f t="shared" si="3"/>
        <v>-0.08202358661</v>
      </c>
    </row>
    <row r="14" ht="15.75" customHeight="1">
      <c r="A14" s="33" t="s">
        <v>46</v>
      </c>
      <c r="B14" s="112">
        <v>0.0</v>
      </c>
      <c r="C14" s="112">
        <v>0.0</v>
      </c>
      <c r="D14" s="112">
        <v>0.0</v>
      </c>
      <c r="E14" s="112">
        <v>0.0</v>
      </c>
      <c r="F14" s="112">
        <v>0.0</v>
      </c>
      <c r="G14" s="112">
        <v>0.0</v>
      </c>
      <c r="H14" s="112">
        <v>0.0</v>
      </c>
      <c r="I14" s="112">
        <v>0.0</v>
      </c>
      <c r="J14" s="112">
        <v>0.0</v>
      </c>
      <c r="K14" s="112">
        <v>0.0</v>
      </c>
      <c r="L14" s="112">
        <v>0.0</v>
      </c>
      <c r="M14" s="112">
        <v>0.0</v>
      </c>
      <c r="N14" s="112">
        <v>0.0</v>
      </c>
      <c r="O14" s="112">
        <v>0.0</v>
      </c>
      <c r="P14" s="112">
        <v>0.0</v>
      </c>
      <c r="Q14" s="112">
        <v>0.0</v>
      </c>
      <c r="R14" s="112">
        <v>0.0</v>
      </c>
      <c r="S14" s="112">
        <v>0.0</v>
      </c>
      <c r="T14" s="112">
        <v>0.0</v>
      </c>
      <c r="U14" s="112">
        <v>0.0</v>
      </c>
      <c r="V14" s="112">
        <v>0.0</v>
      </c>
      <c r="W14" s="112">
        <v>0.0</v>
      </c>
      <c r="X14" s="112">
        <v>0.0</v>
      </c>
      <c r="Y14" s="112">
        <v>0.0</v>
      </c>
      <c r="Z14" s="112">
        <v>0.0</v>
      </c>
      <c r="AA14" s="112">
        <v>0.0</v>
      </c>
      <c r="AB14" s="112">
        <v>0.0</v>
      </c>
      <c r="AC14" s="112">
        <v>0.0</v>
      </c>
      <c r="AD14" s="112">
        <v>0.0</v>
      </c>
      <c r="AE14" s="112">
        <v>0.0</v>
      </c>
      <c r="AF14" s="112">
        <v>0.0</v>
      </c>
      <c r="AG14" s="112">
        <v>0.0</v>
      </c>
      <c r="AH14" s="112">
        <v>0.0</v>
      </c>
      <c r="AI14" s="112">
        <v>0.0</v>
      </c>
      <c r="AJ14" s="112">
        <v>0.0</v>
      </c>
      <c r="AK14" s="112">
        <v>0.0</v>
      </c>
      <c r="AL14" s="112">
        <v>0.0</v>
      </c>
      <c r="AM14" s="112">
        <v>0.0</v>
      </c>
      <c r="AN14" s="112">
        <v>0.0</v>
      </c>
      <c r="AO14" s="112">
        <v>0.0</v>
      </c>
      <c r="AP14" s="112">
        <v>0.0</v>
      </c>
      <c r="AQ14" s="112"/>
      <c r="AR14" s="105">
        <f t="shared" si="1"/>
        <v>0</v>
      </c>
      <c r="AS14" s="107" t="s">
        <v>77</v>
      </c>
    </row>
    <row r="15" ht="15.75" customHeight="1">
      <c r="A15" s="33" t="s">
        <v>48</v>
      </c>
      <c r="B15" s="112">
        <v>5765241.778148655</v>
      </c>
      <c r="C15" s="112">
        <v>5739795.1566384835</v>
      </c>
      <c r="D15" s="112">
        <v>5722200.112630783</v>
      </c>
      <c r="E15" s="112">
        <v>5715281.218911281</v>
      </c>
      <c r="F15" s="112">
        <v>5701309.048158947</v>
      </c>
      <c r="G15" s="112">
        <v>5696660.067926476</v>
      </c>
      <c r="H15" s="112">
        <v>5674909.223426409</v>
      </c>
      <c r="I15" s="112">
        <v>5666633.580037152</v>
      </c>
      <c r="J15" s="112">
        <v>5662714.951650881</v>
      </c>
      <c r="K15" s="112">
        <v>5653328.658524524</v>
      </c>
      <c r="L15" s="112">
        <v>5647000.176527269</v>
      </c>
      <c r="M15" s="112">
        <v>5631536.103085987</v>
      </c>
      <c r="N15" s="112">
        <v>5620350.486232615</v>
      </c>
      <c r="O15" s="112">
        <v>5605401.20365279</v>
      </c>
      <c r="P15" s="112">
        <v>5591469.605203277</v>
      </c>
      <c r="Q15" s="112">
        <v>5585000.548158621</v>
      </c>
      <c r="R15" s="112">
        <v>5568590.994300881</v>
      </c>
      <c r="S15" s="112">
        <v>5549041.500122246</v>
      </c>
      <c r="T15" s="112">
        <v>5535162.399875272</v>
      </c>
      <c r="U15" s="112">
        <v>5519687.296318227</v>
      </c>
      <c r="V15" s="112">
        <v>5495761.6465980895</v>
      </c>
      <c r="W15" s="112">
        <v>5468659.063511618</v>
      </c>
      <c r="X15" s="112">
        <v>5457600.221018474</v>
      </c>
      <c r="Y15" s="112">
        <v>5445564.966007845</v>
      </c>
      <c r="Z15" s="112">
        <v>5441510.277151748</v>
      </c>
      <c r="AA15" s="112">
        <v>5434762.606799955</v>
      </c>
      <c r="AB15" s="112">
        <v>5430862.061461303</v>
      </c>
      <c r="AC15" s="112">
        <v>5426837.421477398</v>
      </c>
      <c r="AD15" s="112">
        <v>5409231.568078324</v>
      </c>
      <c r="AE15" s="112">
        <v>5379696.886032762</v>
      </c>
      <c r="AF15" s="112">
        <v>5360663.781970252</v>
      </c>
      <c r="AG15" s="112">
        <v>5345331.117297489</v>
      </c>
      <c r="AH15" s="112">
        <v>5331147.416564547</v>
      </c>
      <c r="AI15" s="112">
        <v>5318136.96420818</v>
      </c>
      <c r="AJ15" s="112">
        <v>5301832.291356832</v>
      </c>
      <c r="AK15" s="112">
        <v>5283520.127253262</v>
      </c>
      <c r="AL15" s="112">
        <v>5275937.230409015</v>
      </c>
      <c r="AM15" s="112">
        <v>5246042.024775877</v>
      </c>
      <c r="AN15" s="112">
        <v>5210789.683116319</v>
      </c>
      <c r="AO15" s="112">
        <v>5179773.120886251</v>
      </c>
      <c r="AP15" s="112">
        <v>5145418.206903252</v>
      </c>
      <c r="AQ15" s="112"/>
      <c r="AR15" s="105">
        <f t="shared" si="1"/>
        <v>-619823.5712</v>
      </c>
      <c r="AS15" s="107">
        <f>AR15/B15</f>
        <v>-0.1075104211</v>
      </c>
    </row>
    <row r="16" ht="15.75" customHeight="1">
      <c r="A16" s="33" t="s">
        <v>50</v>
      </c>
      <c r="B16" s="112">
        <v>0.0</v>
      </c>
      <c r="C16" s="112">
        <v>0.0</v>
      </c>
      <c r="D16" s="112">
        <v>0.0</v>
      </c>
      <c r="E16" s="112">
        <v>0.0</v>
      </c>
      <c r="F16" s="112">
        <v>0.0</v>
      </c>
      <c r="G16" s="112">
        <v>0.0</v>
      </c>
      <c r="H16" s="112">
        <v>0.0</v>
      </c>
      <c r="I16" s="112">
        <v>0.0</v>
      </c>
      <c r="J16" s="112">
        <v>0.0</v>
      </c>
      <c r="K16" s="112">
        <v>0.0</v>
      </c>
      <c r="L16" s="112">
        <v>0.0</v>
      </c>
      <c r="M16" s="112">
        <v>0.0</v>
      </c>
      <c r="N16" s="112">
        <v>0.0</v>
      </c>
      <c r="O16" s="112">
        <v>0.0</v>
      </c>
      <c r="P16" s="112">
        <v>0.0</v>
      </c>
      <c r="Q16" s="112">
        <v>0.0</v>
      </c>
      <c r="R16" s="112">
        <v>0.0</v>
      </c>
      <c r="S16" s="112">
        <v>0.0</v>
      </c>
      <c r="T16" s="112">
        <v>0.0</v>
      </c>
      <c r="U16" s="112">
        <v>0.0</v>
      </c>
      <c r="V16" s="112">
        <v>0.0</v>
      </c>
      <c r="W16" s="112">
        <v>0.0</v>
      </c>
      <c r="X16" s="112">
        <v>0.0</v>
      </c>
      <c r="Y16" s="112">
        <v>0.0</v>
      </c>
      <c r="Z16" s="112">
        <v>0.0</v>
      </c>
      <c r="AA16" s="112">
        <v>0.0</v>
      </c>
      <c r="AB16" s="112">
        <v>0.0</v>
      </c>
      <c r="AC16" s="112">
        <v>0.0</v>
      </c>
      <c r="AD16" s="112">
        <v>0.0</v>
      </c>
      <c r="AE16" s="112">
        <v>0.0</v>
      </c>
      <c r="AF16" s="112">
        <v>0.0</v>
      </c>
      <c r="AG16" s="112">
        <v>0.0</v>
      </c>
      <c r="AH16" s="112">
        <v>0.0</v>
      </c>
      <c r="AI16" s="112">
        <v>0.0</v>
      </c>
      <c r="AJ16" s="112">
        <v>0.0</v>
      </c>
      <c r="AK16" s="112">
        <v>0.0</v>
      </c>
      <c r="AL16" s="112">
        <v>0.0</v>
      </c>
      <c r="AM16" s="112">
        <v>0.0</v>
      </c>
      <c r="AN16" s="112">
        <v>0.0</v>
      </c>
      <c r="AO16" s="112">
        <v>0.0</v>
      </c>
      <c r="AP16" s="112">
        <v>0.0</v>
      </c>
      <c r="AQ16" s="112"/>
      <c r="AR16" s="105">
        <f t="shared" si="1"/>
        <v>0</v>
      </c>
      <c r="AS16" s="107" t="s">
        <v>77</v>
      </c>
    </row>
    <row r="17" ht="15.75" customHeight="1">
      <c r="A17" s="111" t="s">
        <v>67</v>
      </c>
      <c r="B17" s="112">
        <v>36898.888365747385</v>
      </c>
      <c r="C17" s="112">
        <v>36923.17534656401</v>
      </c>
      <c r="D17" s="112">
        <v>36929.16443268458</v>
      </c>
      <c r="E17" s="112">
        <v>36652.503693689294</v>
      </c>
      <c r="F17" s="112">
        <v>34300.84444551419</v>
      </c>
      <c r="G17" s="112">
        <v>33885.243394977064</v>
      </c>
      <c r="H17" s="112">
        <v>34678.46943743921</v>
      </c>
      <c r="I17" s="112">
        <v>35094.30426428245</v>
      </c>
      <c r="J17" s="112">
        <v>36284.68781815814</v>
      </c>
      <c r="K17" s="112">
        <v>36626.79001206684</v>
      </c>
      <c r="L17" s="112">
        <v>36317.43782653215</v>
      </c>
      <c r="M17" s="112">
        <v>35506.47019346333</v>
      </c>
      <c r="N17" s="112">
        <v>35598.51410836812</v>
      </c>
      <c r="O17" s="112">
        <v>36220.71984531882</v>
      </c>
      <c r="P17" s="112">
        <v>36092.01952789938</v>
      </c>
      <c r="Q17" s="112">
        <v>36961.24278178734</v>
      </c>
      <c r="R17" s="112">
        <v>37623.164788238755</v>
      </c>
      <c r="S17" s="112">
        <v>37712.79973508934</v>
      </c>
      <c r="T17" s="112">
        <v>37736.55880584121</v>
      </c>
      <c r="U17" s="112">
        <v>37260.610405798456</v>
      </c>
      <c r="V17" s="112">
        <v>37351.4813418092</v>
      </c>
      <c r="W17" s="112">
        <v>37546.726993884455</v>
      </c>
      <c r="X17" s="112">
        <v>36996.89082611711</v>
      </c>
      <c r="Y17" s="112">
        <v>35874.77188328871</v>
      </c>
      <c r="Z17" s="112">
        <v>35731.218031067016</v>
      </c>
      <c r="AA17" s="112">
        <v>35759.4263354189</v>
      </c>
      <c r="AB17" s="112">
        <v>34663.51086752335</v>
      </c>
      <c r="AC17" s="112">
        <v>33140.473538495164</v>
      </c>
      <c r="AD17" s="112">
        <v>32280.977226526145</v>
      </c>
      <c r="AE17" s="112">
        <v>31863.89355820953</v>
      </c>
      <c r="AF17" s="112">
        <v>31871.10952506749</v>
      </c>
      <c r="AG17" s="112">
        <v>31754.781472204868</v>
      </c>
      <c r="AH17" s="112">
        <v>30867.911126129467</v>
      </c>
      <c r="AI17" s="112">
        <v>29668.98156756619</v>
      </c>
      <c r="AJ17" s="112">
        <v>27964.999380273643</v>
      </c>
      <c r="AK17" s="112">
        <v>27335.693585632478</v>
      </c>
      <c r="AL17" s="112">
        <v>27222.984722064415</v>
      </c>
      <c r="AM17" s="112">
        <v>26918.702954168908</v>
      </c>
      <c r="AN17" s="112">
        <v>26407.010033294882</v>
      </c>
      <c r="AO17" s="112">
        <v>25365.596780414042</v>
      </c>
      <c r="AP17" s="112">
        <v>24163.379238476722</v>
      </c>
      <c r="AQ17" s="112"/>
      <c r="AR17" s="105">
        <f t="shared" si="1"/>
        <v>-12735.50913</v>
      </c>
      <c r="AS17" s="107">
        <f t="shared" ref="AS17:AS28" si="4">AR17/B17</f>
        <v>-0.3451461464</v>
      </c>
    </row>
    <row r="18" ht="15.75" customHeight="1">
      <c r="A18" s="33" t="s">
        <v>78</v>
      </c>
      <c r="B18" s="112">
        <v>586033.1377365527</v>
      </c>
      <c r="C18" s="112">
        <v>585991.8569248092</v>
      </c>
      <c r="D18" s="112">
        <v>586033.8014316694</v>
      </c>
      <c r="E18" s="112">
        <v>585826.405568187</v>
      </c>
      <c r="F18" s="112">
        <v>585944.248844835</v>
      </c>
      <c r="G18" s="112">
        <v>586051.7816231552</v>
      </c>
      <c r="H18" s="112">
        <v>586309.6954613081</v>
      </c>
      <c r="I18" s="112">
        <v>586323.8634013716</v>
      </c>
      <c r="J18" s="112">
        <v>586207.7691447557</v>
      </c>
      <c r="K18" s="112">
        <v>585890.3777901228</v>
      </c>
      <c r="L18" s="112">
        <v>585709.083942235</v>
      </c>
      <c r="M18" s="112">
        <v>585558.2125843747</v>
      </c>
      <c r="N18" s="112">
        <v>585765.3110218374</v>
      </c>
      <c r="O18" s="112">
        <v>586279.4161910018</v>
      </c>
      <c r="P18" s="112">
        <v>586620.1626108451</v>
      </c>
      <c r="Q18" s="112">
        <v>586578.4465004565</v>
      </c>
      <c r="R18" s="112">
        <v>586516.1485188229</v>
      </c>
      <c r="S18" s="112">
        <v>586567.557623937</v>
      </c>
      <c r="T18" s="112">
        <v>586551.7027947069</v>
      </c>
      <c r="U18" s="112">
        <v>586631.1990975515</v>
      </c>
      <c r="V18" s="112">
        <v>586630.6085418265</v>
      </c>
      <c r="W18" s="112">
        <v>586603.5162990345</v>
      </c>
      <c r="X18" s="112">
        <v>586643.4441175708</v>
      </c>
      <c r="Y18" s="112">
        <v>586683.6078997547</v>
      </c>
      <c r="Z18" s="112">
        <v>586720.849232787</v>
      </c>
      <c r="AA18" s="112">
        <v>586729.8322604357</v>
      </c>
      <c r="AB18" s="112">
        <v>586703.8389269398</v>
      </c>
      <c r="AC18" s="112">
        <v>586722.7706464038</v>
      </c>
      <c r="AD18" s="112">
        <v>586729.6421290576</v>
      </c>
      <c r="AE18" s="112">
        <v>586796.65655808</v>
      </c>
      <c r="AF18" s="112">
        <v>586799.9736375292</v>
      </c>
      <c r="AG18" s="112">
        <v>586831.2306135304</v>
      </c>
      <c r="AH18" s="112">
        <v>586774.5484490652</v>
      </c>
      <c r="AI18" s="112">
        <v>586787.8631713977</v>
      </c>
      <c r="AJ18" s="112">
        <v>586773.4683767634</v>
      </c>
      <c r="AK18" s="112">
        <v>586845.4918063467</v>
      </c>
      <c r="AL18" s="112">
        <v>586818.6767109304</v>
      </c>
      <c r="AM18" s="112">
        <v>586484.4419936696</v>
      </c>
      <c r="AN18" s="112">
        <v>586275.9565273063</v>
      </c>
      <c r="AO18" s="112">
        <v>585684.3669526908</v>
      </c>
      <c r="AP18" s="112">
        <v>582703.1497510676</v>
      </c>
      <c r="AQ18" s="112"/>
      <c r="AR18" s="105">
        <f t="shared" si="1"/>
        <v>-3329.987985</v>
      </c>
      <c r="AS18" s="107">
        <f t="shared" si="4"/>
        <v>-0.005682252028</v>
      </c>
    </row>
    <row r="19" ht="15.75" customHeight="1">
      <c r="A19" s="33" t="s">
        <v>79</v>
      </c>
      <c r="B19" s="112">
        <v>1.160830096435547</v>
      </c>
      <c r="C19" s="112">
        <v>1.250124194335938</v>
      </c>
      <c r="D19" s="112">
        <v>1.250114520263672</v>
      </c>
      <c r="E19" s="112">
        <v>1.607322967529297</v>
      </c>
      <c r="F19" s="112">
        <v>1.607320874023437</v>
      </c>
      <c r="G19" s="112">
        <v>1.518031011962891</v>
      </c>
      <c r="H19" s="112">
        <v>1.071536682128906</v>
      </c>
      <c r="I19" s="112">
        <v>1.87525263671875</v>
      </c>
      <c r="J19" s="112">
        <v>1.071456604003906</v>
      </c>
      <c r="K19" s="112">
        <v>1.160737493896484</v>
      </c>
      <c r="L19" s="112">
        <v>0.7143130920410156</v>
      </c>
      <c r="M19" s="112">
        <v>0.5357610656738281</v>
      </c>
      <c r="N19" s="112">
        <v>0.7143557495117187</v>
      </c>
      <c r="O19" s="112">
        <v>1.071498321533203</v>
      </c>
      <c r="P19" s="112">
        <v>1.339376507568359</v>
      </c>
      <c r="Q19" s="112">
        <v>1.517986291503906</v>
      </c>
      <c r="R19" s="112">
        <v>1.875133874511719</v>
      </c>
      <c r="S19" s="112">
        <v>2.143083306884765</v>
      </c>
      <c r="T19" s="112">
        <v>2.053756060791016</v>
      </c>
      <c r="U19" s="112">
        <v>1.785864038085937</v>
      </c>
      <c r="V19" s="112">
        <v>2.053749212646484</v>
      </c>
      <c r="W19" s="112">
        <v>2.143050158691406</v>
      </c>
      <c r="X19" s="112">
        <v>2.410941235351562</v>
      </c>
      <c r="Y19" s="112">
        <v>2.321585400390625</v>
      </c>
      <c r="Z19" s="112">
        <v>2.143058056640625</v>
      </c>
      <c r="AA19" s="112">
        <v>2.05375400390625</v>
      </c>
      <c r="AB19" s="112">
        <v>2.143038952636719</v>
      </c>
      <c r="AC19" s="112">
        <v>2.678736560058594</v>
      </c>
      <c r="AD19" s="112">
        <v>2.678737200927734</v>
      </c>
      <c r="AE19" s="112">
        <v>2.678781500244141</v>
      </c>
      <c r="AF19" s="112">
        <v>3.214601300048828</v>
      </c>
      <c r="AG19" s="112">
        <v>3.571765118408203</v>
      </c>
      <c r="AH19" s="112">
        <v>2.768101025390625</v>
      </c>
      <c r="AI19" s="112">
        <v>2.768086828613282</v>
      </c>
      <c r="AJ19" s="112">
        <v>2.946706713867187</v>
      </c>
      <c r="AK19" s="112">
        <v>1.964443084716797</v>
      </c>
      <c r="AL19" s="112">
        <v>1.875219842529297</v>
      </c>
      <c r="AM19" s="112">
        <v>1.517992681884766</v>
      </c>
      <c r="AN19" s="112">
        <v>1.250109356689453</v>
      </c>
      <c r="AO19" s="112">
        <v>1.607233520507813</v>
      </c>
      <c r="AP19" s="112">
        <v>1.428645251464844</v>
      </c>
      <c r="AQ19" s="112"/>
      <c r="AR19" s="105">
        <f t="shared" si="1"/>
        <v>0.267815155</v>
      </c>
      <c r="AS19" s="107">
        <f t="shared" si="4"/>
        <v>0.2307100375</v>
      </c>
    </row>
    <row r="20" ht="15.75" customHeight="1">
      <c r="A20" s="104" t="s">
        <v>11</v>
      </c>
      <c r="B20" s="96">
        <v>1.2089124918778175E7</v>
      </c>
      <c r="C20" s="96">
        <v>1.2326133286328206E7</v>
      </c>
      <c r="D20" s="96">
        <v>1.3766184587330423E7</v>
      </c>
      <c r="E20" s="96">
        <v>1.5057455477794249E7</v>
      </c>
      <c r="F20" s="96">
        <v>1.6073289890446644E7</v>
      </c>
      <c r="G20" s="96">
        <v>1.6973346266231112E7</v>
      </c>
      <c r="H20" s="96">
        <v>1.808202038915461E7</v>
      </c>
      <c r="I20" s="96">
        <v>1.9727702778654307E7</v>
      </c>
      <c r="J20" s="96">
        <v>2.1277040477097984E7</v>
      </c>
      <c r="K20" s="96">
        <v>2.3097364608782943E7</v>
      </c>
      <c r="L20" s="96">
        <v>2.5466789859448347E7</v>
      </c>
      <c r="M20" s="96">
        <v>2.751535115978786E7</v>
      </c>
      <c r="N20" s="96">
        <v>2.952119774571108E7</v>
      </c>
      <c r="O20" s="96">
        <v>3.1526345163459267E7</v>
      </c>
      <c r="P20" s="96">
        <v>3.355828715020513E7</v>
      </c>
      <c r="Q20" s="96">
        <v>3.519743879969161E7</v>
      </c>
      <c r="R20" s="96">
        <v>3.706216418137155E7</v>
      </c>
      <c r="S20" s="96">
        <v>3.909971739552666E7</v>
      </c>
      <c r="T20" s="96">
        <v>4.189332317364689E7</v>
      </c>
      <c r="U20" s="96">
        <v>4.445620061700677E7</v>
      </c>
      <c r="V20" s="96">
        <v>4.6454489583876185E7</v>
      </c>
      <c r="W20" s="96">
        <v>4.801563111466773E7</v>
      </c>
      <c r="X20" s="96">
        <v>4.920200043759691E7</v>
      </c>
      <c r="Y20" s="96">
        <v>5.044348299775625E7</v>
      </c>
      <c r="Z20" s="96">
        <v>5.119568978565506E7</v>
      </c>
      <c r="AA20" s="96">
        <v>5.167650859926392E7</v>
      </c>
      <c r="AB20" s="96">
        <v>5.217260516137511E7</v>
      </c>
      <c r="AC20" s="96">
        <v>5.253514826811448E7</v>
      </c>
      <c r="AD20" s="96">
        <v>5.3134862442248E7</v>
      </c>
      <c r="AE20" s="96">
        <v>5.374871667839208E7</v>
      </c>
      <c r="AF20" s="96">
        <v>5.456402164878974E7</v>
      </c>
      <c r="AG20" s="96">
        <v>5.5419931648911014E7</v>
      </c>
      <c r="AH20" s="96">
        <v>5.6073992178113215E7</v>
      </c>
      <c r="AI20" s="96">
        <v>5.673600759068978E7</v>
      </c>
      <c r="AJ20" s="96">
        <v>5.794125019126848E7</v>
      </c>
      <c r="AK20" s="96">
        <v>5.909060274625827E7</v>
      </c>
      <c r="AL20" s="96">
        <v>6.0543171630438745E7</v>
      </c>
      <c r="AM20" s="104">
        <v>6.224800022344938E7</v>
      </c>
      <c r="AN20" s="104">
        <v>6.3802971110214815E7</v>
      </c>
      <c r="AO20" s="104">
        <v>6.470086006111314E7</v>
      </c>
      <c r="AP20" s="104">
        <v>6.52659805957026E7</v>
      </c>
      <c r="AQ20" s="33"/>
      <c r="AR20" s="105">
        <f t="shared" si="1"/>
        <v>53176855.68</v>
      </c>
      <c r="AS20" s="107">
        <f t="shared" si="4"/>
        <v>4.398734899</v>
      </c>
      <c r="AT20" s="108"/>
    </row>
    <row r="21" ht="15.75" customHeight="1">
      <c r="A21" s="111" t="s">
        <v>80</v>
      </c>
      <c r="B21" s="112">
        <v>7746736.90950539</v>
      </c>
      <c r="C21" s="112">
        <v>9277356.662658857</v>
      </c>
      <c r="D21" s="112">
        <v>1.0954236838258479E7</v>
      </c>
      <c r="E21" s="112">
        <v>1.2348696034537392E7</v>
      </c>
      <c r="F21" s="112">
        <v>1.3466838675396303E7</v>
      </c>
      <c r="G21" s="112">
        <v>1.4455453133086605E7</v>
      </c>
      <c r="H21" s="112">
        <v>1.5545526884411573E7</v>
      </c>
      <c r="I21" s="112">
        <v>1.7004180320136275E7</v>
      </c>
      <c r="J21" s="112">
        <v>1.83717141062937E7</v>
      </c>
      <c r="K21" s="112">
        <v>2.00571263043603E7</v>
      </c>
      <c r="L21" s="112">
        <v>2.2180521971369434E7</v>
      </c>
      <c r="M21" s="112">
        <v>2.4098629424594864E7</v>
      </c>
      <c r="N21" s="112">
        <v>2.586676790545758E7</v>
      </c>
      <c r="O21" s="112">
        <v>2.7794637819763497E7</v>
      </c>
      <c r="P21" s="112">
        <v>2.9660431471368317E7</v>
      </c>
      <c r="Q21" s="112">
        <v>3.1332927655829627E7</v>
      </c>
      <c r="R21" s="112">
        <v>3.2929531839158244E7</v>
      </c>
      <c r="S21" s="112">
        <v>3.470540219756418E7</v>
      </c>
      <c r="T21" s="112">
        <v>3.717069878990843E7</v>
      </c>
      <c r="U21" s="112">
        <v>3.922694918810993E7</v>
      </c>
      <c r="V21" s="112">
        <v>4.100312685547699E7</v>
      </c>
      <c r="W21" s="112">
        <v>4.226896003749246E7</v>
      </c>
      <c r="X21" s="112">
        <v>4.3437438253919706E7</v>
      </c>
      <c r="Y21" s="112">
        <v>4.44518153910109E7</v>
      </c>
      <c r="Z21" s="112">
        <v>4.504185838945073E7</v>
      </c>
      <c r="AA21" s="112">
        <v>4.5404554925494045E7</v>
      </c>
      <c r="AB21" s="112">
        <v>4.575532856342927E7</v>
      </c>
      <c r="AC21" s="112">
        <v>4.589994906966217E7</v>
      </c>
      <c r="AD21" s="112">
        <v>4.585823500795733E7</v>
      </c>
      <c r="AE21" s="112">
        <v>4.584928670149331E7</v>
      </c>
      <c r="AF21" s="112">
        <v>4.6030121712240405E7</v>
      </c>
      <c r="AG21" s="112">
        <v>4.634015942509745E7</v>
      </c>
      <c r="AH21" s="112">
        <v>4.655127367047151E7</v>
      </c>
      <c r="AI21" s="112">
        <v>4.693077944213329E7</v>
      </c>
      <c r="AJ21" s="112">
        <v>4.744673402053164E7</v>
      </c>
      <c r="AK21" s="112">
        <v>4.80188695133609E7</v>
      </c>
      <c r="AL21" s="112">
        <v>4.867078051151244E7</v>
      </c>
      <c r="AM21" s="112">
        <v>4.936568679131234E7</v>
      </c>
      <c r="AN21" s="112">
        <v>5.043268298514329E7</v>
      </c>
      <c r="AO21" s="112">
        <v>5.089178597398965E7</v>
      </c>
      <c r="AP21" s="112">
        <v>5.0828179528752916E7</v>
      </c>
      <c r="AQ21" s="112"/>
      <c r="AR21" s="105">
        <f t="shared" si="1"/>
        <v>43081442.62</v>
      </c>
      <c r="AS21" s="107">
        <f t="shared" si="4"/>
        <v>5.561237347</v>
      </c>
      <c r="AT21" s="5"/>
      <c r="AU21" s="6"/>
    </row>
    <row r="22" ht="15.75" customHeight="1">
      <c r="A22" s="33" t="s">
        <v>82</v>
      </c>
      <c r="B22" s="112">
        <v>161055.28379367758</v>
      </c>
      <c r="C22" s="112">
        <v>151011.988631952</v>
      </c>
      <c r="D22" s="112">
        <v>177019.7893074464</v>
      </c>
      <c r="E22" s="112">
        <v>204969.86048523078</v>
      </c>
      <c r="F22" s="112">
        <v>228951.04174161964</v>
      </c>
      <c r="G22" s="112">
        <v>253307.0323144643</v>
      </c>
      <c r="H22" s="112">
        <v>277092.34925629676</v>
      </c>
      <c r="I22" s="112">
        <v>301021.0504369678</v>
      </c>
      <c r="J22" s="112">
        <v>337955.03125453455</v>
      </c>
      <c r="K22" s="112">
        <v>391035.61678622506</v>
      </c>
      <c r="L22" s="112">
        <v>437993.52614757104</v>
      </c>
      <c r="M22" s="112">
        <v>521866.4320391068</v>
      </c>
      <c r="N22" s="112">
        <v>581813.6094061031</v>
      </c>
      <c r="O22" s="112">
        <v>671689.8123919984</v>
      </c>
      <c r="P22" s="112">
        <v>755727.0050050078</v>
      </c>
      <c r="Q22" s="112">
        <v>885547.8379628848</v>
      </c>
      <c r="R22" s="112">
        <v>1094314.3460757646</v>
      </c>
      <c r="S22" s="112">
        <v>1283044.9431141422</v>
      </c>
      <c r="T22" s="112">
        <v>1801457.6144804424</v>
      </c>
      <c r="U22" s="112">
        <v>2190263.3673622617</v>
      </c>
      <c r="V22" s="112">
        <v>2594392.466711464</v>
      </c>
      <c r="W22" s="112">
        <v>2915668.0700856573</v>
      </c>
      <c r="X22" s="112">
        <v>3086693.028332328</v>
      </c>
      <c r="Y22" s="112">
        <v>3273944.288998851</v>
      </c>
      <c r="Z22" s="112">
        <v>3408170.21628006</v>
      </c>
      <c r="AA22" s="112">
        <v>3581747.9558666586</v>
      </c>
      <c r="AB22" s="112">
        <v>3688419.085571498</v>
      </c>
      <c r="AC22" s="112">
        <v>3962810.319547696</v>
      </c>
      <c r="AD22" s="112">
        <v>4609732.308360421</v>
      </c>
      <c r="AE22" s="112">
        <v>5194358.2441820875</v>
      </c>
      <c r="AF22" s="112">
        <v>5755740.921979604</v>
      </c>
      <c r="AG22" s="112">
        <v>6180716.617075135</v>
      </c>
      <c r="AH22" s="112">
        <v>6645567.093434589</v>
      </c>
      <c r="AI22" s="112">
        <v>6872800.579122587</v>
      </c>
      <c r="AJ22" s="112">
        <v>7154366.37301709</v>
      </c>
      <c r="AK22" s="112">
        <v>7419389.315580002</v>
      </c>
      <c r="AL22" s="112">
        <v>7580412.930167616</v>
      </c>
      <c r="AM22" s="112">
        <v>7805966.999094746</v>
      </c>
      <c r="AN22" s="112">
        <v>8108558.515368489</v>
      </c>
      <c r="AO22" s="112">
        <v>8319332.77841227</v>
      </c>
      <c r="AP22" s="112">
        <v>8647890.595243888</v>
      </c>
      <c r="AQ22" s="112"/>
      <c r="AR22" s="105">
        <f t="shared" si="1"/>
        <v>8486835.311</v>
      </c>
      <c r="AS22" s="107">
        <f t="shared" si="4"/>
        <v>52.69516846</v>
      </c>
    </row>
    <row r="23" ht="15.75" customHeight="1">
      <c r="A23" s="33" t="s">
        <v>84</v>
      </c>
      <c r="B23" s="112">
        <v>2330.656989398201</v>
      </c>
      <c r="C23" s="112">
        <v>2369.5330393921045</v>
      </c>
      <c r="D23" s="112">
        <v>19153.782019879072</v>
      </c>
      <c r="E23" s="112">
        <v>20068.824452764693</v>
      </c>
      <c r="F23" s="112">
        <v>25699.18362930856</v>
      </c>
      <c r="G23" s="112">
        <v>37197.22077148671</v>
      </c>
      <c r="H23" s="112">
        <v>39725.00556644393</v>
      </c>
      <c r="I23" s="112">
        <v>44507.61713963053</v>
      </c>
      <c r="J23" s="112">
        <v>55031.46683863684</v>
      </c>
      <c r="K23" s="112">
        <v>74731.8257697256</v>
      </c>
      <c r="L23" s="112">
        <v>95342.19637390606</v>
      </c>
      <c r="M23" s="112">
        <v>112769.64518431066</v>
      </c>
      <c r="N23" s="112">
        <v>121210.48465506974</v>
      </c>
      <c r="O23" s="112">
        <v>129997.35628197322</v>
      </c>
      <c r="P23" s="112">
        <v>141808.92165578905</v>
      </c>
      <c r="Q23" s="112">
        <v>157734.40547776234</v>
      </c>
      <c r="R23" s="112">
        <v>163035.8757603876</v>
      </c>
      <c r="S23" s="112">
        <v>168247.76650426438</v>
      </c>
      <c r="T23" s="112">
        <v>172602.6212465547</v>
      </c>
      <c r="U23" s="112">
        <v>180015.9156478961</v>
      </c>
      <c r="V23" s="112">
        <v>195040.8793969063</v>
      </c>
      <c r="W23" s="112">
        <v>201677.71743722778</v>
      </c>
      <c r="X23" s="112">
        <v>205066.80503447677</v>
      </c>
      <c r="Y23" s="112">
        <v>210809.4542691507</v>
      </c>
      <c r="Z23" s="112">
        <v>217421.77565960994</v>
      </c>
      <c r="AA23" s="112">
        <v>225660.34727084741</v>
      </c>
      <c r="AB23" s="112">
        <v>234589.76158293858</v>
      </c>
      <c r="AC23" s="112">
        <v>249126.7689158988</v>
      </c>
      <c r="AD23" s="112">
        <v>279822.19095918594</v>
      </c>
      <c r="AE23" s="112">
        <v>289638.04452877835</v>
      </c>
      <c r="AF23" s="112">
        <v>296697.0787871767</v>
      </c>
      <c r="AG23" s="112">
        <v>301139.1870936759</v>
      </c>
      <c r="AH23" s="112">
        <v>310014.0987669122</v>
      </c>
      <c r="AI23" s="112">
        <v>314801.42424708535</v>
      </c>
      <c r="AJ23" s="112">
        <v>326862.01008918457</v>
      </c>
      <c r="AK23" s="112">
        <v>329131.7662688791</v>
      </c>
      <c r="AL23" s="112">
        <v>338513.24701995926</v>
      </c>
      <c r="AM23" s="112">
        <v>338403.3534109552</v>
      </c>
      <c r="AN23" s="112">
        <v>337351.05421741935</v>
      </c>
      <c r="AO23" s="112">
        <v>335605.5513433645</v>
      </c>
      <c r="AP23" s="112">
        <v>334775.44044137484</v>
      </c>
      <c r="AQ23" s="112"/>
      <c r="AR23" s="105">
        <f t="shared" si="1"/>
        <v>332444.7835</v>
      </c>
      <c r="AS23" s="107">
        <f t="shared" si="4"/>
        <v>142.6399444</v>
      </c>
      <c r="AT23" s="5"/>
    </row>
    <row r="24" ht="15.75" customHeight="1">
      <c r="A24" s="111" t="s">
        <v>85</v>
      </c>
      <c r="B24" s="112">
        <v>4179002.06848971</v>
      </c>
      <c r="C24" s="112">
        <v>2895395.1019980037</v>
      </c>
      <c r="D24" s="112">
        <v>2615774.177744618</v>
      </c>
      <c r="E24" s="112">
        <v>2483720.75831886</v>
      </c>
      <c r="F24" s="112">
        <v>2351800.9896794143</v>
      </c>
      <c r="G24" s="112">
        <v>2227388.8800585563</v>
      </c>
      <c r="H24" s="112">
        <v>2219676.1499202936</v>
      </c>
      <c r="I24" s="112">
        <v>2377993.790941437</v>
      </c>
      <c r="J24" s="112">
        <v>2512339.872711115</v>
      </c>
      <c r="K24" s="112">
        <v>2574470.8618666907</v>
      </c>
      <c r="L24" s="112">
        <v>2752932.165557436</v>
      </c>
      <c r="M24" s="112">
        <v>2782085.6579695744</v>
      </c>
      <c r="N24" s="112">
        <v>2951405.7461923272</v>
      </c>
      <c r="O24" s="112">
        <v>2930020.175021797</v>
      </c>
      <c r="P24" s="112">
        <v>3000319.752176015</v>
      </c>
      <c r="Q24" s="112">
        <v>2821228.9004213377</v>
      </c>
      <c r="R24" s="112">
        <v>2875282.1203771504</v>
      </c>
      <c r="S24" s="112">
        <v>2943022.4883440775</v>
      </c>
      <c r="T24" s="112">
        <v>2748564.1480114628</v>
      </c>
      <c r="U24" s="112">
        <v>2858972.1458866913</v>
      </c>
      <c r="V24" s="112">
        <v>2661929.3822908276</v>
      </c>
      <c r="W24" s="112">
        <v>2629325.289652377</v>
      </c>
      <c r="X24" s="112">
        <v>2472802.3503104015</v>
      </c>
      <c r="Y24" s="112">
        <v>2506913.8634773497</v>
      </c>
      <c r="Z24" s="112">
        <v>2528239.4042646587</v>
      </c>
      <c r="AA24" s="112">
        <v>2464545.3706323747</v>
      </c>
      <c r="AB24" s="112">
        <v>2494267.7507914025</v>
      </c>
      <c r="AC24" s="112">
        <v>2423262.109988712</v>
      </c>
      <c r="AD24" s="112">
        <v>2387072.9349710667</v>
      </c>
      <c r="AE24" s="112">
        <v>2415433.6881879107</v>
      </c>
      <c r="AF24" s="112">
        <v>2481461.9357825513</v>
      </c>
      <c r="AG24" s="112">
        <v>2597916.4196447516</v>
      </c>
      <c r="AH24" s="112">
        <v>2567137.3154402026</v>
      </c>
      <c r="AI24" s="112">
        <v>2617626.1451868084</v>
      </c>
      <c r="AJ24" s="112">
        <v>3013287.7876305697</v>
      </c>
      <c r="AK24" s="112">
        <v>3323212.1510484926</v>
      </c>
      <c r="AL24" s="112">
        <v>3953464.941738728</v>
      </c>
      <c r="AM24" s="112">
        <v>4737943.07963134</v>
      </c>
      <c r="AN24" s="112">
        <v>4924378.555485613</v>
      </c>
      <c r="AO24" s="112">
        <v>5154135.757367854</v>
      </c>
      <c r="AP24" s="112">
        <v>5455135.0312644215</v>
      </c>
      <c r="AQ24" s="112"/>
      <c r="AR24" s="105">
        <f t="shared" si="1"/>
        <v>1276132.963</v>
      </c>
      <c r="AS24" s="107">
        <f t="shared" si="4"/>
        <v>0.3053678706</v>
      </c>
    </row>
    <row r="25" ht="15.75" customHeight="1">
      <c r="A25" s="104" t="s">
        <v>13</v>
      </c>
      <c r="B25" s="96">
        <v>512425.08695849223</v>
      </c>
      <c r="C25" s="96">
        <v>541074.0582053128</v>
      </c>
      <c r="D25" s="96">
        <v>580981.1724426544</v>
      </c>
      <c r="E25" s="96">
        <v>613608.5812284453</v>
      </c>
      <c r="F25" s="96">
        <v>623323.1108635414</v>
      </c>
      <c r="G25" s="96">
        <v>622524.4446714146</v>
      </c>
      <c r="H25" s="96">
        <v>652969.5715583604</v>
      </c>
      <c r="I25" s="96">
        <v>671964.1818033803</v>
      </c>
      <c r="J25" s="96">
        <v>677985.2922927891</v>
      </c>
      <c r="K25" s="96">
        <v>692452.9045848623</v>
      </c>
      <c r="L25" s="96">
        <v>726252.8554471761</v>
      </c>
      <c r="M25" s="96">
        <v>749717.3618179711</v>
      </c>
      <c r="N25" s="96">
        <v>769085.6823549281</v>
      </c>
      <c r="O25" s="96">
        <v>793138.7878482944</v>
      </c>
      <c r="P25" s="96">
        <v>817780.699916679</v>
      </c>
      <c r="Q25" s="96">
        <v>831934.1791414164</v>
      </c>
      <c r="R25" s="96">
        <v>834564.6662852205</v>
      </c>
      <c r="S25" s="96">
        <v>856054.2815673079</v>
      </c>
      <c r="T25" s="96">
        <v>890229.4103040022</v>
      </c>
      <c r="U25" s="96">
        <v>905767.0120532749</v>
      </c>
      <c r="V25" s="96">
        <v>922916.0904624976</v>
      </c>
      <c r="W25" s="96">
        <v>929021.7903977099</v>
      </c>
      <c r="X25" s="96">
        <v>933436.7008359244</v>
      </c>
      <c r="Y25" s="96">
        <v>942312.4978109113</v>
      </c>
      <c r="Z25" s="96">
        <v>939552.5455527764</v>
      </c>
      <c r="AA25" s="96">
        <v>910733.3913863574</v>
      </c>
      <c r="AB25" s="96">
        <v>877275.0825454881</v>
      </c>
      <c r="AC25" s="96">
        <v>870065.7819406847</v>
      </c>
      <c r="AD25" s="96">
        <v>883611.8841534231</v>
      </c>
      <c r="AE25" s="96">
        <v>898082.9144002135</v>
      </c>
      <c r="AF25" s="96">
        <v>918917.6708422304</v>
      </c>
      <c r="AG25" s="96">
        <v>944647.3436687735</v>
      </c>
      <c r="AH25" s="96">
        <v>959951.6650075754</v>
      </c>
      <c r="AI25" s="96">
        <v>964115.8483314825</v>
      </c>
      <c r="AJ25" s="96">
        <v>974962.64646463</v>
      </c>
      <c r="AK25" s="96">
        <v>1012990.0092107728</v>
      </c>
      <c r="AL25" s="96">
        <v>1054798.4152208685</v>
      </c>
      <c r="AM25" s="104">
        <v>1095987.2667125072</v>
      </c>
      <c r="AN25" s="104">
        <v>1115780.4211150033</v>
      </c>
      <c r="AO25" s="104">
        <v>1163120.8055591774</v>
      </c>
      <c r="AP25" s="104">
        <v>1193448.7787826194</v>
      </c>
      <c r="AQ25" s="33"/>
      <c r="AR25" s="105">
        <f t="shared" si="1"/>
        <v>681023.6918</v>
      </c>
      <c r="AS25" s="107">
        <f t="shared" si="4"/>
        <v>1.329020981</v>
      </c>
      <c r="AT25" s="108"/>
    </row>
    <row r="26" ht="15.75" customHeight="1">
      <c r="A26" s="111" t="s">
        <v>86</v>
      </c>
      <c r="B26" s="112">
        <v>5408.4883079467545</v>
      </c>
      <c r="C26" s="112">
        <v>5410.008080895976</v>
      </c>
      <c r="D26" s="112">
        <v>6773.286130151355</v>
      </c>
      <c r="E26" s="112">
        <v>6918.319587420659</v>
      </c>
      <c r="F26" s="112">
        <v>6947.568457470694</v>
      </c>
      <c r="G26" s="112">
        <v>7034.123395245351</v>
      </c>
      <c r="H26" s="112">
        <v>7252.642468255603</v>
      </c>
      <c r="I26" s="112">
        <v>7109.651921624753</v>
      </c>
      <c r="J26" s="112">
        <v>7548.217790087878</v>
      </c>
      <c r="K26" s="112">
        <v>8136.201438476552</v>
      </c>
      <c r="L26" s="112">
        <v>8709.754284252926</v>
      </c>
      <c r="M26" s="112">
        <v>8864.41073074337</v>
      </c>
      <c r="N26" s="112">
        <v>8892.743100152547</v>
      </c>
      <c r="O26" s="112">
        <v>8885.880938470422</v>
      </c>
      <c r="P26" s="112">
        <v>8749.32782016601</v>
      </c>
      <c r="Q26" s="112">
        <v>8721.445336035149</v>
      </c>
      <c r="R26" s="112">
        <v>8827.523363311753</v>
      </c>
      <c r="S26" s="112">
        <v>8645.380877917465</v>
      </c>
      <c r="T26" s="112">
        <v>8521.016901306146</v>
      </c>
      <c r="U26" s="112">
        <v>8245.220232928443</v>
      </c>
      <c r="V26" s="112">
        <v>8202.31003786619</v>
      </c>
      <c r="W26" s="112">
        <v>8337.940018328834</v>
      </c>
      <c r="X26" s="112">
        <v>8489.089327917462</v>
      </c>
      <c r="Y26" s="112">
        <v>8442.085820330785</v>
      </c>
      <c r="Z26" s="112">
        <v>8233.304568054173</v>
      </c>
      <c r="AA26" s="112">
        <v>8428.658299060033</v>
      </c>
      <c r="AB26" s="112">
        <v>8418.621132189917</v>
      </c>
      <c r="AC26" s="112">
        <v>8244.241873840298</v>
      </c>
      <c r="AD26" s="112">
        <v>7860.331376440409</v>
      </c>
      <c r="AE26" s="112">
        <v>7841.111788415505</v>
      </c>
      <c r="AF26" s="112">
        <v>7763.9503513122345</v>
      </c>
      <c r="AG26" s="112">
        <v>7694.008858422837</v>
      </c>
      <c r="AH26" s="112">
        <v>7414.335249096674</v>
      </c>
      <c r="AI26" s="112">
        <v>7467.382374237057</v>
      </c>
      <c r="AJ26" s="112">
        <v>7418.34834849854</v>
      </c>
      <c r="AK26" s="112">
        <v>7402.0591938720845</v>
      </c>
      <c r="AL26" s="112">
        <v>7275.798213903805</v>
      </c>
      <c r="AM26" s="112">
        <v>6979.943675500478</v>
      </c>
      <c r="AN26" s="112">
        <v>7045.491769152837</v>
      </c>
      <c r="AO26" s="112">
        <v>7755.562217565905</v>
      </c>
      <c r="AP26" s="112">
        <v>7303.748525323473</v>
      </c>
      <c r="AQ26" s="112"/>
      <c r="AR26" s="105">
        <f t="shared" si="1"/>
        <v>1895.260217</v>
      </c>
      <c r="AS26" s="107">
        <f t="shared" si="4"/>
        <v>0.3504232809</v>
      </c>
    </row>
    <row r="27" ht="15.75" customHeight="1">
      <c r="A27" s="111" t="s">
        <v>87</v>
      </c>
      <c r="B27" s="112">
        <v>226008.73864740832</v>
      </c>
      <c r="C27" s="112">
        <v>232164.8925351405</v>
      </c>
      <c r="D27" s="112">
        <v>237216.49394792158</v>
      </c>
      <c r="E27" s="112">
        <v>245117.36959773875</v>
      </c>
      <c r="F27" s="112">
        <v>251759.8234300217</v>
      </c>
      <c r="G27" s="112">
        <v>259106.82348497136</v>
      </c>
      <c r="H27" s="112">
        <v>268228.9237755365</v>
      </c>
      <c r="I27" s="112">
        <v>276684.1779586243</v>
      </c>
      <c r="J27" s="112">
        <v>284893.769099145</v>
      </c>
      <c r="K27" s="112">
        <v>293724.56868302065</v>
      </c>
      <c r="L27" s="112">
        <v>305012.9345310396</v>
      </c>
      <c r="M27" s="112">
        <v>315111.2669073698</v>
      </c>
      <c r="N27" s="112">
        <v>323422.9642874234</v>
      </c>
      <c r="O27" s="112">
        <v>330625.52020918304</v>
      </c>
      <c r="P27" s="112">
        <v>336261.9699833104</v>
      </c>
      <c r="Q27" s="112">
        <v>341858.8000107514</v>
      </c>
      <c r="R27" s="112">
        <v>347776.1065060999</v>
      </c>
      <c r="S27" s="112">
        <v>353820.5261539278</v>
      </c>
      <c r="T27" s="112">
        <v>359623.10508855915</v>
      </c>
      <c r="U27" s="112">
        <v>364945.7606471706</v>
      </c>
      <c r="V27" s="112">
        <v>369900.91715615016</v>
      </c>
      <c r="W27" s="112">
        <v>374839.7580821334</v>
      </c>
      <c r="X27" s="112">
        <v>378830.9975882373</v>
      </c>
      <c r="Y27" s="112">
        <v>383659.4482571448</v>
      </c>
      <c r="Z27" s="112">
        <v>388800.9063903123</v>
      </c>
      <c r="AA27" s="112">
        <v>394328.15237916633</v>
      </c>
      <c r="AB27" s="112">
        <v>400315.2474538731</v>
      </c>
      <c r="AC27" s="112">
        <v>407099.1770099042</v>
      </c>
      <c r="AD27" s="112">
        <v>413543.1555069203</v>
      </c>
      <c r="AE27" s="112">
        <v>419494.04276325676</v>
      </c>
      <c r="AF27" s="112">
        <v>425315.88064059545</v>
      </c>
      <c r="AG27" s="112">
        <v>430370.77796528395</v>
      </c>
      <c r="AH27" s="112">
        <v>434420.6236121969</v>
      </c>
      <c r="AI27" s="112">
        <v>438045.7666881914</v>
      </c>
      <c r="AJ27" s="112">
        <v>441528.5029312016</v>
      </c>
      <c r="AK27" s="112">
        <v>445590.74443781195</v>
      </c>
      <c r="AL27" s="112">
        <v>449206.24657075823</v>
      </c>
      <c r="AM27" s="112">
        <v>453941.5077263913</v>
      </c>
      <c r="AN27" s="112">
        <v>458595.3452226307</v>
      </c>
      <c r="AO27" s="112">
        <v>468608.7843327156</v>
      </c>
      <c r="AP27" s="112">
        <v>477117.938153264</v>
      </c>
      <c r="AQ27" s="112"/>
      <c r="AR27" s="105">
        <f t="shared" si="1"/>
        <v>251109.1995</v>
      </c>
      <c r="AS27" s="107">
        <f t="shared" si="4"/>
        <v>1.111059692</v>
      </c>
    </row>
    <row r="28" ht="15.75" customHeight="1">
      <c r="A28" s="33" t="s">
        <v>88</v>
      </c>
      <c r="B28" s="112">
        <v>32716.1566704163</v>
      </c>
      <c r="C28" s="112">
        <v>42354.55582771611</v>
      </c>
      <c r="D28" s="112">
        <v>55321.03464974968</v>
      </c>
      <c r="E28" s="112">
        <v>73203.74249836408</v>
      </c>
      <c r="F28" s="112">
        <v>96631.7401484366</v>
      </c>
      <c r="G28" s="112">
        <v>112289.27086797378</v>
      </c>
      <c r="H28" s="112">
        <v>118980.26205257459</v>
      </c>
      <c r="I28" s="112">
        <v>127467.88818511821</v>
      </c>
      <c r="J28" s="112">
        <v>138881.24545332417</v>
      </c>
      <c r="K28" s="112">
        <v>144685.34250284874</v>
      </c>
      <c r="L28" s="112">
        <v>147890.85557386983</v>
      </c>
      <c r="M28" s="112">
        <v>151835.73977189272</v>
      </c>
      <c r="N28" s="112">
        <v>156875.4654642514</v>
      </c>
      <c r="O28" s="112">
        <v>160393.52362359632</v>
      </c>
      <c r="P28" s="112">
        <v>162220.44997224782</v>
      </c>
      <c r="Q28" s="112">
        <v>165826.59291101157</v>
      </c>
      <c r="R28" s="112">
        <v>168158.71295622623</v>
      </c>
      <c r="S28" s="112">
        <v>170527.19700764876</v>
      </c>
      <c r="T28" s="112">
        <v>173402.36578136706</v>
      </c>
      <c r="U28" s="112">
        <v>175691.93010792905</v>
      </c>
      <c r="V28" s="112">
        <v>178993.54027851525</v>
      </c>
      <c r="W28" s="112">
        <v>181157.4407400025</v>
      </c>
      <c r="X28" s="112">
        <v>183582.5002822025</v>
      </c>
      <c r="Y28" s="112">
        <v>186096.81550648218</v>
      </c>
      <c r="Z28" s="112">
        <v>189863.99920954058</v>
      </c>
      <c r="AA28" s="112">
        <v>192311.50036435027</v>
      </c>
      <c r="AB28" s="112">
        <v>196032.28448483383</v>
      </c>
      <c r="AC28" s="112">
        <v>200020.7851330023</v>
      </c>
      <c r="AD28" s="112">
        <v>204545.32113166514</v>
      </c>
      <c r="AE28" s="112">
        <v>211699.27841340337</v>
      </c>
      <c r="AF28" s="112">
        <v>219698.0690558647</v>
      </c>
      <c r="AG28" s="112">
        <v>229334.71836482972</v>
      </c>
      <c r="AH28" s="112">
        <v>240777.9900122851</v>
      </c>
      <c r="AI28" s="112">
        <v>251283.08806665518</v>
      </c>
      <c r="AJ28" s="112">
        <v>265154.96003774344</v>
      </c>
      <c r="AK28" s="112">
        <v>304271.1530978935</v>
      </c>
      <c r="AL28" s="112">
        <v>333899.8067631412</v>
      </c>
      <c r="AM28" s="112">
        <v>362272.68712517235</v>
      </c>
      <c r="AN28" s="112">
        <v>389372.5767165976</v>
      </c>
      <c r="AO28" s="112">
        <v>412018.7711440217</v>
      </c>
      <c r="AP28" s="112">
        <v>440793.3376141148</v>
      </c>
      <c r="AQ28" s="112"/>
      <c r="AR28" s="105">
        <f t="shared" si="1"/>
        <v>408077.1809</v>
      </c>
      <c r="AS28" s="107">
        <f t="shared" si="4"/>
        <v>12.47326161</v>
      </c>
    </row>
    <row r="29" ht="15.75" customHeight="1">
      <c r="A29" s="33" t="s">
        <v>90</v>
      </c>
      <c r="B29" s="112">
        <v>0.0</v>
      </c>
      <c r="C29" s="112">
        <v>0.0</v>
      </c>
      <c r="D29" s="112">
        <v>0.0</v>
      </c>
      <c r="E29" s="112">
        <v>0.0</v>
      </c>
      <c r="F29" s="112">
        <v>0.0</v>
      </c>
      <c r="G29" s="112">
        <v>0.0</v>
      </c>
      <c r="H29" s="112">
        <v>0.0</v>
      </c>
      <c r="I29" s="112">
        <v>0.0</v>
      </c>
      <c r="J29" s="112">
        <v>0.0</v>
      </c>
      <c r="K29" s="112">
        <v>0.0</v>
      </c>
      <c r="L29" s="112">
        <v>0.0</v>
      </c>
      <c r="M29" s="112">
        <v>0.0</v>
      </c>
      <c r="N29" s="112">
        <v>0.0</v>
      </c>
      <c r="O29" s="112">
        <v>0.0</v>
      </c>
      <c r="P29" s="112">
        <v>0.0</v>
      </c>
      <c r="Q29" s="112">
        <v>0.0</v>
      </c>
      <c r="R29" s="112">
        <v>0.0</v>
      </c>
      <c r="S29" s="112">
        <v>0.0</v>
      </c>
      <c r="T29" s="112">
        <v>0.0</v>
      </c>
      <c r="U29" s="112">
        <v>0.0</v>
      </c>
      <c r="V29" s="112">
        <v>0.0</v>
      </c>
      <c r="W29" s="112">
        <v>0.0</v>
      </c>
      <c r="X29" s="112">
        <v>0.0</v>
      </c>
      <c r="Y29" s="112">
        <v>0.0</v>
      </c>
      <c r="Z29" s="112">
        <v>0.0</v>
      </c>
      <c r="AA29" s="112">
        <v>0.0</v>
      </c>
      <c r="AB29" s="112">
        <v>0.0</v>
      </c>
      <c r="AC29" s="112">
        <v>0.0</v>
      </c>
      <c r="AD29" s="112">
        <v>0.0</v>
      </c>
      <c r="AE29" s="112">
        <v>0.0</v>
      </c>
      <c r="AF29" s="112">
        <v>0.0</v>
      </c>
      <c r="AG29" s="112">
        <v>0.0</v>
      </c>
      <c r="AH29" s="112">
        <v>0.0</v>
      </c>
      <c r="AI29" s="112">
        <v>0.6175042297363281</v>
      </c>
      <c r="AJ29" s="112">
        <v>16.5618348022461</v>
      </c>
      <c r="AK29" s="112">
        <v>20.08630932006836</v>
      </c>
      <c r="AL29" s="112">
        <v>24.76352144775391</v>
      </c>
      <c r="AM29" s="112">
        <v>25.99818079223633</v>
      </c>
      <c r="AN29" s="112">
        <v>25.90976887207031</v>
      </c>
      <c r="AO29" s="112">
        <v>26.87841381225585</v>
      </c>
      <c r="AP29" s="112">
        <v>30.67070957641602</v>
      </c>
      <c r="AQ29" s="112"/>
      <c r="AR29" s="105">
        <f t="shared" si="1"/>
        <v>30.67070958</v>
      </c>
      <c r="AS29" s="107" t="s">
        <v>77</v>
      </c>
    </row>
    <row r="30" ht="15.75" customHeight="1">
      <c r="A30" s="33" t="s">
        <v>91</v>
      </c>
      <c r="B30" s="112">
        <v>0.0</v>
      </c>
      <c r="C30" s="112">
        <v>0.0</v>
      </c>
      <c r="D30" s="112">
        <v>0.0</v>
      </c>
      <c r="E30" s="112">
        <v>0.0</v>
      </c>
      <c r="F30" s="112">
        <v>0.0</v>
      </c>
      <c r="G30" s="112">
        <v>0.0</v>
      </c>
      <c r="H30" s="112">
        <v>0.0</v>
      </c>
      <c r="I30" s="112">
        <v>0.0</v>
      </c>
      <c r="J30" s="112">
        <v>0.0</v>
      </c>
      <c r="K30" s="112">
        <v>0.0</v>
      </c>
      <c r="L30" s="112">
        <v>0.0</v>
      </c>
      <c r="M30" s="112">
        <v>0.0</v>
      </c>
      <c r="N30" s="112">
        <v>0.0</v>
      </c>
      <c r="O30" s="112">
        <v>0.0</v>
      </c>
      <c r="P30" s="112">
        <v>0.0</v>
      </c>
      <c r="Q30" s="112">
        <v>0.0</v>
      </c>
      <c r="R30" s="112">
        <v>0.0</v>
      </c>
      <c r="S30" s="112">
        <v>0.0</v>
      </c>
      <c r="T30" s="112">
        <v>0.0</v>
      </c>
      <c r="U30" s="112">
        <v>0.0</v>
      </c>
      <c r="V30" s="112">
        <v>0.0</v>
      </c>
      <c r="W30" s="112">
        <v>0.0</v>
      </c>
      <c r="X30" s="112">
        <v>0.0</v>
      </c>
      <c r="Y30" s="112">
        <v>0.0</v>
      </c>
      <c r="Z30" s="112">
        <v>0.0</v>
      </c>
      <c r="AA30" s="112">
        <v>0.0</v>
      </c>
      <c r="AB30" s="112">
        <v>0.0</v>
      </c>
      <c r="AC30" s="112">
        <v>0.0</v>
      </c>
      <c r="AD30" s="112">
        <v>0.0</v>
      </c>
      <c r="AE30" s="112">
        <v>0.0</v>
      </c>
      <c r="AF30" s="112">
        <v>0.0</v>
      </c>
      <c r="AG30" s="112">
        <v>0.0</v>
      </c>
      <c r="AH30" s="112">
        <v>0.0</v>
      </c>
      <c r="AI30" s="112">
        <v>0.0</v>
      </c>
      <c r="AJ30" s="112">
        <v>0.0</v>
      </c>
      <c r="AK30" s="112">
        <v>0.0</v>
      </c>
      <c r="AL30" s="112">
        <v>0.0</v>
      </c>
      <c r="AM30" s="112">
        <v>0.0</v>
      </c>
      <c r="AN30" s="112">
        <v>0.0</v>
      </c>
      <c r="AO30" s="112">
        <v>0.0</v>
      </c>
      <c r="AP30" s="112">
        <v>0.0</v>
      </c>
      <c r="AQ30" s="112"/>
      <c r="AR30" s="105">
        <f t="shared" si="1"/>
        <v>0</v>
      </c>
      <c r="AS30" s="107" t="s">
        <v>77</v>
      </c>
    </row>
    <row r="31" ht="15.75" customHeight="1">
      <c r="A31" s="111" t="s">
        <v>92</v>
      </c>
      <c r="B31" s="112">
        <v>248291.70333272085</v>
      </c>
      <c r="C31" s="112">
        <v>261144.60176156013</v>
      </c>
      <c r="D31" s="112">
        <v>281670.3577148318</v>
      </c>
      <c r="E31" s="112">
        <v>288369.14954492176</v>
      </c>
      <c r="F31" s="112">
        <v>267983.97882761236</v>
      </c>
      <c r="G31" s="112">
        <v>244094.22692322408</v>
      </c>
      <c r="H31" s="112">
        <v>258507.74326199372</v>
      </c>
      <c r="I31" s="112">
        <v>260702.463738013</v>
      </c>
      <c r="J31" s="112">
        <v>246662.05995023198</v>
      </c>
      <c r="K31" s="112">
        <v>245906.7919605163</v>
      </c>
      <c r="L31" s="112">
        <v>264639.3110580138</v>
      </c>
      <c r="M31" s="112">
        <v>273905.9444079653</v>
      </c>
      <c r="N31" s="112">
        <v>279894.50950310077</v>
      </c>
      <c r="O31" s="112">
        <v>293233.8630770446</v>
      </c>
      <c r="P31" s="112">
        <v>310548.9521409547</v>
      </c>
      <c r="Q31" s="112">
        <v>315527.34088361834</v>
      </c>
      <c r="R31" s="112">
        <v>309802.32345958264</v>
      </c>
      <c r="S31" s="112">
        <v>323061.1775278139</v>
      </c>
      <c r="T31" s="112">
        <v>348682.9225327698</v>
      </c>
      <c r="U31" s="112">
        <v>356884.10106524674</v>
      </c>
      <c r="V31" s="112">
        <v>365819.3229899659</v>
      </c>
      <c r="W31" s="112">
        <v>364686.6515572452</v>
      </c>
      <c r="X31" s="112">
        <v>362534.1136375671</v>
      </c>
      <c r="Y31" s="112">
        <v>364114.1482269536</v>
      </c>
      <c r="Z31" s="112">
        <v>352654.33538486937</v>
      </c>
      <c r="AA31" s="112">
        <v>315665.0803437808</v>
      </c>
      <c r="AB31" s="112">
        <v>272508.9294745912</v>
      </c>
      <c r="AC31" s="112">
        <v>254701.57792393796</v>
      </c>
      <c r="AD31" s="112">
        <v>257663.0761383972</v>
      </c>
      <c r="AE31" s="112">
        <v>259048.48143513792</v>
      </c>
      <c r="AF31" s="112">
        <v>266139.7707944581</v>
      </c>
      <c r="AG31" s="112">
        <v>277247.83848023694</v>
      </c>
      <c r="AH31" s="112">
        <v>277338.7161339967</v>
      </c>
      <c r="AI31" s="112">
        <v>267318.9936981691</v>
      </c>
      <c r="AJ31" s="112">
        <v>260844.27331238418</v>
      </c>
      <c r="AK31" s="112">
        <v>255705.96617187507</v>
      </c>
      <c r="AL31" s="112">
        <v>264391.80015161756</v>
      </c>
      <c r="AM31" s="112">
        <v>272767.1300046509</v>
      </c>
      <c r="AN31" s="112">
        <v>260741.09763775018</v>
      </c>
      <c r="AO31" s="112">
        <v>274710.809451062</v>
      </c>
      <c r="AP31" s="112">
        <v>268203.08378034056</v>
      </c>
      <c r="AQ31" s="112"/>
      <c r="AR31" s="105">
        <f t="shared" si="1"/>
        <v>19911.38045</v>
      </c>
      <c r="AS31" s="107">
        <f t="shared" ref="AS31:AS36" si="5">AR31/B31</f>
        <v>0.08019349894</v>
      </c>
    </row>
    <row r="32" ht="15.75" customHeight="1">
      <c r="A32" s="104" t="s">
        <v>14</v>
      </c>
      <c r="B32" s="96">
        <v>1.0722941288310278E7</v>
      </c>
      <c r="C32" s="96">
        <v>1.1353160759290086E7</v>
      </c>
      <c r="D32" s="96">
        <v>1.1498012205634957E7</v>
      </c>
      <c r="E32" s="96">
        <v>1.162431939909228E7</v>
      </c>
      <c r="F32" s="96">
        <v>1.1938865104720928E7</v>
      </c>
      <c r="G32" s="96">
        <v>1.195268276318034E7</v>
      </c>
      <c r="H32" s="96">
        <v>1.2132655607738966E7</v>
      </c>
      <c r="I32" s="96">
        <v>1.201758144459223E7</v>
      </c>
      <c r="J32" s="96">
        <v>1.2266783133847501E7</v>
      </c>
      <c r="K32" s="96">
        <v>1.210786228236418E7</v>
      </c>
      <c r="L32" s="96">
        <v>1.1955785846474776E7</v>
      </c>
      <c r="M32" s="96">
        <v>1.2292558930721126E7</v>
      </c>
      <c r="N32" s="96">
        <v>1.2063559841194754E7</v>
      </c>
      <c r="O32" s="96">
        <v>1.1875289811317587E7</v>
      </c>
      <c r="P32" s="96">
        <v>1.2391071303187624E7</v>
      </c>
      <c r="Q32" s="96">
        <v>1.1247197280429134E7</v>
      </c>
      <c r="R32" s="96">
        <v>1.104906274094622E7</v>
      </c>
      <c r="S32" s="96">
        <v>1.1111991945751822E7</v>
      </c>
      <c r="T32" s="96">
        <v>1.0924931173494069E7</v>
      </c>
      <c r="U32" s="96">
        <v>1.0917310335582526E7</v>
      </c>
      <c r="V32" s="96">
        <v>1.1134587200613583E7</v>
      </c>
      <c r="W32" s="96">
        <v>1.1246903273256265E7</v>
      </c>
      <c r="X32" s="96">
        <v>1.132254491331151E7</v>
      </c>
      <c r="Y32" s="96">
        <v>1.1323219552891348E7</v>
      </c>
      <c r="Z32" s="96">
        <v>1.1411030860972727E7</v>
      </c>
      <c r="AA32" s="96">
        <v>1.1162833897262454E7</v>
      </c>
      <c r="AB32" s="96">
        <v>1.1195573743025195E7</v>
      </c>
      <c r="AC32" s="96">
        <v>1.141907923031665E7</v>
      </c>
      <c r="AD32" s="96">
        <v>1.1148121168793652E7</v>
      </c>
      <c r="AE32" s="96">
        <v>1.1067439379381832E7</v>
      </c>
      <c r="AF32" s="96">
        <v>1.0929315282552933E7</v>
      </c>
      <c r="AG32" s="96">
        <v>1.0787490374929935E7</v>
      </c>
      <c r="AH32" s="96">
        <v>1.094987622429569E7</v>
      </c>
      <c r="AI32" s="96">
        <v>1.0932679612292375E7</v>
      </c>
      <c r="AJ32" s="96">
        <v>1.1047089985179076E7</v>
      </c>
      <c r="AK32" s="96">
        <v>1.098680320973429E7</v>
      </c>
      <c r="AL32" s="96">
        <v>1.1211919420619091E7</v>
      </c>
      <c r="AM32" s="104">
        <v>1.1827917314899892E7</v>
      </c>
      <c r="AN32" s="104">
        <v>1.118784475925917E7</v>
      </c>
      <c r="AO32" s="104">
        <v>1.0938752285408294E7</v>
      </c>
      <c r="AP32" s="104">
        <v>1.1583202743138116E7</v>
      </c>
      <c r="AQ32" s="33"/>
      <c r="AR32" s="105">
        <f t="shared" si="1"/>
        <v>860261.4548</v>
      </c>
      <c r="AS32" s="107">
        <f t="shared" si="5"/>
        <v>0.08022625805</v>
      </c>
    </row>
    <row r="33" ht="15.75" customHeight="1">
      <c r="A33" s="121" t="s">
        <v>94</v>
      </c>
      <c r="B33" s="112">
        <v>1.0722843249851238E7</v>
      </c>
      <c r="C33" s="112">
        <v>1.1353072815032102E7</v>
      </c>
      <c r="D33" s="112">
        <v>1.1497938507338192E7</v>
      </c>
      <c r="E33" s="112">
        <v>1.16242730325167E7</v>
      </c>
      <c r="F33" s="112">
        <v>1.1938827678448467E7</v>
      </c>
      <c r="G33" s="112">
        <v>1.1952630138517462E7</v>
      </c>
      <c r="H33" s="112">
        <v>1.2132583405621827E7</v>
      </c>
      <c r="I33" s="112">
        <v>1.2017529797366174E7</v>
      </c>
      <c r="J33" s="112">
        <v>1.2266740532167075E7</v>
      </c>
      <c r="K33" s="112">
        <v>1.2107809789280642E7</v>
      </c>
      <c r="L33" s="112">
        <v>1.195572502355486E7</v>
      </c>
      <c r="M33" s="112">
        <v>1.22924788999366E7</v>
      </c>
      <c r="N33" s="112">
        <v>1.2063506230307706E7</v>
      </c>
      <c r="O33" s="112">
        <v>1.187522631385134E7</v>
      </c>
      <c r="P33" s="112">
        <v>1.2390959938365553E7</v>
      </c>
      <c r="Q33" s="112">
        <v>1.1247067856018111E7</v>
      </c>
      <c r="R33" s="112">
        <v>1.1048906088554075E7</v>
      </c>
      <c r="S33" s="112">
        <v>1.111181616974506E7</v>
      </c>
      <c r="T33" s="112">
        <v>1.0924713450118795E7</v>
      </c>
      <c r="U33" s="112">
        <v>1.0917082340353321E7</v>
      </c>
      <c r="V33" s="112">
        <v>1.1134321411023727E7</v>
      </c>
      <c r="W33" s="112">
        <v>1.1246548089580739E7</v>
      </c>
      <c r="X33" s="112">
        <v>1.1322125317356065E7</v>
      </c>
      <c r="Y33" s="112">
        <v>1.1322628073440548E7</v>
      </c>
      <c r="Z33" s="112">
        <v>1.1410312597091379E7</v>
      </c>
      <c r="AA33" s="112">
        <v>1.116170856857772E7</v>
      </c>
      <c r="AB33" s="112">
        <v>1.1192505273150604E7</v>
      </c>
      <c r="AC33" s="112">
        <v>1.1414162089368401E7</v>
      </c>
      <c r="AD33" s="112">
        <v>1.1141801644091193E7</v>
      </c>
      <c r="AE33" s="112">
        <v>1.1060051310219223E7</v>
      </c>
      <c r="AF33" s="112">
        <v>1.0920872902238602E7</v>
      </c>
      <c r="AG33" s="112">
        <v>1.0778409198145017E7</v>
      </c>
      <c r="AH33" s="112">
        <v>1.0940367013861865E7</v>
      </c>
      <c r="AI33" s="112">
        <v>1.0922671730550773E7</v>
      </c>
      <c r="AJ33" s="112">
        <v>1.1036645724357195E7</v>
      </c>
      <c r="AK33" s="112">
        <v>1.0976965015294075E7</v>
      </c>
      <c r="AL33" s="112">
        <v>1.1201974366956567E7</v>
      </c>
      <c r="AM33" s="112">
        <v>1.1817948783533497E7</v>
      </c>
      <c r="AN33" s="112">
        <v>1.1177740087712588E7</v>
      </c>
      <c r="AO33" s="112">
        <v>1.0928738272519212E7</v>
      </c>
      <c r="AP33" s="112">
        <v>1.1572419511493731E7</v>
      </c>
      <c r="AQ33" s="112"/>
      <c r="AR33" s="105">
        <f t="shared" si="1"/>
        <v>849576.2616</v>
      </c>
      <c r="AS33" s="107">
        <f t="shared" si="5"/>
        <v>0.07923050275</v>
      </c>
    </row>
    <row r="34" ht="15.75" customHeight="1">
      <c r="A34" s="121" t="s">
        <v>95</v>
      </c>
      <c r="B34" s="112">
        <v>98.03845903930667</v>
      </c>
      <c r="C34" s="112">
        <v>87.94425798339844</v>
      </c>
      <c r="D34" s="112">
        <v>73.69829676513675</v>
      </c>
      <c r="E34" s="112">
        <v>46.366575579834006</v>
      </c>
      <c r="F34" s="112">
        <v>37.42627246093751</v>
      </c>
      <c r="G34" s="112">
        <v>52.62466287841798</v>
      </c>
      <c r="H34" s="112">
        <v>72.20211713867182</v>
      </c>
      <c r="I34" s="112">
        <v>51.64722605590817</v>
      </c>
      <c r="J34" s="112">
        <v>42.60168042602536</v>
      </c>
      <c r="K34" s="112">
        <v>52.49308353881832</v>
      </c>
      <c r="L34" s="112">
        <v>60.82291991577142</v>
      </c>
      <c r="M34" s="112">
        <v>80.03078452758783</v>
      </c>
      <c r="N34" s="112">
        <v>53.610887048339855</v>
      </c>
      <c r="O34" s="112">
        <v>63.49746624755857</v>
      </c>
      <c r="P34" s="112">
        <v>111.36482207031247</v>
      </c>
      <c r="Q34" s="112">
        <v>129.42441102294922</v>
      </c>
      <c r="R34" s="112">
        <v>156.65239214477526</v>
      </c>
      <c r="S34" s="112">
        <v>175.77600676269523</v>
      </c>
      <c r="T34" s="112">
        <v>217.72337527465814</v>
      </c>
      <c r="U34" s="112">
        <v>227.99522920532218</v>
      </c>
      <c r="V34" s="112">
        <v>265.78958985595693</v>
      </c>
      <c r="W34" s="112">
        <v>355.18367552490207</v>
      </c>
      <c r="X34" s="112">
        <v>419.59595544433586</v>
      </c>
      <c r="Y34" s="112">
        <v>591.4794507995633</v>
      </c>
      <c r="Z34" s="112">
        <v>718.263881347661</v>
      </c>
      <c r="AA34" s="112">
        <v>1125.3286847351114</v>
      </c>
      <c r="AB34" s="112">
        <v>3068.4698745910655</v>
      </c>
      <c r="AC34" s="112">
        <v>4917.1409482483</v>
      </c>
      <c r="AD34" s="112">
        <v>6319.52470245972</v>
      </c>
      <c r="AE34" s="112">
        <v>7388.069162609862</v>
      </c>
      <c r="AF34" s="112">
        <v>8442.380314331047</v>
      </c>
      <c r="AG34" s="112">
        <v>9081.176784918202</v>
      </c>
      <c r="AH34" s="112">
        <v>9509.210433825678</v>
      </c>
      <c r="AI34" s="112">
        <v>10007.881741601548</v>
      </c>
      <c r="AJ34" s="112">
        <v>10444.260821881102</v>
      </c>
      <c r="AK34" s="112">
        <v>9838.194440216095</v>
      </c>
      <c r="AL34" s="112">
        <v>9945.053662524395</v>
      </c>
      <c r="AM34" s="112">
        <v>9968.531366394027</v>
      </c>
      <c r="AN34" s="112">
        <v>10104.671546582016</v>
      </c>
      <c r="AO34" s="112">
        <v>10014.012889080797</v>
      </c>
      <c r="AP34" s="112">
        <v>10783.231644384738</v>
      </c>
      <c r="AQ34" s="112"/>
      <c r="AR34" s="105">
        <f t="shared" si="1"/>
        <v>10685.19319</v>
      </c>
      <c r="AS34" s="107">
        <f t="shared" si="5"/>
        <v>108.9898117</v>
      </c>
    </row>
    <row r="35" ht="15.75" customHeight="1">
      <c r="A35" s="96" t="s">
        <v>96</v>
      </c>
      <c r="B35" s="96">
        <v>1108.0928383728037</v>
      </c>
      <c r="C35" s="96">
        <v>1092.975679418946</v>
      </c>
      <c r="D35" s="96">
        <v>1073.8007066772461</v>
      </c>
      <c r="E35" s="96">
        <v>1039.7197350036627</v>
      </c>
      <c r="F35" s="96">
        <v>1016.611830981446</v>
      </c>
      <c r="G35" s="96">
        <v>1005.2840815979007</v>
      </c>
      <c r="H35" s="96">
        <v>989.5377123168947</v>
      </c>
      <c r="I35" s="96">
        <v>955.1120154846194</v>
      </c>
      <c r="J35" s="96">
        <v>952.6841498840338</v>
      </c>
      <c r="K35" s="96">
        <v>894.9143632141119</v>
      </c>
      <c r="L35" s="96">
        <v>837.837120111084</v>
      </c>
      <c r="M35" s="96">
        <v>816.9779494628906</v>
      </c>
      <c r="N35" s="96">
        <v>797.6890425659177</v>
      </c>
      <c r="O35" s="96">
        <v>762.3111133422854</v>
      </c>
      <c r="P35" s="96">
        <v>743.1489809997558</v>
      </c>
      <c r="Q35" s="96">
        <v>731.3145039367676</v>
      </c>
      <c r="R35" s="96">
        <v>681.009650378418</v>
      </c>
      <c r="S35" s="96">
        <v>630.4638920593262</v>
      </c>
      <c r="T35" s="96">
        <v>586.1320383300781</v>
      </c>
      <c r="U35" s="96">
        <v>580.3445839843748</v>
      </c>
      <c r="V35" s="96">
        <v>567.1824407226561</v>
      </c>
      <c r="W35" s="96">
        <v>555.5512813903808</v>
      </c>
      <c r="X35" s="96">
        <v>548.310204559326</v>
      </c>
      <c r="Y35" s="96">
        <v>532.9118703918455</v>
      </c>
      <c r="Z35" s="96">
        <v>509.8917213623046</v>
      </c>
      <c r="AA35" s="96">
        <v>492.6429581604003</v>
      </c>
      <c r="AB35" s="96">
        <v>491.03736005859366</v>
      </c>
      <c r="AC35" s="96">
        <v>487.27845607299776</v>
      </c>
      <c r="AD35" s="96">
        <v>498.6018950073241</v>
      </c>
      <c r="AE35" s="96">
        <v>504.34831227416953</v>
      </c>
      <c r="AF35" s="96">
        <v>503.13570958862306</v>
      </c>
      <c r="AG35" s="96">
        <v>505.7884646728513</v>
      </c>
      <c r="AH35" s="96">
        <v>494.15994208374013</v>
      </c>
      <c r="AI35" s="96">
        <v>476.608450982666</v>
      </c>
      <c r="AJ35" s="96">
        <v>456.9622309997559</v>
      </c>
      <c r="AK35" s="96">
        <v>454.50403632202136</v>
      </c>
      <c r="AL35" s="96">
        <v>447.7424781127929</v>
      </c>
      <c r="AM35" s="104">
        <v>445.24410634155294</v>
      </c>
      <c r="AN35" s="104">
        <v>434.0590755493163</v>
      </c>
      <c r="AO35" s="104">
        <v>425.05037708740224</v>
      </c>
      <c r="AP35" s="104">
        <v>414.35303736572257</v>
      </c>
      <c r="AQ35" s="33"/>
      <c r="AR35" s="105">
        <f t="shared" si="1"/>
        <v>-693.739801</v>
      </c>
      <c r="AS35" s="107">
        <f t="shared" si="5"/>
        <v>-0.6260664964</v>
      </c>
    </row>
    <row r="36" ht="15.75" customHeight="1">
      <c r="A36" s="122" t="s">
        <v>97</v>
      </c>
      <c r="B36" s="123">
        <f t="shared" ref="B36:AP36" si="6">SUM(B5,B12,B20,B25,B32,B35)</f>
        <v>420782803.3</v>
      </c>
      <c r="C36" s="123">
        <f t="shared" si="6"/>
        <v>420782803.3</v>
      </c>
      <c r="D36" s="123">
        <f t="shared" si="6"/>
        <v>420782803.3</v>
      </c>
      <c r="E36" s="123">
        <f t="shared" si="6"/>
        <v>420782803.3</v>
      </c>
      <c r="F36" s="123">
        <f t="shared" si="6"/>
        <v>420782803.3</v>
      </c>
      <c r="G36" s="123">
        <f t="shared" si="6"/>
        <v>420782803.3</v>
      </c>
      <c r="H36" s="123">
        <f t="shared" si="6"/>
        <v>420782803.3</v>
      </c>
      <c r="I36" s="123">
        <f t="shared" si="6"/>
        <v>420782803.3</v>
      </c>
      <c r="J36" s="123">
        <f t="shared" si="6"/>
        <v>420782803.3</v>
      </c>
      <c r="K36" s="123">
        <f t="shared" si="6"/>
        <v>420782803.3</v>
      </c>
      <c r="L36" s="123">
        <f t="shared" si="6"/>
        <v>420782803.3</v>
      </c>
      <c r="M36" s="123">
        <f t="shared" si="6"/>
        <v>420782803.3</v>
      </c>
      <c r="N36" s="123">
        <f t="shared" si="6"/>
        <v>420782803.3</v>
      </c>
      <c r="O36" s="123">
        <f t="shared" si="6"/>
        <v>420782803.3</v>
      </c>
      <c r="P36" s="123">
        <f t="shared" si="6"/>
        <v>420782803.3</v>
      </c>
      <c r="Q36" s="123">
        <f t="shared" si="6"/>
        <v>420782803.3</v>
      </c>
      <c r="R36" s="123">
        <f t="shared" si="6"/>
        <v>420782803.3</v>
      </c>
      <c r="S36" s="123">
        <f t="shared" si="6"/>
        <v>420782803.3</v>
      </c>
      <c r="T36" s="123">
        <f t="shared" si="6"/>
        <v>420782803.3</v>
      </c>
      <c r="U36" s="123">
        <f t="shared" si="6"/>
        <v>420782803.3</v>
      </c>
      <c r="V36" s="123">
        <f t="shared" si="6"/>
        <v>420782803.3</v>
      </c>
      <c r="W36" s="123">
        <f t="shared" si="6"/>
        <v>420782803.3</v>
      </c>
      <c r="X36" s="123">
        <f t="shared" si="6"/>
        <v>420782803.3</v>
      </c>
      <c r="Y36" s="123">
        <f t="shared" si="6"/>
        <v>420782803.3</v>
      </c>
      <c r="Z36" s="123">
        <f t="shared" si="6"/>
        <v>420782803.3</v>
      </c>
      <c r="AA36" s="123">
        <f t="shared" si="6"/>
        <v>420782803.3</v>
      </c>
      <c r="AB36" s="123">
        <f t="shared" si="6"/>
        <v>420782803.3</v>
      </c>
      <c r="AC36" s="123">
        <f t="shared" si="6"/>
        <v>420782803.3</v>
      </c>
      <c r="AD36" s="123">
        <f t="shared" si="6"/>
        <v>420782803.3</v>
      </c>
      <c r="AE36" s="123">
        <f t="shared" si="6"/>
        <v>420782803.3</v>
      </c>
      <c r="AF36" s="123">
        <f t="shared" si="6"/>
        <v>420782803.3</v>
      </c>
      <c r="AG36" s="123">
        <f t="shared" si="6"/>
        <v>420782803.3</v>
      </c>
      <c r="AH36" s="123">
        <f t="shared" si="6"/>
        <v>420782803.3</v>
      </c>
      <c r="AI36" s="123">
        <f t="shared" si="6"/>
        <v>420782803.3</v>
      </c>
      <c r="AJ36" s="123">
        <f t="shared" si="6"/>
        <v>420782803.3</v>
      </c>
      <c r="AK36" s="123">
        <f t="shared" si="6"/>
        <v>420782803.3</v>
      </c>
      <c r="AL36" s="123">
        <f t="shared" si="6"/>
        <v>420782803.3</v>
      </c>
      <c r="AM36" s="123">
        <f t="shared" si="6"/>
        <v>420782803.3</v>
      </c>
      <c r="AN36" s="123">
        <f t="shared" si="6"/>
        <v>420782803.3</v>
      </c>
      <c r="AO36" s="123">
        <f t="shared" si="6"/>
        <v>420782803.3</v>
      </c>
      <c r="AP36" s="123">
        <f t="shared" si="6"/>
        <v>420782803.3</v>
      </c>
      <c r="AR36" s="105">
        <f t="shared" si="1"/>
        <v>0.0000009536743164</v>
      </c>
      <c r="AS36" s="107">
        <f t="shared" si="5"/>
        <v>0</v>
      </c>
    </row>
    <row r="37" ht="15.75" customHeight="1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ht="15.75" customHeight="1">
      <c r="B38" s="124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R38" s="5"/>
    </row>
    <row r="39" ht="15.75" customHeight="1">
      <c r="B39" s="126"/>
      <c r="C39" s="125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ht="15.75" customHeight="1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R40" s="5"/>
    </row>
    <row r="41" ht="15.75" customHeight="1">
      <c r="B41" s="93">
        <v>1985.0</v>
      </c>
      <c r="C41" s="93">
        <v>1986.0</v>
      </c>
      <c r="D41" s="93">
        <v>1987.0</v>
      </c>
      <c r="E41" s="93">
        <v>1988.0</v>
      </c>
      <c r="F41" s="93">
        <v>1989.0</v>
      </c>
      <c r="G41" s="93">
        <v>1990.0</v>
      </c>
      <c r="H41" s="93">
        <v>1991.0</v>
      </c>
      <c r="I41" s="93">
        <v>1992.0</v>
      </c>
      <c r="J41" s="93">
        <v>1993.0</v>
      </c>
      <c r="K41" s="93">
        <v>1994.0</v>
      </c>
      <c r="L41" s="93">
        <v>1995.0</v>
      </c>
      <c r="M41" s="93">
        <v>1996.0</v>
      </c>
      <c r="N41" s="93">
        <v>1997.0</v>
      </c>
      <c r="O41" s="93">
        <v>1998.0</v>
      </c>
      <c r="P41" s="93">
        <v>1999.0</v>
      </c>
      <c r="Q41" s="93">
        <v>2000.0</v>
      </c>
      <c r="R41" s="93">
        <v>2001.0</v>
      </c>
      <c r="S41" s="93">
        <v>2002.0</v>
      </c>
      <c r="T41" s="93">
        <v>2003.0</v>
      </c>
      <c r="U41" s="93">
        <v>2004.0</v>
      </c>
      <c r="V41" s="93">
        <v>2005.0</v>
      </c>
      <c r="W41" s="93">
        <v>2006.0</v>
      </c>
      <c r="X41" s="93">
        <v>2007.0</v>
      </c>
      <c r="Y41" s="93">
        <v>2008.0</v>
      </c>
      <c r="Z41" s="93">
        <v>2009.0</v>
      </c>
      <c r="AA41" s="93">
        <v>2010.0</v>
      </c>
      <c r="AB41" s="93">
        <v>2011.0</v>
      </c>
      <c r="AC41" s="93">
        <v>2012.0</v>
      </c>
      <c r="AD41" s="93">
        <v>2013.0</v>
      </c>
      <c r="AE41" s="93">
        <v>2014.0</v>
      </c>
      <c r="AF41" s="93">
        <v>2015.0</v>
      </c>
      <c r="AG41" s="93">
        <v>2016.0</v>
      </c>
      <c r="AH41" s="93">
        <v>2017.0</v>
      </c>
      <c r="AI41" s="93">
        <v>2018.0</v>
      </c>
      <c r="AJ41" s="93">
        <v>2019.0</v>
      </c>
      <c r="AK41" s="93">
        <v>2020.0</v>
      </c>
      <c r="AL41" s="93">
        <v>2021.0</v>
      </c>
      <c r="AM41" s="93">
        <v>2022.0</v>
      </c>
      <c r="AN41" s="93">
        <v>2023.0</v>
      </c>
      <c r="AO41" s="93">
        <v>2024.0</v>
      </c>
      <c r="AP41" s="93">
        <v>2025.0</v>
      </c>
    </row>
    <row r="42" ht="15.75" customHeight="1">
      <c r="A42" s="6" t="s">
        <v>21</v>
      </c>
      <c r="B42" s="5">
        <f t="shared" ref="B42:AP42" si="7">B5</f>
        <v>381252953.8</v>
      </c>
      <c r="C42" s="5">
        <f t="shared" si="7"/>
        <v>380834976.6</v>
      </c>
      <c r="D42" s="5">
        <f t="shared" si="7"/>
        <v>379310603.8</v>
      </c>
      <c r="E42" s="5">
        <f t="shared" si="7"/>
        <v>377909197</v>
      </c>
      <c r="F42" s="5">
        <f t="shared" si="7"/>
        <v>376707740.2</v>
      </c>
      <c r="G42" s="5">
        <f t="shared" si="7"/>
        <v>375826791</v>
      </c>
      <c r="H42" s="5">
        <f t="shared" si="7"/>
        <v>374658561.5</v>
      </c>
      <c r="I42" s="5">
        <f t="shared" si="7"/>
        <v>373039411.3</v>
      </c>
      <c r="J42" s="5">
        <f t="shared" si="7"/>
        <v>371480719</v>
      </c>
      <c r="K42" s="5">
        <f t="shared" si="7"/>
        <v>369697545.3</v>
      </c>
      <c r="L42" s="5">
        <f t="shared" si="7"/>
        <v>367344695.4</v>
      </c>
      <c r="M42" s="5">
        <f t="shared" si="7"/>
        <v>365273283.5</v>
      </c>
      <c r="N42" s="5">
        <f t="shared" si="7"/>
        <v>363334998</v>
      </c>
      <c r="O42" s="5">
        <f t="shared" si="7"/>
        <v>361352010.1</v>
      </c>
      <c r="P42" s="5">
        <f t="shared" si="7"/>
        <v>359231912.6</v>
      </c>
      <c r="Q42" s="5">
        <f t="shared" si="7"/>
        <v>357917787.4</v>
      </c>
      <c r="R42" s="5">
        <f t="shared" si="7"/>
        <v>356127733.5</v>
      </c>
      <c r="S42" s="5">
        <f t="shared" si="7"/>
        <v>354087735.9</v>
      </c>
      <c r="T42" s="5">
        <f t="shared" si="7"/>
        <v>351294836.9</v>
      </c>
      <c r="U42" s="5">
        <f t="shared" si="7"/>
        <v>348742890.7</v>
      </c>
      <c r="V42" s="5">
        <f t="shared" si="7"/>
        <v>346755951.5</v>
      </c>
      <c r="W42" s="5">
        <f t="shared" si="7"/>
        <v>345210473.7</v>
      </c>
      <c r="X42" s="5">
        <f t="shared" si="7"/>
        <v>344020668.5</v>
      </c>
      <c r="Y42" s="5">
        <f t="shared" si="7"/>
        <v>342790973.5</v>
      </c>
      <c r="Z42" s="5">
        <f t="shared" si="7"/>
        <v>342032100.1</v>
      </c>
      <c r="AA42" s="5">
        <f t="shared" si="7"/>
        <v>341621205.9</v>
      </c>
      <c r="AB42" s="5">
        <f t="shared" si="7"/>
        <v>341172847.9</v>
      </c>
      <c r="AC42" s="5">
        <f t="shared" si="7"/>
        <v>340752754.3</v>
      </c>
      <c r="AD42" s="5">
        <f t="shared" si="7"/>
        <v>340191135</v>
      </c>
      <c r="AE42" s="5">
        <f t="shared" si="7"/>
        <v>339585295.5</v>
      </c>
      <c r="AF42" s="5">
        <f t="shared" si="7"/>
        <v>338790425.7</v>
      </c>
      <c r="AG42" s="5">
        <f t="shared" si="7"/>
        <v>337936258.5</v>
      </c>
      <c r="AH42" s="5">
        <f t="shared" si="7"/>
        <v>337237934.4</v>
      </c>
      <c r="AI42" s="5">
        <f t="shared" si="7"/>
        <v>336569245.2</v>
      </c>
      <c r="AJ42" s="5">
        <f t="shared" si="7"/>
        <v>335333605.3</v>
      </c>
      <c r="AK42" s="5">
        <f t="shared" si="7"/>
        <v>334180298</v>
      </c>
      <c r="AL42" s="5">
        <f t="shared" si="7"/>
        <v>332667403.2</v>
      </c>
      <c r="AM42" s="5">
        <f t="shared" si="7"/>
        <v>330958655.3</v>
      </c>
      <c r="AN42" s="5">
        <f t="shared" si="7"/>
        <v>329489128.7</v>
      </c>
      <c r="AO42" s="5">
        <f t="shared" si="7"/>
        <v>328640529.7</v>
      </c>
      <c r="AP42" s="5">
        <f t="shared" si="7"/>
        <v>327976545.2</v>
      </c>
    </row>
    <row r="43" ht="15.75" customHeight="1">
      <c r="A43" s="5" t="s">
        <v>52</v>
      </c>
      <c r="B43" s="5">
        <f t="shared" ref="B43:AP43" si="8">B21</f>
        <v>7746736.91</v>
      </c>
      <c r="C43" s="5">
        <f t="shared" si="8"/>
        <v>9277356.663</v>
      </c>
      <c r="D43" s="5">
        <f t="shared" si="8"/>
        <v>10954236.84</v>
      </c>
      <c r="E43" s="5">
        <f t="shared" si="8"/>
        <v>12348696.03</v>
      </c>
      <c r="F43" s="5">
        <f t="shared" si="8"/>
        <v>13466838.68</v>
      </c>
      <c r="G43" s="5">
        <f t="shared" si="8"/>
        <v>14455453.13</v>
      </c>
      <c r="H43" s="5">
        <f t="shared" si="8"/>
        <v>15545526.88</v>
      </c>
      <c r="I43" s="5">
        <f t="shared" si="8"/>
        <v>17004180.32</v>
      </c>
      <c r="J43" s="5">
        <f t="shared" si="8"/>
        <v>18371714.11</v>
      </c>
      <c r="K43" s="5">
        <f t="shared" si="8"/>
        <v>20057126.3</v>
      </c>
      <c r="L43" s="5">
        <f t="shared" si="8"/>
        <v>22180521.97</v>
      </c>
      <c r="M43" s="5">
        <f t="shared" si="8"/>
        <v>24098629.42</v>
      </c>
      <c r="N43" s="5">
        <f t="shared" si="8"/>
        <v>25866767.91</v>
      </c>
      <c r="O43" s="5">
        <f t="shared" si="8"/>
        <v>27794637.82</v>
      </c>
      <c r="P43" s="5">
        <f t="shared" si="8"/>
        <v>29660431.47</v>
      </c>
      <c r="Q43" s="5">
        <f t="shared" si="8"/>
        <v>31332927.66</v>
      </c>
      <c r="R43" s="5">
        <f t="shared" si="8"/>
        <v>32929531.84</v>
      </c>
      <c r="S43" s="5">
        <f t="shared" si="8"/>
        <v>34705402.2</v>
      </c>
      <c r="T43" s="5">
        <f t="shared" si="8"/>
        <v>37170698.79</v>
      </c>
      <c r="U43" s="5">
        <f t="shared" si="8"/>
        <v>39226949.19</v>
      </c>
      <c r="V43" s="5">
        <f t="shared" si="8"/>
        <v>41003126.86</v>
      </c>
      <c r="W43" s="5">
        <f t="shared" si="8"/>
        <v>42268960.04</v>
      </c>
      <c r="X43" s="5">
        <f t="shared" si="8"/>
        <v>43437438.25</v>
      </c>
      <c r="Y43" s="5">
        <f t="shared" si="8"/>
        <v>44451815.39</v>
      </c>
      <c r="Z43" s="5">
        <f t="shared" si="8"/>
        <v>45041858.39</v>
      </c>
      <c r="AA43" s="5">
        <f t="shared" si="8"/>
        <v>45404554.93</v>
      </c>
      <c r="AB43" s="5">
        <f t="shared" si="8"/>
        <v>45755328.56</v>
      </c>
      <c r="AC43" s="5">
        <f t="shared" si="8"/>
        <v>45899949.07</v>
      </c>
      <c r="AD43" s="5">
        <f t="shared" si="8"/>
        <v>45858235.01</v>
      </c>
      <c r="AE43" s="5">
        <f t="shared" si="8"/>
        <v>45849286.7</v>
      </c>
      <c r="AF43" s="5">
        <f t="shared" si="8"/>
        <v>46030121.71</v>
      </c>
      <c r="AG43" s="5">
        <f t="shared" si="8"/>
        <v>46340159.43</v>
      </c>
      <c r="AH43" s="5">
        <f t="shared" si="8"/>
        <v>46551273.67</v>
      </c>
      <c r="AI43" s="5">
        <f t="shared" si="8"/>
        <v>46930779.44</v>
      </c>
      <c r="AJ43" s="5">
        <f t="shared" si="8"/>
        <v>47446734.02</v>
      </c>
      <c r="AK43" s="5">
        <f t="shared" si="8"/>
        <v>48018869.51</v>
      </c>
      <c r="AL43" s="5">
        <f t="shared" si="8"/>
        <v>48670780.51</v>
      </c>
      <c r="AM43" s="5">
        <f t="shared" si="8"/>
        <v>49365686.79</v>
      </c>
      <c r="AN43" s="5">
        <f t="shared" si="8"/>
        <v>50432682.99</v>
      </c>
      <c r="AO43" s="5">
        <f t="shared" si="8"/>
        <v>50891785.97</v>
      </c>
      <c r="AP43" s="5">
        <f t="shared" si="8"/>
        <v>50828179.53</v>
      </c>
    </row>
    <row r="44" ht="15.75" customHeight="1">
      <c r="A44" s="5" t="s">
        <v>62</v>
      </c>
      <c r="B44" s="5">
        <f t="shared" ref="B44:AP44" si="9">B22</f>
        <v>161055.2838</v>
      </c>
      <c r="C44" s="5">
        <f t="shared" si="9"/>
        <v>151011.9886</v>
      </c>
      <c r="D44" s="5">
        <f t="shared" si="9"/>
        <v>177019.7893</v>
      </c>
      <c r="E44" s="5">
        <f t="shared" si="9"/>
        <v>204969.8605</v>
      </c>
      <c r="F44" s="5">
        <f t="shared" si="9"/>
        <v>228951.0417</v>
      </c>
      <c r="G44" s="5">
        <f t="shared" si="9"/>
        <v>253307.0323</v>
      </c>
      <c r="H44" s="5">
        <f t="shared" si="9"/>
        <v>277092.3493</v>
      </c>
      <c r="I44" s="5">
        <f t="shared" si="9"/>
        <v>301021.0504</v>
      </c>
      <c r="J44" s="5">
        <f t="shared" si="9"/>
        <v>337955.0313</v>
      </c>
      <c r="K44" s="5">
        <f t="shared" si="9"/>
        <v>391035.6168</v>
      </c>
      <c r="L44" s="5">
        <f t="shared" si="9"/>
        <v>437993.5261</v>
      </c>
      <c r="M44" s="5">
        <f t="shared" si="9"/>
        <v>521866.432</v>
      </c>
      <c r="N44" s="5">
        <f t="shared" si="9"/>
        <v>581813.6094</v>
      </c>
      <c r="O44" s="5">
        <f t="shared" si="9"/>
        <v>671689.8124</v>
      </c>
      <c r="P44" s="5">
        <f t="shared" si="9"/>
        <v>755727.005</v>
      </c>
      <c r="Q44" s="5">
        <f t="shared" si="9"/>
        <v>885547.838</v>
      </c>
      <c r="R44" s="5">
        <f t="shared" si="9"/>
        <v>1094314.346</v>
      </c>
      <c r="S44" s="5">
        <f t="shared" si="9"/>
        <v>1283044.943</v>
      </c>
      <c r="T44" s="5">
        <f t="shared" si="9"/>
        <v>1801457.614</v>
      </c>
      <c r="U44" s="5">
        <f t="shared" si="9"/>
        <v>2190263.367</v>
      </c>
      <c r="V44" s="5">
        <f t="shared" si="9"/>
        <v>2594392.467</v>
      </c>
      <c r="W44" s="5">
        <f t="shared" si="9"/>
        <v>2915668.07</v>
      </c>
      <c r="X44" s="5">
        <f t="shared" si="9"/>
        <v>3086693.028</v>
      </c>
      <c r="Y44" s="5">
        <f t="shared" si="9"/>
        <v>3273944.289</v>
      </c>
      <c r="Z44" s="5">
        <f t="shared" si="9"/>
        <v>3408170.216</v>
      </c>
      <c r="AA44" s="5">
        <f t="shared" si="9"/>
        <v>3581747.956</v>
      </c>
      <c r="AB44" s="5">
        <f t="shared" si="9"/>
        <v>3688419.086</v>
      </c>
      <c r="AC44" s="5">
        <f t="shared" si="9"/>
        <v>3962810.32</v>
      </c>
      <c r="AD44" s="5">
        <f t="shared" si="9"/>
        <v>4609732.308</v>
      </c>
      <c r="AE44" s="5">
        <f t="shared" si="9"/>
        <v>5194358.244</v>
      </c>
      <c r="AF44" s="5">
        <f t="shared" si="9"/>
        <v>5755740.922</v>
      </c>
      <c r="AG44" s="5">
        <f t="shared" si="9"/>
        <v>6180716.617</v>
      </c>
      <c r="AH44" s="5">
        <f t="shared" si="9"/>
        <v>6645567.093</v>
      </c>
      <c r="AI44" s="5">
        <f t="shared" si="9"/>
        <v>6872800.579</v>
      </c>
      <c r="AJ44" s="5">
        <f t="shared" si="9"/>
        <v>7154366.373</v>
      </c>
      <c r="AK44" s="5">
        <f t="shared" si="9"/>
        <v>7419389.316</v>
      </c>
      <c r="AL44" s="5">
        <f t="shared" si="9"/>
        <v>7580412.93</v>
      </c>
      <c r="AM44" s="5">
        <f t="shared" si="9"/>
        <v>7805966.999</v>
      </c>
      <c r="AN44" s="5">
        <f t="shared" si="9"/>
        <v>8108558.515</v>
      </c>
      <c r="AO44" s="5">
        <f t="shared" si="9"/>
        <v>8319332.778</v>
      </c>
      <c r="AP44" s="5">
        <f t="shared" si="9"/>
        <v>8647890.595</v>
      </c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ht="15.75" customHeight="1">
      <c r="A46" s="127" t="s">
        <v>103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ht="15.75" customHeight="1">
      <c r="A47" s="128" t="s">
        <v>21</v>
      </c>
      <c r="B47" s="129">
        <f t="shared" ref="B47:AP47" si="10">B42/1000000</f>
        <v>381.2529538</v>
      </c>
      <c r="C47" s="129">
        <f t="shared" si="10"/>
        <v>380.8349766</v>
      </c>
      <c r="D47" s="129">
        <f t="shared" si="10"/>
        <v>379.3106038</v>
      </c>
      <c r="E47" s="129">
        <f t="shared" si="10"/>
        <v>377.909197</v>
      </c>
      <c r="F47" s="129">
        <f t="shared" si="10"/>
        <v>376.7077402</v>
      </c>
      <c r="G47" s="129">
        <f t="shared" si="10"/>
        <v>375.826791</v>
      </c>
      <c r="H47" s="129">
        <f t="shared" si="10"/>
        <v>374.6585615</v>
      </c>
      <c r="I47" s="129">
        <f t="shared" si="10"/>
        <v>373.0394113</v>
      </c>
      <c r="J47" s="129">
        <f t="shared" si="10"/>
        <v>371.480719</v>
      </c>
      <c r="K47" s="129">
        <f t="shared" si="10"/>
        <v>369.6975453</v>
      </c>
      <c r="L47" s="129">
        <f t="shared" si="10"/>
        <v>367.3446954</v>
      </c>
      <c r="M47" s="129">
        <f t="shared" si="10"/>
        <v>365.2732835</v>
      </c>
      <c r="N47" s="129">
        <f t="shared" si="10"/>
        <v>363.334998</v>
      </c>
      <c r="O47" s="129">
        <f t="shared" si="10"/>
        <v>361.3520101</v>
      </c>
      <c r="P47" s="129">
        <f t="shared" si="10"/>
        <v>359.2319126</v>
      </c>
      <c r="Q47" s="129">
        <f t="shared" si="10"/>
        <v>357.9177874</v>
      </c>
      <c r="R47" s="129">
        <f t="shared" si="10"/>
        <v>356.1277335</v>
      </c>
      <c r="S47" s="129">
        <f t="shared" si="10"/>
        <v>354.0877359</v>
      </c>
      <c r="T47" s="129">
        <f t="shared" si="10"/>
        <v>351.2948369</v>
      </c>
      <c r="U47" s="129">
        <f t="shared" si="10"/>
        <v>348.7428907</v>
      </c>
      <c r="V47" s="129">
        <f t="shared" si="10"/>
        <v>346.7559515</v>
      </c>
      <c r="W47" s="129">
        <f t="shared" si="10"/>
        <v>345.2104737</v>
      </c>
      <c r="X47" s="129">
        <f t="shared" si="10"/>
        <v>344.0206685</v>
      </c>
      <c r="Y47" s="129">
        <f t="shared" si="10"/>
        <v>342.7909735</v>
      </c>
      <c r="Z47" s="129">
        <f t="shared" si="10"/>
        <v>342.0321001</v>
      </c>
      <c r="AA47" s="129">
        <f t="shared" si="10"/>
        <v>341.6212059</v>
      </c>
      <c r="AB47" s="129">
        <f t="shared" si="10"/>
        <v>341.1728479</v>
      </c>
      <c r="AC47" s="129">
        <f t="shared" si="10"/>
        <v>340.7527543</v>
      </c>
      <c r="AD47" s="129">
        <f t="shared" si="10"/>
        <v>340.191135</v>
      </c>
      <c r="AE47" s="129">
        <f t="shared" si="10"/>
        <v>339.5852955</v>
      </c>
      <c r="AF47" s="129">
        <f t="shared" si="10"/>
        <v>338.7904257</v>
      </c>
      <c r="AG47" s="129">
        <f t="shared" si="10"/>
        <v>337.9362585</v>
      </c>
      <c r="AH47" s="129">
        <f t="shared" si="10"/>
        <v>337.2379344</v>
      </c>
      <c r="AI47" s="129">
        <f t="shared" si="10"/>
        <v>336.5692452</v>
      </c>
      <c r="AJ47" s="129">
        <f t="shared" si="10"/>
        <v>335.3336053</v>
      </c>
      <c r="AK47" s="129">
        <f t="shared" si="10"/>
        <v>334.180298</v>
      </c>
      <c r="AL47" s="129">
        <f t="shared" si="10"/>
        <v>332.6674032</v>
      </c>
      <c r="AM47" s="129">
        <f t="shared" si="10"/>
        <v>330.9586553</v>
      </c>
      <c r="AN47" s="129">
        <f t="shared" si="10"/>
        <v>329.4891287</v>
      </c>
      <c r="AO47" s="129">
        <f t="shared" si="10"/>
        <v>328.6405297</v>
      </c>
      <c r="AP47" s="129">
        <f t="shared" si="10"/>
        <v>327.9765452</v>
      </c>
      <c r="AQ47" s="130"/>
      <c r="AR47" s="131"/>
      <c r="AS47" s="130"/>
      <c r="AT47" s="130"/>
    </row>
    <row r="48" ht="15.75" customHeight="1">
      <c r="A48" s="128" t="s">
        <v>52</v>
      </c>
      <c r="B48" s="129">
        <f t="shared" ref="B48:AP48" si="11">B43/1000000</f>
        <v>7.74673691</v>
      </c>
      <c r="C48" s="129">
        <f t="shared" si="11"/>
        <v>9.277356663</v>
      </c>
      <c r="D48" s="129">
        <f t="shared" si="11"/>
        <v>10.95423684</v>
      </c>
      <c r="E48" s="129">
        <f t="shared" si="11"/>
        <v>12.34869603</v>
      </c>
      <c r="F48" s="129">
        <f t="shared" si="11"/>
        <v>13.46683868</v>
      </c>
      <c r="G48" s="129">
        <f t="shared" si="11"/>
        <v>14.45545313</v>
      </c>
      <c r="H48" s="129">
        <f t="shared" si="11"/>
        <v>15.54552688</v>
      </c>
      <c r="I48" s="129">
        <f t="shared" si="11"/>
        <v>17.00418032</v>
      </c>
      <c r="J48" s="129">
        <f t="shared" si="11"/>
        <v>18.37171411</v>
      </c>
      <c r="K48" s="129">
        <f t="shared" si="11"/>
        <v>20.0571263</v>
      </c>
      <c r="L48" s="129">
        <f t="shared" si="11"/>
        <v>22.18052197</v>
      </c>
      <c r="M48" s="129">
        <f t="shared" si="11"/>
        <v>24.09862942</v>
      </c>
      <c r="N48" s="129">
        <f t="shared" si="11"/>
        <v>25.86676791</v>
      </c>
      <c r="O48" s="129">
        <f t="shared" si="11"/>
        <v>27.79463782</v>
      </c>
      <c r="P48" s="129">
        <f t="shared" si="11"/>
        <v>29.66043147</v>
      </c>
      <c r="Q48" s="129">
        <f t="shared" si="11"/>
        <v>31.33292766</v>
      </c>
      <c r="R48" s="129">
        <f t="shared" si="11"/>
        <v>32.92953184</v>
      </c>
      <c r="S48" s="129">
        <f t="shared" si="11"/>
        <v>34.7054022</v>
      </c>
      <c r="T48" s="129">
        <f t="shared" si="11"/>
        <v>37.17069879</v>
      </c>
      <c r="U48" s="129">
        <f t="shared" si="11"/>
        <v>39.22694919</v>
      </c>
      <c r="V48" s="129">
        <f t="shared" si="11"/>
        <v>41.00312686</v>
      </c>
      <c r="W48" s="129">
        <f t="shared" si="11"/>
        <v>42.26896004</v>
      </c>
      <c r="X48" s="129">
        <f t="shared" si="11"/>
        <v>43.43743825</v>
      </c>
      <c r="Y48" s="129">
        <f t="shared" si="11"/>
        <v>44.45181539</v>
      </c>
      <c r="Z48" s="129">
        <f t="shared" si="11"/>
        <v>45.04185839</v>
      </c>
      <c r="AA48" s="129">
        <f t="shared" si="11"/>
        <v>45.40455493</v>
      </c>
      <c r="AB48" s="129">
        <f t="shared" si="11"/>
        <v>45.75532856</v>
      </c>
      <c r="AC48" s="129">
        <f t="shared" si="11"/>
        <v>45.89994907</v>
      </c>
      <c r="AD48" s="129">
        <f t="shared" si="11"/>
        <v>45.85823501</v>
      </c>
      <c r="AE48" s="129">
        <f t="shared" si="11"/>
        <v>45.8492867</v>
      </c>
      <c r="AF48" s="129">
        <f t="shared" si="11"/>
        <v>46.03012171</v>
      </c>
      <c r="AG48" s="129">
        <f t="shared" si="11"/>
        <v>46.34015943</v>
      </c>
      <c r="AH48" s="129">
        <f t="shared" si="11"/>
        <v>46.55127367</v>
      </c>
      <c r="AI48" s="129">
        <f t="shared" si="11"/>
        <v>46.93077944</v>
      </c>
      <c r="AJ48" s="129">
        <f t="shared" si="11"/>
        <v>47.44673402</v>
      </c>
      <c r="AK48" s="129">
        <f t="shared" si="11"/>
        <v>48.01886951</v>
      </c>
      <c r="AL48" s="129">
        <f t="shared" si="11"/>
        <v>48.67078051</v>
      </c>
      <c r="AM48" s="129">
        <f t="shared" si="11"/>
        <v>49.36568679</v>
      </c>
      <c r="AN48" s="129">
        <f t="shared" si="11"/>
        <v>50.43268299</v>
      </c>
      <c r="AO48" s="129">
        <f t="shared" si="11"/>
        <v>50.89178597</v>
      </c>
      <c r="AP48" s="129">
        <f t="shared" si="11"/>
        <v>50.82817953</v>
      </c>
      <c r="AQ48" s="130"/>
      <c r="AR48" s="130"/>
      <c r="AS48" s="130"/>
      <c r="AT48" s="130"/>
    </row>
    <row r="49" ht="15.75" customHeight="1">
      <c r="A49" s="128" t="s">
        <v>62</v>
      </c>
      <c r="B49" s="129">
        <f t="shared" ref="B49:AP49" si="12">B44/1000000</f>
        <v>0.1610552838</v>
      </c>
      <c r="C49" s="129">
        <f t="shared" si="12"/>
        <v>0.1510119886</v>
      </c>
      <c r="D49" s="129">
        <f t="shared" si="12"/>
        <v>0.1770197893</v>
      </c>
      <c r="E49" s="129">
        <f t="shared" si="12"/>
        <v>0.2049698605</v>
      </c>
      <c r="F49" s="129">
        <f t="shared" si="12"/>
        <v>0.2289510417</v>
      </c>
      <c r="G49" s="129">
        <f t="shared" si="12"/>
        <v>0.2533070323</v>
      </c>
      <c r="H49" s="129">
        <f t="shared" si="12"/>
        <v>0.2770923493</v>
      </c>
      <c r="I49" s="129">
        <f t="shared" si="12"/>
        <v>0.3010210504</v>
      </c>
      <c r="J49" s="129">
        <f t="shared" si="12"/>
        <v>0.3379550313</v>
      </c>
      <c r="K49" s="129">
        <f t="shared" si="12"/>
        <v>0.3910356168</v>
      </c>
      <c r="L49" s="129">
        <f t="shared" si="12"/>
        <v>0.4379935261</v>
      </c>
      <c r="M49" s="129">
        <f t="shared" si="12"/>
        <v>0.521866432</v>
      </c>
      <c r="N49" s="129">
        <f t="shared" si="12"/>
        <v>0.5818136094</v>
      </c>
      <c r="O49" s="129">
        <f t="shared" si="12"/>
        <v>0.6716898124</v>
      </c>
      <c r="P49" s="129">
        <f t="shared" si="12"/>
        <v>0.755727005</v>
      </c>
      <c r="Q49" s="129">
        <f t="shared" si="12"/>
        <v>0.885547838</v>
      </c>
      <c r="R49" s="129">
        <f t="shared" si="12"/>
        <v>1.094314346</v>
      </c>
      <c r="S49" s="129">
        <f t="shared" si="12"/>
        <v>1.283044943</v>
      </c>
      <c r="T49" s="129">
        <f t="shared" si="12"/>
        <v>1.801457614</v>
      </c>
      <c r="U49" s="129">
        <f t="shared" si="12"/>
        <v>2.190263367</v>
      </c>
      <c r="V49" s="129">
        <f t="shared" si="12"/>
        <v>2.594392467</v>
      </c>
      <c r="W49" s="129">
        <f t="shared" si="12"/>
        <v>2.91566807</v>
      </c>
      <c r="X49" s="129">
        <f t="shared" si="12"/>
        <v>3.086693028</v>
      </c>
      <c r="Y49" s="129">
        <f t="shared" si="12"/>
        <v>3.273944289</v>
      </c>
      <c r="Z49" s="129">
        <f t="shared" si="12"/>
        <v>3.408170216</v>
      </c>
      <c r="AA49" s="129">
        <f t="shared" si="12"/>
        <v>3.581747956</v>
      </c>
      <c r="AB49" s="129">
        <f t="shared" si="12"/>
        <v>3.688419086</v>
      </c>
      <c r="AC49" s="129">
        <f t="shared" si="12"/>
        <v>3.96281032</v>
      </c>
      <c r="AD49" s="129">
        <f t="shared" si="12"/>
        <v>4.609732308</v>
      </c>
      <c r="AE49" s="129">
        <f t="shared" si="12"/>
        <v>5.194358244</v>
      </c>
      <c r="AF49" s="129">
        <f t="shared" si="12"/>
        <v>5.755740922</v>
      </c>
      <c r="AG49" s="129">
        <f t="shared" si="12"/>
        <v>6.180716617</v>
      </c>
      <c r="AH49" s="129">
        <f t="shared" si="12"/>
        <v>6.645567093</v>
      </c>
      <c r="AI49" s="129">
        <f t="shared" si="12"/>
        <v>6.872800579</v>
      </c>
      <c r="AJ49" s="129">
        <f t="shared" si="12"/>
        <v>7.154366373</v>
      </c>
      <c r="AK49" s="129">
        <f t="shared" si="12"/>
        <v>7.419389316</v>
      </c>
      <c r="AL49" s="129">
        <f t="shared" si="12"/>
        <v>7.58041293</v>
      </c>
      <c r="AM49" s="129">
        <f t="shared" si="12"/>
        <v>7.805966999</v>
      </c>
      <c r="AN49" s="129">
        <f t="shared" si="12"/>
        <v>8.108558515</v>
      </c>
      <c r="AO49" s="129">
        <f t="shared" si="12"/>
        <v>8.319332778</v>
      </c>
      <c r="AP49" s="129">
        <f t="shared" si="12"/>
        <v>8.647890595</v>
      </c>
      <c r="AQ49" s="130"/>
      <c r="AR49" s="130"/>
      <c r="AS49" s="130"/>
      <c r="AT49" s="130"/>
    </row>
    <row r="50" ht="15.75" customHeight="1">
      <c r="B50" s="13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ht="15.75" customHeight="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ht="15.75" customHeight="1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ht="15.75" customHeight="1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ht="15.75" customHeight="1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ht="15.75" customHeight="1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ht="15.75" customHeight="1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ht="15.7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ht="15.7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ht="15.7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ht="15.7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ht="15.7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ht="15.7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ht="15.7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ht="15.7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ht="15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ht="15.75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ht="15.75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ht="15.75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ht="15.75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ht="15.75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ht="15.75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ht="15.7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ht="15.7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ht="15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ht="15.7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ht="15.75" customHeight="1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ht="15.75" customHeight="1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ht="15.75" customHeight="1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ht="15.75" customHeight="1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ht="15.75" customHeight="1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ht="15.75" customHeight="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ht="15.75" customHeight="1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ht="15.75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ht="15.75" customHeight="1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ht="15.75" customHeight="1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ht="15.75" customHeight="1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ht="15.75" customHeight="1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ht="15.75" customHeight="1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ht="15.75" customHeight="1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ht="15.75" customHeight="1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ht="15.75" customHeight="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ht="15.75" customHeight="1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ht="15.75" customHeight="1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ht="15.75" customHeight="1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ht="15.75" customHeight="1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ht="15.75" customHeight="1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ht="15.75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ht="15.75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ht="15.75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ht="15.75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ht="15.75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ht="15.75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ht="15.75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ht="15.75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ht="15.7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ht="15.75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ht="15.75" customHeight="1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ht="15.75" customHeight="1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ht="15.75" customHeight="1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ht="15.75" customHeight="1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ht="15.75" customHeight="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ht="15.75" customHeight="1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ht="15.75" customHeight="1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ht="15.75" customHeight="1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ht="15.75" customHeight="1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ht="15.75" customHeight="1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ht="15.75" customHeight="1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ht="15.75" customHeight="1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ht="15.75" customHeight="1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ht="15.75" customHeight="1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ht="15.75" customHeight="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ht="15.75" customHeight="1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ht="15.75" customHeight="1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ht="15.75" customHeight="1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ht="15.75" customHeight="1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ht="15.75" customHeight="1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ht="15.75" customHeight="1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ht="15.75" customHeight="1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ht="15.75" customHeight="1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ht="15.75" customHeight="1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ht="15.75" customHeight="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ht="15.75" customHeight="1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ht="15.75" customHeight="1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ht="15.75" customHeight="1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ht="15.75" customHeight="1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ht="15.75" customHeight="1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ht="15.75" customHeight="1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ht="15.75" customHeight="1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ht="15.75" customHeight="1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ht="15.75" customHeight="1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ht="15.75" customHeight="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ht="15.75" customHeight="1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ht="15.75" customHeight="1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ht="15.75" customHeight="1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ht="15.75" customHeight="1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ht="15.75" customHeight="1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ht="15.75" customHeight="1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ht="15.75" customHeight="1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ht="15.75" customHeight="1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ht="15.75" customHeight="1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ht="15.75" customHeight="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ht="15.75" customHeight="1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ht="15.75" customHeight="1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ht="15.75" customHeight="1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ht="15.75" customHeight="1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ht="15.75" customHeight="1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ht="15.75" customHeight="1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ht="15.75" customHeight="1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ht="15.75" customHeight="1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ht="15.75" customHeight="1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ht="15.75" customHeight="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ht="15.75" customHeight="1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ht="15.75" customHeight="1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ht="15.75" customHeight="1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ht="15.75" customHeight="1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ht="15.75" customHeight="1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ht="15.75" customHeight="1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ht="15.75" customHeight="1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ht="15.75" customHeight="1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ht="15.75" customHeight="1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ht="15.75" customHeight="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ht="15.75" customHeight="1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ht="15.75" customHeight="1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ht="15.75" customHeight="1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ht="15.75" customHeight="1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ht="15.75" customHeight="1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ht="15.75" customHeight="1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ht="15.75" customHeight="1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ht="15.75" customHeight="1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ht="15.75" customHeight="1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ht="15.75" customHeight="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ht="15.75" customHeight="1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ht="15.75" customHeight="1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ht="15.75" customHeight="1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ht="15.75" customHeight="1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ht="15.75" customHeight="1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ht="15.75" customHeight="1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ht="15.75" customHeight="1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ht="15.75" customHeight="1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ht="15.75" customHeight="1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ht="15.75" customHeight="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ht="15.75" customHeight="1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ht="15.75" customHeight="1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ht="15.75" customHeight="1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ht="15.75" customHeight="1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ht="15.75" customHeight="1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ht="15.75" customHeight="1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ht="15.75" customHeight="1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ht="15.75" customHeight="1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ht="15.75" customHeight="1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ht="15.75" customHeight="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ht="15.75" customHeight="1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ht="15.75" customHeight="1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ht="15.75" customHeight="1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ht="15.75" customHeight="1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ht="15.75" customHeight="1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ht="15.75" customHeight="1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ht="15.75" customHeight="1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ht="15.75" customHeight="1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ht="15.75" customHeight="1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ht="15.75" customHeight="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ht="15.75" customHeight="1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ht="15.75" customHeight="1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ht="15.75" customHeight="1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ht="15.75" customHeight="1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ht="15.75" customHeight="1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ht="15.75" customHeight="1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ht="15.75" customHeight="1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ht="15.75" customHeight="1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ht="15.75" customHeight="1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ht="15.75" customHeight="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ht="15.75" customHeight="1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ht="15.75" customHeight="1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ht="15.75" customHeight="1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ht="15.75" customHeight="1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ht="15.75" customHeight="1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ht="15.75" customHeight="1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ht="15.75" customHeight="1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ht="15.75" customHeight="1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ht="15.75" customHeight="1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ht="15.75" customHeight="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ht="15.75" customHeight="1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ht="15.75" customHeight="1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ht="15.75" customHeight="1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ht="15.75" customHeight="1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ht="15.75" customHeight="1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ht="15.75" customHeight="1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ht="15.75" customHeight="1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ht="15.75" customHeight="1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ht="15.75" customHeight="1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ht="15.75" customHeight="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ht="15.75" customHeight="1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ht="15.75" customHeight="1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ht="15.75" customHeight="1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ht="15.75" customHeight="1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ht="15.75" customHeight="1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ht="15.75" customHeight="1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ht="15.75" customHeight="1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ht="15.75" customHeight="1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ht="15.75" customHeight="1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ht="15.75" customHeight="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ht="15.75" customHeight="1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ht="15.75" customHeight="1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ht="15.75" customHeight="1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ht="15.75" customHeight="1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ht="15.75" customHeight="1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ht="15.75" customHeight="1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ht="15.75" customHeight="1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ht="15.75" customHeight="1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ht="15.75" customHeight="1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ht="15.75" customHeight="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ht="15.75" customHeight="1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ht="15.75" customHeight="1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ht="15.75" customHeight="1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ht="15.75" customHeight="1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ht="15.75" customHeight="1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ht="15.75" customHeight="1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ht="15.75" customHeight="1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ht="15.75" customHeight="1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ht="15.75" customHeight="1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ht="15.75" customHeight="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ht="15.75" customHeight="1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ht="15.75" customHeight="1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ht="15.75" customHeight="1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ht="15.75" customHeight="1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ht="15.75" customHeight="1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ht="15.75" customHeight="1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ht="15.75" customHeight="1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ht="15.75" customHeight="1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ht="15.75" customHeight="1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ht="15.75" customHeight="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ht="15.75" customHeight="1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ht="15.75" customHeight="1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ht="15.75" customHeight="1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ht="15.75" customHeight="1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ht="15.75" customHeight="1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ht="15.75" customHeight="1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ht="15.75" customHeight="1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ht="15.75" customHeight="1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ht="15.75" customHeight="1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ht="15.75" customHeight="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ht="15.75" customHeight="1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ht="15.75" customHeight="1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ht="15.75" customHeight="1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ht="15.75" customHeight="1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ht="15.75" customHeight="1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ht="15.75" customHeight="1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ht="15.75" customHeight="1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ht="15.75" customHeight="1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ht="15.75" customHeight="1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ht="15.75" customHeight="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ht="15.75" customHeight="1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ht="15.75" customHeight="1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ht="15.75" customHeight="1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ht="15.75" customHeight="1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ht="15.75" customHeight="1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ht="15.75" customHeight="1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ht="15.75" customHeight="1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ht="15.75" customHeight="1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ht="15.75" customHeight="1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ht="15.75" customHeight="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ht="15.75" customHeight="1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ht="15.75" customHeight="1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ht="15.75" customHeight="1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ht="15.75" customHeight="1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ht="15.75" customHeight="1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ht="15.75" customHeight="1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ht="15.75" customHeight="1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ht="15.75" customHeight="1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ht="15.75" customHeight="1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ht="15.75" customHeight="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ht="15.75" customHeight="1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ht="15.75" customHeight="1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ht="15.75" customHeight="1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ht="15.75" customHeight="1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ht="15.75" customHeight="1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ht="15.75" customHeight="1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ht="15.75" customHeight="1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ht="15.75" customHeight="1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ht="15.75" customHeight="1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ht="15.75" customHeight="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ht="15.75" customHeight="1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ht="15.75" customHeight="1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ht="15.75" customHeight="1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ht="15.75" customHeight="1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ht="15.75" customHeight="1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ht="15.75" customHeight="1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ht="15.75" customHeight="1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ht="15.75" customHeight="1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ht="15.75" customHeight="1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ht="15.75" customHeight="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ht="15.75" customHeight="1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ht="15.75" customHeight="1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ht="15.75" customHeight="1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ht="15.75" customHeight="1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ht="15.75" customHeight="1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ht="15.75" customHeight="1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ht="15.75" customHeight="1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ht="15.75" customHeight="1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ht="15.75" customHeight="1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ht="15.75" customHeight="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ht="15.75" customHeight="1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ht="15.75" customHeight="1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ht="15.75" customHeight="1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ht="15.75" customHeight="1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ht="15.75" customHeight="1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ht="15.75" customHeight="1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ht="15.75" customHeight="1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ht="15.75" customHeight="1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ht="15.75" customHeight="1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ht="15.75" customHeight="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ht="15.75" customHeight="1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ht="15.75" customHeight="1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ht="15.75" customHeight="1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ht="15.75" customHeight="1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ht="15.75" customHeight="1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ht="15.75" customHeight="1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ht="15.75" customHeight="1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ht="15.75" customHeight="1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ht="15.75" customHeight="1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ht="15.75" customHeight="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ht="15.75" customHeight="1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ht="15.75" customHeight="1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ht="15.75" customHeight="1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ht="15.75" customHeight="1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ht="15.75" customHeight="1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ht="15.75" customHeight="1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ht="15.75" customHeight="1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ht="15.75" customHeight="1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ht="15.75" customHeight="1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ht="15.75" customHeight="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ht="15.75" customHeight="1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ht="15.75" customHeight="1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ht="15.75" customHeight="1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ht="15.75" customHeight="1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ht="15.75" customHeight="1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ht="15.75" customHeight="1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ht="15.75" customHeight="1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ht="15.75" customHeight="1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ht="15.75" customHeight="1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ht="15.75" customHeight="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ht="15.75" customHeight="1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ht="15.75" customHeight="1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ht="15.75" customHeight="1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ht="15.75" customHeight="1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ht="15.75" customHeight="1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ht="15.75" customHeight="1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ht="15.75" customHeight="1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ht="15.75" customHeight="1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ht="15.75" customHeight="1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ht="15.75" customHeight="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ht="15.75" customHeight="1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ht="15.75" customHeight="1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ht="15.75" customHeight="1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ht="15.75" customHeight="1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ht="15.75" customHeight="1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ht="15.75" customHeight="1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ht="15.75" customHeight="1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ht="15.75" customHeight="1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ht="15.75" customHeight="1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ht="15.75" customHeight="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ht="15.75" customHeight="1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ht="15.75" customHeight="1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ht="15.75" customHeight="1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ht="15.75" customHeight="1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ht="15.75" customHeight="1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ht="15.75" customHeight="1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ht="15.75" customHeight="1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ht="15.75" customHeight="1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ht="15.75" customHeight="1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ht="15.75" customHeight="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ht="15.75" customHeight="1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ht="15.75" customHeight="1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ht="15.75" customHeight="1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ht="15.75" customHeight="1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ht="15.75" customHeight="1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ht="15.75" customHeight="1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ht="15.75" customHeight="1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ht="15.75" customHeight="1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ht="15.75" customHeight="1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ht="15.75" customHeight="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ht="15.75" customHeight="1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ht="15.75" customHeight="1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ht="15.75" customHeight="1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ht="15.75" customHeight="1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ht="15.75" customHeight="1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ht="15.75" customHeight="1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ht="15.75" customHeight="1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ht="15.75" customHeight="1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ht="15.75" customHeight="1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ht="15.75" customHeight="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ht="15.75" customHeight="1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ht="15.75" customHeight="1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ht="15.75" customHeight="1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ht="15.75" customHeight="1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ht="15.75" customHeight="1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ht="15.75" customHeight="1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ht="15.75" customHeight="1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ht="15.75" customHeight="1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ht="15.75" customHeight="1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ht="15.75" customHeight="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ht="15.75" customHeight="1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ht="15.75" customHeight="1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ht="15.75" customHeight="1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ht="15.75" customHeight="1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ht="15.75" customHeight="1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ht="15.75" customHeight="1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ht="15.75" customHeight="1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ht="15.75" customHeight="1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ht="15.75" customHeight="1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ht="15.75" customHeight="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ht="15.75" customHeight="1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ht="15.75" customHeight="1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ht="15.75" customHeight="1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ht="15.75" customHeight="1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ht="15.75" customHeight="1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ht="15.75" customHeight="1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ht="15.75" customHeight="1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ht="15.75" customHeight="1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ht="15.75" customHeight="1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ht="15.75" customHeight="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ht="15.75" customHeight="1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ht="15.75" customHeight="1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ht="15.75" customHeight="1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ht="15.75" customHeight="1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ht="15.75" customHeight="1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ht="15.75" customHeight="1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ht="15.75" customHeight="1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ht="15.75" customHeight="1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ht="15.75" customHeight="1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ht="15.75" customHeight="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ht="15.75" customHeight="1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ht="15.75" customHeight="1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ht="15.75" customHeight="1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ht="15.75" customHeight="1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ht="15.75" customHeight="1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ht="15.75" customHeight="1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ht="15.75" customHeight="1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ht="15.75" customHeight="1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ht="15.75" customHeight="1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ht="15.75" customHeight="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ht="15.75" customHeight="1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ht="15.75" customHeight="1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ht="15.75" customHeight="1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ht="15.75" customHeight="1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ht="15.75" customHeight="1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ht="15.75" customHeight="1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ht="15.75" customHeight="1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ht="15.75" customHeight="1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ht="15.75" customHeight="1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ht="15.75" customHeight="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ht="15.75" customHeight="1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ht="15.75" customHeight="1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ht="15.75" customHeight="1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ht="15.75" customHeight="1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ht="15.75" customHeight="1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ht="15.75" customHeight="1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ht="15.75" customHeight="1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ht="15.75" customHeight="1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ht="15.75" customHeight="1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ht="15.75" customHeight="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ht="15.75" customHeight="1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ht="15.75" customHeight="1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ht="15.75" customHeight="1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ht="15.75" customHeight="1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ht="15.75" customHeight="1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ht="15.75" customHeight="1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ht="15.75" customHeight="1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ht="15.75" customHeight="1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ht="15.75" customHeight="1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ht="15.75" customHeight="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ht="15.75" customHeight="1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ht="15.75" customHeight="1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ht="15.75" customHeight="1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ht="15.75" customHeight="1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ht="15.75" customHeight="1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ht="15.75" customHeight="1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ht="15.75" customHeight="1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ht="15.75" customHeight="1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ht="15.75" customHeight="1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ht="15.75" customHeight="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ht="15.75" customHeight="1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ht="15.75" customHeight="1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ht="15.75" customHeight="1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ht="15.75" customHeight="1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ht="15.75" customHeight="1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ht="15.75" customHeight="1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ht="15.75" customHeight="1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ht="15.75" customHeight="1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ht="15.75" customHeight="1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ht="15.75" customHeight="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ht="15.75" customHeight="1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ht="15.75" customHeight="1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ht="15.75" customHeight="1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ht="15.75" customHeight="1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ht="15.75" customHeight="1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ht="15.75" customHeight="1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ht="15.75" customHeight="1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ht="15.75" customHeight="1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ht="15.75" customHeight="1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ht="15.75" customHeight="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ht="15.75" customHeight="1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ht="15.75" customHeight="1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ht="15.75" customHeight="1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ht="15.75" customHeight="1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ht="15.75" customHeight="1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ht="15.75" customHeight="1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ht="15.75" customHeight="1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ht="15.75" customHeight="1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ht="15.75" customHeight="1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ht="15.75" customHeight="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ht="15.75" customHeight="1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ht="15.75" customHeight="1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ht="15.75" customHeight="1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ht="15.75" customHeight="1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ht="15.75" customHeight="1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ht="15.75" customHeight="1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ht="15.75" customHeight="1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ht="15.75" customHeight="1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ht="15.75" customHeight="1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ht="15.75" customHeight="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ht="15.75" customHeight="1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ht="15.75" customHeight="1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ht="15.75" customHeight="1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ht="15.75" customHeight="1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ht="15.75" customHeight="1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ht="15.75" customHeight="1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ht="15.75" customHeight="1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ht="15.75" customHeight="1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ht="15.75" customHeight="1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ht="15.75" customHeight="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ht="15.75" customHeight="1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ht="15.75" customHeight="1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ht="15.75" customHeight="1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ht="15.75" customHeight="1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ht="15.75" customHeight="1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ht="15.75" customHeight="1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ht="15.75" customHeight="1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ht="15.75" customHeight="1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ht="15.75" customHeight="1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ht="15.75" customHeight="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ht="15.75" customHeight="1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ht="15.75" customHeight="1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ht="15.75" customHeight="1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ht="15.75" customHeight="1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ht="15.75" customHeight="1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ht="15.75" customHeight="1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ht="15.75" customHeight="1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ht="15.75" customHeight="1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ht="15.75" customHeight="1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ht="15.75" customHeight="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ht="15.75" customHeight="1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ht="15.75" customHeight="1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ht="15.75" customHeight="1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ht="15.75" customHeight="1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ht="15.75" customHeight="1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ht="15.75" customHeight="1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ht="15.75" customHeight="1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ht="15.75" customHeight="1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ht="15.75" customHeight="1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ht="15.75" customHeight="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ht="15.75" customHeight="1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ht="15.75" customHeight="1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ht="15.75" customHeight="1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ht="15.75" customHeight="1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ht="15.75" customHeight="1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ht="15.75" customHeight="1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ht="15.75" customHeight="1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ht="15.75" customHeight="1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ht="15.75" customHeight="1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ht="15.75" customHeight="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ht="15.75" customHeight="1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ht="15.75" customHeight="1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ht="15.75" customHeight="1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ht="15.75" customHeight="1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ht="15.75" customHeight="1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ht="15.75" customHeight="1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ht="15.75" customHeight="1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ht="15.75" customHeight="1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ht="15.75" customHeight="1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ht="15.75" customHeight="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ht="15.75" customHeight="1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ht="15.75" customHeight="1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ht="15.75" customHeight="1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ht="15.75" customHeight="1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ht="15.75" customHeight="1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ht="15.75" customHeight="1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ht="15.75" customHeight="1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ht="15.75" customHeight="1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ht="15.75" customHeight="1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ht="15.75" customHeight="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ht="15.75" customHeight="1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ht="15.75" customHeight="1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ht="15.75" customHeight="1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ht="15.75" customHeight="1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ht="15.75" customHeight="1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ht="15.75" customHeight="1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ht="15.75" customHeight="1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ht="15.75" customHeight="1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ht="15.75" customHeight="1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ht="15.75" customHeight="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ht="15.75" customHeight="1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ht="15.75" customHeight="1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ht="15.75" customHeight="1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ht="15.75" customHeight="1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ht="15.75" customHeight="1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ht="15.75" customHeight="1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ht="15.75" customHeight="1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ht="15.75" customHeight="1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ht="15.75" customHeight="1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ht="15.75" customHeight="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ht="15.75" customHeight="1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ht="15.75" customHeight="1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ht="15.75" customHeight="1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ht="15.75" customHeight="1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ht="15.75" customHeight="1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ht="15.75" customHeight="1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ht="15.75" customHeight="1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ht="15.75" customHeight="1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ht="15.75" customHeight="1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ht="15.75" customHeight="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ht="15.75" customHeight="1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ht="15.75" customHeight="1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ht="15.75" customHeight="1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ht="15.75" customHeight="1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ht="15.75" customHeight="1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ht="15.75" customHeight="1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ht="15.75" customHeight="1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ht="15.75" customHeight="1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ht="15.75" customHeight="1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ht="15.75" customHeight="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ht="15.75" customHeight="1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ht="15.75" customHeight="1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ht="15.75" customHeight="1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ht="15.75" customHeight="1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ht="15.75" customHeight="1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ht="15.75" customHeight="1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ht="15.75" customHeight="1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ht="15.75" customHeight="1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ht="15.75" customHeight="1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ht="15.75" customHeight="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ht="15.75" customHeight="1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ht="15.75" customHeight="1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ht="15.75" customHeight="1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ht="15.75" customHeight="1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ht="15.75" customHeight="1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ht="15.75" customHeight="1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ht="15.75" customHeight="1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ht="15.75" customHeight="1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ht="15.75" customHeight="1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ht="15.75" customHeight="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ht="15.75" customHeight="1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ht="15.75" customHeight="1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ht="15.75" customHeight="1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ht="15.75" customHeight="1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ht="15.75" customHeight="1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ht="15.75" customHeight="1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ht="15.75" customHeight="1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ht="15.75" customHeight="1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ht="15.75" customHeight="1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ht="15.75" customHeight="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ht="15.75" customHeight="1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ht="15.75" customHeight="1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ht="15.75" customHeight="1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ht="15.75" customHeight="1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ht="15.75" customHeight="1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ht="15.75" customHeight="1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ht="15.75" customHeight="1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ht="15.75" customHeight="1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ht="15.75" customHeight="1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ht="15.75" customHeight="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ht="15.75" customHeight="1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ht="15.75" customHeight="1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ht="15.75" customHeight="1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ht="15.75" customHeight="1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ht="15.75" customHeight="1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ht="15.75" customHeight="1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ht="15.75" customHeight="1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ht="15.75" customHeight="1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ht="15.75" customHeight="1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ht="15.75" customHeight="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ht="15.75" customHeight="1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ht="15.75" customHeight="1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ht="15.75" customHeight="1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ht="15.75" customHeight="1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ht="15.75" customHeight="1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ht="15.75" customHeight="1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ht="15.75" customHeight="1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ht="15.75" customHeight="1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ht="15.75" customHeight="1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ht="15.75" customHeight="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ht="15.75" customHeight="1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ht="15.75" customHeight="1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ht="15.75" customHeight="1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ht="15.75" customHeight="1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ht="15.75" customHeight="1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ht="15.75" customHeight="1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ht="15.75" customHeight="1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ht="15.75" customHeight="1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ht="15.75" customHeight="1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ht="15.75" customHeight="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ht="15.75" customHeight="1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ht="15.75" customHeight="1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ht="15.75" customHeight="1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ht="15.75" customHeight="1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ht="15.75" customHeight="1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ht="15.75" customHeight="1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ht="15.75" customHeight="1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ht="15.75" customHeight="1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ht="15.75" customHeight="1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ht="15.75" customHeight="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ht="15.75" customHeight="1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ht="15.75" customHeight="1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ht="15.75" customHeight="1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ht="15.75" customHeight="1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ht="15.75" customHeight="1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ht="15.75" customHeight="1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ht="15.75" customHeight="1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ht="15.75" customHeight="1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ht="15.75" customHeight="1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ht="15.75" customHeight="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ht="15.75" customHeight="1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ht="15.75" customHeight="1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ht="15.75" customHeight="1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ht="15.75" customHeight="1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ht="15.75" customHeight="1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ht="15.75" customHeight="1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ht="15.75" customHeight="1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ht="15.75" customHeight="1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ht="15.75" customHeight="1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ht="15.75" customHeight="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ht="15.75" customHeight="1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ht="15.75" customHeight="1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ht="15.75" customHeight="1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ht="15.75" customHeight="1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ht="15.75" customHeight="1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ht="15.75" customHeight="1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ht="15.75" customHeight="1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ht="15.75" customHeight="1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ht="15.75" customHeight="1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ht="15.75" customHeight="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ht="15.75" customHeight="1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ht="15.75" customHeight="1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ht="15.75" customHeight="1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ht="15.75" customHeight="1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ht="15.75" customHeight="1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ht="15.75" customHeight="1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ht="15.75" customHeight="1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ht="15.75" customHeight="1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ht="15.75" customHeight="1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ht="15.75" customHeight="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ht="15.75" customHeight="1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ht="15.75" customHeight="1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ht="15.75" customHeight="1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ht="15.75" customHeight="1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ht="15.75" customHeight="1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ht="15.75" customHeight="1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ht="15.75" customHeight="1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ht="15.75" customHeight="1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ht="15.75" customHeight="1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ht="15.75" customHeight="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ht="15.75" customHeight="1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ht="15.75" customHeight="1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ht="15.75" customHeight="1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ht="15.75" customHeight="1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ht="15.75" customHeight="1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ht="15.75" customHeight="1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ht="15.75" customHeight="1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ht="15.75" customHeight="1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ht="15.75" customHeight="1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ht="15.75" customHeight="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ht="15.75" customHeight="1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ht="15.75" customHeight="1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ht="15.75" customHeight="1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ht="15.75" customHeight="1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ht="15.75" customHeight="1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ht="15.75" customHeight="1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ht="15.75" customHeight="1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ht="15.75" customHeight="1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ht="15.75" customHeight="1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ht="15.75" customHeight="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ht="15.75" customHeight="1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ht="15.75" customHeight="1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ht="15.75" customHeight="1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ht="15.75" customHeight="1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ht="15.75" customHeight="1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ht="15.75" customHeight="1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ht="15.75" customHeight="1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ht="15.75" customHeight="1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ht="15.75" customHeight="1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ht="15.75" customHeight="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ht="15.75" customHeight="1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ht="15.75" customHeight="1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ht="15.75" customHeight="1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ht="15.75" customHeight="1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ht="15.75" customHeight="1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ht="15.75" customHeight="1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ht="15.75" customHeight="1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ht="15.75" customHeight="1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ht="15.75" customHeight="1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ht="15.75" customHeight="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ht="15.75" customHeight="1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ht="15.75" customHeight="1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ht="15.75" customHeight="1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ht="15.75" customHeight="1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ht="15.75" customHeight="1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ht="15.75" customHeight="1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ht="15.75" customHeight="1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ht="15.75" customHeight="1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ht="15.75" customHeight="1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ht="15.75" customHeight="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ht="15.75" customHeight="1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ht="15.75" customHeight="1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ht="15.75" customHeight="1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ht="15.75" customHeight="1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ht="15.75" customHeight="1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ht="15.75" customHeight="1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ht="15.75" customHeight="1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ht="15.75" customHeight="1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ht="15.75" customHeight="1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ht="15.75" customHeight="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ht="15.75" customHeight="1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ht="15.75" customHeight="1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ht="15.75" customHeight="1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ht="15.75" customHeight="1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ht="15.75" customHeight="1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ht="15.75" customHeight="1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ht="15.75" customHeight="1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ht="15.75" customHeight="1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ht="15.75" customHeight="1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ht="15.75" customHeight="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ht="15.75" customHeight="1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ht="15.75" customHeight="1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ht="15.75" customHeight="1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ht="15.75" customHeight="1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ht="15.75" customHeight="1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ht="15.75" customHeight="1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ht="15.75" customHeight="1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ht="15.75" customHeight="1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ht="15.75" customHeight="1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ht="15.75" customHeight="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ht="15.75" customHeight="1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ht="15.75" customHeight="1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ht="15.75" customHeight="1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ht="15.75" customHeight="1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ht="15.75" customHeight="1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ht="15.75" customHeight="1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ht="15.75" customHeight="1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ht="15.75" customHeight="1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ht="15.75" customHeight="1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ht="15.75" customHeight="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ht="15.75" customHeight="1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ht="15.75" customHeight="1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ht="15.75" customHeight="1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ht="15.75" customHeight="1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ht="15.75" customHeight="1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ht="15.75" customHeight="1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ht="15.75" customHeight="1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ht="15.75" customHeight="1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ht="15.75" customHeight="1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ht="15.75" customHeight="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ht="15.75" customHeight="1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ht="15.75" customHeight="1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ht="15.75" customHeight="1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ht="15.75" customHeight="1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ht="15.75" customHeight="1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ht="15.75" customHeight="1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ht="15.75" customHeight="1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ht="15.75" customHeight="1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ht="15.75" customHeight="1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ht="15.75" customHeight="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ht="15.75" customHeight="1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ht="15.75" customHeight="1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ht="15.75" customHeight="1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ht="15.75" customHeight="1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ht="15.75" customHeight="1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ht="15.75" customHeight="1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ht="15.75" customHeight="1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ht="15.75" customHeight="1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ht="15.75" customHeight="1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ht="15.75" customHeight="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ht="15.75" customHeight="1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ht="15.75" customHeight="1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ht="15.75" customHeight="1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ht="15.75" customHeight="1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ht="15.75" customHeight="1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ht="15.75" customHeight="1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ht="15.75" customHeight="1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ht="15.75" customHeight="1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ht="15.75" customHeight="1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ht="15.75" customHeight="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ht="15.75" customHeight="1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ht="15.75" customHeight="1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ht="15.75" customHeight="1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ht="15.75" customHeight="1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ht="15.75" customHeight="1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ht="15.75" customHeight="1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ht="15.75" customHeight="1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ht="15.75" customHeight="1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ht="15.75" customHeight="1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ht="15.75" customHeight="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ht="15.75" customHeight="1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ht="15.75" customHeight="1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ht="15.75" customHeight="1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ht="15.75" customHeight="1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ht="15.75" customHeight="1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ht="15.75" customHeight="1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ht="15.75" customHeight="1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ht="15.75" customHeight="1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ht="15.75" customHeight="1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ht="15.75" customHeight="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ht="15.75" customHeight="1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ht="15.75" customHeight="1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ht="15.75" customHeight="1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ht="15.75" customHeight="1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ht="15.75" customHeight="1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ht="15.75" customHeight="1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ht="15.75" customHeight="1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ht="15.75" customHeight="1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ht="15.75" customHeight="1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ht="15.75" customHeight="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ht="15.75" customHeight="1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ht="15.75" customHeight="1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ht="15.75" customHeight="1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ht="15.75" customHeight="1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ht="15.75" customHeight="1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ht="15.75" customHeight="1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ht="15.75" customHeight="1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ht="15.75" customHeight="1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ht="15.75" customHeight="1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ht="15.75" customHeight="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ht="15.75" customHeight="1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ht="15.75" customHeight="1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ht="15.75" customHeight="1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ht="15.75" customHeight="1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ht="15.75" customHeight="1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ht="15.75" customHeight="1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ht="15.75" customHeight="1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ht="15.75" customHeight="1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ht="15.75" customHeight="1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ht="15.75" customHeight="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ht="15.75" customHeight="1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ht="15.75" customHeight="1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ht="15.75" customHeight="1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ht="15.75" customHeight="1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ht="15.75" customHeight="1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ht="15.75" customHeight="1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ht="15.75" customHeight="1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ht="15.75" customHeight="1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ht="15.75" customHeight="1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ht="15.75" customHeight="1"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  <row r="1002" ht="15.75" customHeight="1"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</row>
    <row r="1003" ht="15.75" customHeight="1"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</row>
    <row r="1004" ht="15.75" customHeight="1"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</row>
    <row r="1005" ht="15.75" customHeight="1"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</row>
    <row r="1006" ht="15.75" customHeight="1"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</row>
  </sheetData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23.78"/>
    <col customWidth="1" min="3" max="3" width="71.56"/>
    <col customWidth="1" min="4" max="4" width="60.78"/>
    <col customWidth="1" min="5" max="26" width="11.44"/>
  </cols>
  <sheetData>
    <row r="1" ht="15.75" customHeight="1"/>
    <row r="2" ht="15.75" customHeight="1">
      <c r="A2" s="58"/>
      <c r="B2" s="6" t="s">
        <v>36</v>
      </c>
      <c r="C2" s="58"/>
      <c r="D2" s="58"/>
    </row>
    <row r="3" ht="15.75" customHeight="1">
      <c r="A3" s="58"/>
      <c r="B3" s="58"/>
      <c r="C3" s="58"/>
      <c r="D3" s="58"/>
    </row>
    <row r="4">
      <c r="A4" s="58"/>
      <c r="B4" s="61">
        <f>'GRAFICO HISTORICO'!AU5</f>
        <v>0.7794437953</v>
      </c>
      <c r="C4" s="62" t="s">
        <v>39</v>
      </c>
      <c r="D4" s="63"/>
      <c r="E4" s="63"/>
    </row>
    <row r="5">
      <c r="A5" s="58"/>
      <c r="B5" s="61">
        <f>'GRAFICO HISTORICO'!AU6</f>
        <v>0.8145289069</v>
      </c>
      <c r="C5" s="62" t="s">
        <v>40</v>
      </c>
      <c r="D5" s="63"/>
      <c r="E5" s="63"/>
    </row>
    <row r="6">
      <c r="A6" s="65"/>
      <c r="B6" s="66" t="str">
        <f>CONCAT(ROUND(('GRAFICO HISTORICO'!AU7/1000000),1)," Mha")</f>
        <v>-53,3 Mha</v>
      </c>
      <c r="C6" s="67" t="s">
        <v>41</v>
      </c>
      <c r="D6" s="58"/>
    </row>
    <row r="7" ht="25.5" customHeight="1">
      <c r="A7" s="58"/>
      <c r="B7" s="68" t="str">
        <f>CONCAT(ROUND(('GRAFICO HISTORICO'!AU8/1000000),1)," Mha")</f>
        <v>-54,7 Mha</v>
      </c>
      <c r="C7" s="62" t="s">
        <v>42</v>
      </c>
      <c r="D7" s="70"/>
    </row>
    <row r="8" ht="25.5" customHeight="1">
      <c r="A8" s="58"/>
      <c r="B8" s="68" t="str">
        <f>CONCAT(ROUND(('GRAFICO HISTORICO'!AU10),2),"x")</f>
        <v>4,4x</v>
      </c>
      <c r="C8" s="62" t="s">
        <v>43</v>
      </c>
      <c r="D8" s="62"/>
    </row>
    <row r="9">
      <c r="A9" s="58"/>
      <c r="B9" s="71">
        <f>'GRAFICO HISTORICO'!AU11</f>
        <v>0.6485031331</v>
      </c>
      <c r="C9" s="62" t="s">
        <v>44</v>
      </c>
      <c r="D9" s="58"/>
    </row>
    <row r="10" ht="15.75" customHeight="1">
      <c r="A10" s="58"/>
      <c r="B10" s="58"/>
      <c r="C10" s="58"/>
      <c r="D10" s="5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24.11"/>
    <col customWidth="1" hidden="1" min="3" max="3" width="19.56"/>
    <col customWidth="1" hidden="1" min="4" max="4" width="20.56"/>
    <col customWidth="1" hidden="1" min="5" max="6" width="18.56"/>
    <col customWidth="1" hidden="1" min="7" max="7" width="19.56"/>
    <col customWidth="1" hidden="1" min="8" max="8" width="20.56"/>
    <col customWidth="1" hidden="1" min="9" max="9" width="19.56"/>
    <col customWidth="1" hidden="1" min="10" max="10" width="15.44"/>
    <col customWidth="1" hidden="1" min="11" max="11" width="24.11"/>
    <col customWidth="1" min="12" max="12" width="19.56"/>
    <col customWidth="1" hidden="1" min="13" max="13" width="18.56"/>
    <col customWidth="1" hidden="1" min="14" max="14" width="7.56"/>
    <col customWidth="1" hidden="1" min="15" max="15" width="15.44"/>
    <col customWidth="1" hidden="1" min="16" max="16" width="5.44"/>
    <col customWidth="1" hidden="1" min="17" max="17" width="18.56"/>
    <col customWidth="1" hidden="1" min="18" max="19" width="19.56"/>
    <col customWidth="1" hidden="1" min="20" max="20" width="13.11"/>
    <col customWidth="1" hidden="1" min="21" max="21" width="20.56"/>
    <col customWidth="1" hidden="1" min="22" max="24" width="8.56"/>
    <col customWidth="1" hidden="1" min="25" max="25" width="20.56"/>
    <col customWidth="1" hidden="1" min="26" max="26" width="8.56"/>
    <col customWidth="1" hidden="1" min="27" max="28" width="19.56"/>
    <col customWidth="1" hidden="1" min="29" max="29" width="11.0"/>
    <col customWidth="1" hidden="1" min="30" max="33" width="8.56"/>
    <col customWidth="1" hidden="1" min="34" max="34" width="19.56"/>
    <col customWidth="1" hidden="1" min="35" max="36" width="20.56"/>
    <col customWidth="1" hidden="1" min="37" max="37" width="16.44"/>
    <col customWidth="1" hidden="1" min="38" max="38" width="20.56"/>
  </cols>
  <sheetData>
    <row r="1" ht="15.75" customHeight="1">
      <c r="A1" s="14" t="s">
        <v>49</v>
      </c>
      <c r="B1" s="81" t="s">
        <v>49</v>
      </c>
      <c r="C1" s="82">
        <v>2017.0</v>
      </c>
      <c r="D1" s="82" t="s">
        <v>49</v>
      </c>
      <c r="E1" s="82" t="s">
        <v>49</v>
      </c>
      <c r="F1" s="82" t="s">
        <v>49</v>
      </c>
      <c r="G1" s="82" t="s">
        <v>49</v>
      </c>
      <c r="H1" s="82" t="s">
        <v>49</v>
      </c>
      <c r="I1" s="82" t="s">
        <v>49</v>
      </c>
      <c r="J1" s="82" t="s">
        <v>49</v>
      </c>
      <c r="K1" s="82" t="s">
        <v>49</v>
      </c>
      <c r="L1" s="82"/>
      <c r="M1" s="82" t="s">
        <v>49</v>
      </c>
      <c r="N1" s="82" t="s">
        <v>49</v>
      </c>
      <c r="O1" s="82" t="s">
        <v>49</v>
      </c>
      <c r="P1" s="82" t="s">
        <v>49</v>
      </c>
      <c r="Q1" s="82" t="s">
        <v>49</v>
      </c>
      <c r="R1" s="82" t="s">
        <v>49</v>
      </c>
      <c r="S1" s="82" t="s">
        <v>49</v>
      </c>
      <c r="T1" s="82" t="s">
        <v>49</v>
      </c>
      <c r="U1" s="82" t="s">
        <v>49</v>
      </c>
      <c r="Y1" s="82" t="s">
        <v>49</v>
      </c>
      <c r="Z1" s="82" t="s">
        <v>49</v>
      </c>
      <c r="AA1" s="82" t="s">
        <v>49</v>
      </c>
      <c r="AB1" s="82" t="s">
        <v>49</v>
      </c>
      <c r="AC1" s="82" t="s">
        <v>49</v>
      </c>
      <c r="AH1" s="82" t="s">
        <v>49</v>
      </c>
      <c r="AI1" s="82" t="s">
        <v>49</v>
      </c>
      <c r="AJ1" s="82" t="s">
        <v>49</v>
      </c>
      <c r="AK1" s="82" t="s">
        <v>49</v>
      </c>
      <c r="AL1" s="82" t="s">
        <v>49</v>
      </c>
    </row>
    <row r="2" ht="15.75" customHeight="1">
      <c r="A2" s="14" t="s">
        <v>49</v>
      </c>
      <c r="B2" s="81" t="s">
        <v>49</v>
      </c>
      <c r="C2" s="14" t="s">
        <v>52</v>
      </c>
      <c r="D2" s="14" t="s">
        <v>53</v>
      </c>
      <c r="E2" s="14" t="s">
        <v>54</v>
      </c>
      <c r="F2" s="14" t="s">
        <v>55</v>
      </c>
      <c r="G2" s="14" t="s">
        <v>56</v>
      </c>
      <c r="H2" s="14" t="s">
        <v>57</v>
      </c>
      <c r="I2" s="14" t="s">
        <v>58</v>
      </c>
      <c r="J2" s="14" t="s">
        <v>59</v>
      </c>
      <c r="K2" s="14" t="s">
        <v>60</v>
      </c>
      <c r="L2" s="14" t="s">
        <v>31</v>
      </c>
      <c r="M2" s="14" t="s">
        <v>61</v>
      </c>
      <c r="N2" s="14" t="s">
        <v>62</v>
      </c>
      <c r="O2" s="14" t="s">
        <v>63</v>
      </c>
      <c r="P2" s="14" t="s">
        <v>21</v>
      </c>
      <c r="Q2" s="14" t="s">
        <v>64</v>
      </c>
      <c r="R2" s="14" t="s">
        <v>65</v>
      </c>
      <c r="S2" s="14" t="s">
        <v>66</v>
      </c>
      <c r="T2" s="14" t="s">
        <v>68</v>
      </c>
      <c r="U2" s="14" t="s">
        <v>69</v>
      </c>
      <c r="Y2" s="14" t="s">
        <v>70</v>
      </c>
      <c r="Z2" s="14" t="s">
        <v>71</v>
      </c>
      <c r="AA2" s="14" t="s">
        <v>72</v>
      </c>
      <c r="AB2" s="14" t="s">
        <v>73</v>
      </c>
      <c r="AC2" s="14" t="s">
        <v>25</v>
      </c>
      <c r="AH2" s="14" t="s">
        <v>23</v>
      </c>
      <c r="AI2" s="14" t="s">
        <v>74</v>
      </c>
      <c r="AJ2" s="14" t="s">
        <v>75</v>
      </c>
      <c r="AK2" s="14" t="s">
        <v>26</v>
      </c>
      <c r="AL2" s="14" t="s">
        <v>76</v>
      </c>
    </row>
    <row r="3" ht="15.75" customHeight="1">
      <c r="A3" s="82">
        <v>1985.0</v>
      </c>
      <c r="B3" s="81" t="s">
        <v>54</v>
      </c>
      <c r="C3" s="83">
        <v>6640658.1234949</v>
      </c>
      <c r="D3" s="14">
        <v>334692.74956039</v>
      </c>
      <c r="E3" s="83">
        <v>3.2748752219218E7</v>
      </c>
      <c r="F3" s="83">
        <v>5911722.5038574</v>
      </c>
      <c r="G3" s="83">
        <v>595157.50959073</v>
      </c>
      <c r="H3" s="83">
        <v>1649613.8993811</v>
      </c>
      <c r="I3" s="83">
        <v>131117.94337042</v>
      </c>
      <c r="J3" s="83" t="s">
        <v>77</v>
      </c>
      <c r="K3" s="83">
        <v>1037177.9971152</v>
      </c>
      <c r="L3" s="83">
        <f t="shared" ref="L3:L7" si="1">SUM(M3:AL3)</f>
        <v>215147.6404</v>
      </c>
      <c r="M3" s="14">
        <v>1377.516026654</v>
      </c>
      <c r="N3" s="14" t="s">
        <v>77</v>
      </c>
      <c r="O3" s="14" t="s">
        <v>77</v>
      </c>
      <c r="P3" s="14" t="s">
        <v>77</v>
      </c>
      <c r="Q3" s="14">
        <v>6439.0295028015</v>
      </c>
      <c r="R3" s="14">
        <v>12937.489300226</v>
      </c>
      <c r="S3" s="14">
        <v>4.2081865722656</v>
      </c>
      <c r="T3" s="14" t="s">
        <v>77</v>
      </c>
      <c r="U3" s="14">
        <v>41.225391046143</v>
      </c>
      <c r="Y3" s="14">
        <v>30.271406915283</v>
      </c>
      <c r="Z3" s="14" t="s">
        <v>77</v>
      </c>
      <c r="AA3" s="14">
        <v>1841.7452289978</v>
      </c>
      <c r="AB3" s="14">
        <v>801.19511436768</v>
      </c>
      <c r="AC3" s="14" t="s">
        <v>77</v>
      </c>
      <c r="AH3" s="14" t="s">
        <v>77</v>
      </c>
      <c r="AI3" s="14">
        <v>0.93086105957031</v>
      </c>
      <c r="AJ3" s="14">
        <v>1.5183484558106</v>
      </c>
      <c r="AK3" s="14" t="s">
        <v>77</v>
      </c>
      <c r="AL3" s="14">
        <v>191672.51103137</v>
      </c>
    </row>
    <row r="4" ht="15.75" customHeight="1">
      <c r="A4" s="82">
        <v>1985.0</v>
      </c>
      <c r="B4" s="81" t="s">
        <v>55</v>
      </c>
      <c r="C4" s="83">
        <v>9182233.5997928</v>
      </c>
      <c r="D4" s="14">
        <v>3370551.7779101</v>
      </c>
      <c r="E4" s="83">
        <v>3181352.4987276</v>
      </c>
      <c r="F4" s="83">
        <v>4.0719446729897E7</v>
      </c>
      <c r="G4" s="83">
        <v>386646.90781805</v>
      </c>
      <c r="H4" s="83">
        <v>4461769.9338386</v>
      </c>
      <c r="I4" s="83">
        <v>89052.774382806</v>
      </c>
      <c r="J4" s="83" t="s">
        <v>77</v>
      </c>
      <c r="K4" s="83">
        <v>1369796.9039555</v>
      </c>
      <c r="L4" s="83">
        <f t="shared" si="1"/>
        <v>133641.0545</v>
      </c>
      <c r="M4" s="14">
        <v>2172.3169566773</v>
      </c>
      <c r="N4" s="14" t="s">
        <v>77</v>
      </c>
      <c r="O4" s="14" t="s">
        <v>77</v>
      </c>
      <c r="P4" s="14" t="s">
        <v>77</v>
      </c>
      <c r="Q4" s="14">
        <v>14.824047589111</v>
      </c>
      <c r="R4" s="14">
        <v>23307.9949513</v>
      </c>
      <c r="S4" s="14">
        <v>2.731044140625</v>
      </c>
      <c r="T4" s="14" t="s">
        <v>77</v>
      </c>
      <c r="U4" s="14">
        <v>41.22683994751</v>
      </c>
      <c r="Y4" s="14">
        <v>41.972004290771</v>
      </c>
      <c r="Z4" s="14" t="s">
        <v>77</v>
      </c>
      <c r="AA4" s="14">
        <v>2010.8362333435</v>
      </c>
      <c r="AB4" s="14">
        <v>1066.1409171204</v>
      </c>
      <c r="AC4" s="14" t="s">
        <v>77</v>
      </c>
      <c r="AH4" s="14" t="s">
        <v>77</v>
      </c>
      <c r="AI4" s="14" t="s">
        <v>77</v>
      </c>
      <c r="AJ4" s="14">
        <v>1.5948858581543</v>
      </c>
      <c r="AK4" s="14" t="s">
        <v>77</v>
      </c>
      <c r="AL4" s="14">
        <v>104981.41664799</v>
      </c>
    </row>
    <row r="5" ht="15.75" customHeight="1">
      <c r="A5" s="82">
        <v>1985.0</v>
      </c>
      <c r="B5" s="81" t="s">
        <v>23</v>
      </c>
      <c r="C5" s="83" t="s">
        <v>77</v>
      </c>
      <c r="D5" s="14" t="s">
        <v>77</v>
      </c>
      <c r="E5" s="83" t="s">
        <v>77</v>
      </c>
      <c r="F5" s="83" t="s">
        <v>77</v>
      </c>
      <c r="G5" s="83" t="s">
        <v>77</v>
      </c>
      <c r="H5" s="83" t="s">
        <v>77</v>
      </c>
      <c r="I5" s="83" t="s">
        <v>77</v>
      </c>
      <c r="J5" s="83" t="s">
        <v>77</v>
      </c>
      <c r="K5" s="83" t="s">
        <v>77</v>
      </c>
      <c r="L5" s="83">
        <f t="shared" si="1"/>
        <v>0.1784661011</v>
      </c>
      <c r="M5" s="14" t="s">
        <v>77</v>
      </c>
      <c r="N5" s="14" t="s">
        <v>77</v>
      </c>
      <c r="O5" s="14" t="s">
        <v>77</v>
      </c>
      <c r="P5" s="14" t="s">
        <v>77</v>
      </c>
      <c r="Q5" s="14" t="s">
        <v>77</v>
      </c>
      <c r="R5" s="14" t="s">
        <v>77</v>
      </c>
      <c r="S5" s="14" t="s">
        <v>77</v>
      </c>
      <c r="T5" s="14" t="s">
        <v>77</v>
      </c>
      <c r="U5" s="14" t="s">
        <v>77</v>
      </c>
      <c r="Y5" s="14" t="s">
        <v>77</v>
      </c>
      <c r="Z5" s="14" t="s">
        <v>77</v>
      </c>
      <c r="AA5" s="14" t="s">
        <v>77</v>
      </c>
      <c r="AB5" s="14" t="s">
        <v>77</v>
      </c>
      <c r="AC5" s="14" t="s">
        <v>77</v>
      </c>
      <c r="AH5" s="14">
        <v>0.17846610107422</v>
      </c>
      <c r="AI5" s="14" t="s">
        <v>77</v>
      </c>
      <c r="AJ5" s="14" t="s">
        <v>77</v>
      </c>
      <c r="AK5" s="14" t="s">
        <v>77</v>
      </c>
      <c r="AL5" s="14" t="s">
        <v>77</v>
      </c>
    </row>
    <row r="6" ht="15.75" customHeight="1">
      <c r="A6" s="82">
        <v>1985.0</v>
      </c>
      <c r="B6" s="81" t="s">
        <v>53</v>
      </c>
      <c r="C6" s="83">
        <v>1574487.064632</v>
      </c>
      <c r="D6" s="14">
        <v>1.7389606651641E7</v>
      </c>
      <c r="E6" s="83">
        <v>183642.82244149</v>
      </c>
      <c r="F6" s="83">
        <v>2489874.6527767</v>
      </c>
      <c r="G6" s="83">
        <v>91164.412490716</v>
      </c>
      <c r="H6" s="83">
        <v>1493830.2921135</v>
      </c>
      <c r="I6" s="83">
        <v>30597.917795227</v>
      </c>
      <c r="J6" s="83" t="s">
        <v>77</v>
      </c>
      <c r="K6" s="83">
        <v>501182.81692306</v>
      </c>
      <c r="L6" s="83">
        <f t="shared" si="1"/>
        <v>57095.97696</v>
      </c>
      <c r="M6" s="14">
        <v>2679.5681428955</v>
      </c>
      <c r="N6" s="14" t="s">
        <v>77</v>
      </c>
      <c r="O6" s="14" t="s">
        <v>77</v>
      </c>
      <c r="P6" s="14" t="s">
        <v>77</v>
      </c>
      <c r="Q6" s="14">
        <v>109.75527589111</v>
      </c>
      <c r="R6" s="14">
        <v>12949.911246466</v>
      </c>
      <c r="S6" s="14">
        <v>0.79891500854492</v>
      </c>
      <c r="T6" s="14" t="s">
        <v>77</v>
      </c>
      <c r="U6" s="14">
        <v>12.044716827393</v>
      </c>
      <c r="Y6" s="14">
        <v>55.015802917481</v>
      </c>
      <c r="Z6" s="14" t="s">
        <v>77</v>
      </c>
      <c r="AA6" s="14">
        <v>2870.7179434387</v>
      </c>
      <c r="AB6" s="14">
        <v>1214.7600950745</v>
      </c>
      <c r="AC6" s="14" t="s">
        <v>77</v>
      </c>
      <c r="AH6" s="14" t="s">
        <v>77</v>
      </c>
      <c r="AI6" s="14" t="s">
        <v>77</v>
      </c>
      <c r="AJ6" s="14">
        <v>39.439852233887</v>
      </c>
      <c r="AK6" s="14" t="s">
        <v>77</v>
      </c>
      <c r="AL6" s="14">
        <v>37163.964968427</v>
      </c>
    </row>
    <row r="7" ht="15.75" customHeight="1">
      <c r="A7" s="82">
        <v>1985.0</v>
      </c>
      <c r="B7" s="81" t="s">
        <v>56</v>
      </c>
      <c r="C7" s="83">
        <v>29622.562168249</v>
      </c>
      <c r="D7" s="14">
        <v>10957.498900287</v>
      </c>
      <c r="E7" s="83">
        <v>40012.079309082</v>
      </c>
      <c r="F7" s="83">
        <v>23430.796663062</v>
      </c>
      <c r="G7" s="83">
        <v>343438.9805044</v>
      </c>
      <c r="H7" s="83">
        <v>37236.433051282</v>
      </c>
      <c r="I7" s="83">
        <v>6697.3877895203</v>
      </c>
      <c r="J7" s="83" t="s">
        <v>77</v>
      </c>
      <c r="K7" s="83">
        <v>24046.344274878</v>
      </c>
      <c r="L7" s="83">
        <f t="shared" si="1"/>
        <v>195.0389346</v>
      </c>
      <c r="M7" s="14" t="s">
        <v>77</v>
      </c>
      <c r="N7" s="14" t="s">
        <v>77</v>
      </c>
      <c r="O7" s="14" t="s">
        <v>77</v>
      </c>
      <c r="P7" s="14" t="s">
        <v>77</v>
      </c>
      <c r="Q7" s="14" t="s">
        <v>77</v>
      </c>
      <c r="R7" s="14">
        <v>66.034490087891</v>
      </c>
      <c r="S7" s="14">
        <v>0.43017806396484</v>
      </c>
      <c r="T7" s="14" t="s">
        <v>77</v>
      </c>
      <c r="U7" s="14">
        <v>0.086067425537109</v>
      </c>
      <c r="Y7" s="14" t="s">
        <v>77</v>
      </c>
      <c r="Z7" s="14" t="s">
        <v>77</v>
      </c>
      <c r="AA7" s="14">
        <v>43.31562722168</v>
      </c>
      <c r="AB7" s="14">
        <v>19.233795544434</v>
      </c>
      <c r="AC7" s="14" t="s">
        <v>77</v>
      </c>
      <c r="AH7" s="14" t="s">
        <v>77</v>
      </c>
      <c r="AI7" s="14" t="s">
        <v>77</v>
      </c>
      <c r="AJ7" s="14" t="s">
        <v>77</v>
      </c>
      <c r="AK7" s="14" t="s">
        <v>77</v>
      </c>
      <c r="AL7" s="14">
        <v>65.938776306152</v>
      </c>
    </row>
    <row r="8" ht="15.75" customHeight="1">
      <c r="A8" s="82">
        <v>1985.0</v>
      </c>
      <c r="B8" s="87" t="s">
        <v>62</v>
      </c>
      <c r="C8" s="5">
        <f t="shared" ref="C8:L8" si="2">C9+C10</f>
        <v>238074.7503</v>
      </c>
      <c r="D8" s="6">
        <f t="shared" si="2"/>
        <v>69143.61933</v>
      </c>
      <c r="E8" s="5">
        <f t="shared" si="2"/>
        <v>13317.22729</v>
      </c>
      <c r="F8" s="5">
        <f t="shared" si="2"/>
        <v>8009.8403</v>
      </c>
      <c r="G8" s="5">
        <f t="shared" si="2"/>
        <v>16550.08094</v>
      </c>
      <c r="H8" s="5">
        <f t="shared" si="2"/>
        <v>3719079.86</v>
      </c>
      <c r="I8" s="5">
        <f t="shared" si="2"/>
        <v>1128412.956</v>
      </c>
      <c r="J8" s="5" t="str">
        <f t="shared" si="2"/>
        <v>#VALUE!</v>
      </c>
      <c r="K8" s="5">
        <f t="shared" si="2"/>
        <v>163736.2178</v>
      </c>
      <c r="L8" s="5">
        <f t="shared" si="2"/>
        <v>13732.08976</v>
      </c>
    </row>
    <row r="9" ht="15.75" customHeight="1">
      <c r="A9" s="82">
        <v>1985.0</v>
      </c>
      <c r="B9" s="81" t="s">
        <v>57</v>
      </c>
      <c r="C9" s="83">
        <v>233791.71676124</v>
      </c>
      <c r="D9" s="14">
        <v>68861.861245727</v>
      </c>
      <c r="E9" s="83">
        <v>10079.848300299</v>
      </c>
      <c r="F9" s="83">
        <v>7621.5840940857</v>
      </c>
      <c r="G9" s="83">
        <v>14513.611438965</v>
      </c>
      <c r="H9" s="83">
        <v>3683857.8563134</v>
      </c>
      <c r="I9" s="83">
        <v>318632.8852889</v>
      </c>
      <c r="J9" s="83" t="s">
        <v>77</v>
      </c>
      <c r="K9" s="83">
        <v>100235.02255435</v>
      </c>
      <c r="L9" s="83">
        <f t="shared" ref="L9:L37" si="3">SUM(M9:AL9)</f>
        <v>7849.992683</v>
      </c>
      <c r="M9" s="14" t="s">
        <v>77</v>
      </c>
      <c r="N9" s="14" t="s">
        <v>77</v>
      </c>
      <c r="O9" s="14" t="s">
        <v>77</v>
      </c>
      <c r="P9" s="14" t="s">
        <v>77</v>
      </c>
      <c r="Q9" s="14" t="s">
        <v>77</v>
      </c>
      <c r="R9" s="14">
        <v>7444.3826139526</v>
      </c>
      <c r="S9" s="14" t="s">
        <v>77</v>
      </c>
      <c r="T9" s="14" t="s">
        <v>77</v>
      </c>
      <c r="U9" s="14">
        <v>0.34357990722656</v>
      </c>
      <c r="Y9" s="14" t="s">
        <v>77</v>
      </c>
      <c r="Z9" s="14" t="s">
        <v>77</v>
      </c>
      <c r="AA9" s="14" t="s">
        <v>77</v>
      </c>
      <c r="AB9" s="14">
        <v>1.5908748840332</v>
      </c>
      <c r="AC9" s="14" t="s">
        <v>77</v>
      </c>
      <c r="AH9" s="14" t="s">
        <v>77</v>
      </c>
      <c r="AI9" s="14" t="s">
        <v>77</v>
      </c>
      <c r="AJ9" s="14" t="s">
        <v>77</v>
      </c>
      <c r="AK9" s="14" t="s">
        <v>77</v>
      </c>
      <c r="AL9" s="14">
        <v>403.67561425781</v>
      </c>
    </row>
    <row r="10" ht="15.75" customHeight="1">
      <c r="A10" s="82">
        <v>1985.0</v>
      </c>
      <c r="B10" s="81" t="s">
        <v>58</v>
      </c>
      <c r="C10" s="83">
        <v>4283.0335106689</v>
      </c>
      <c r="D10" s="14">
        <v>281.75808622437</v>
      </c>
      <c r="E10" s="83">
        <v>3237.3789908691</v>
      </c>
      <c r="F10" s="83">
        <v>388.25620634155</v>
      </c>
      <c r="G10" s="83">
        <v>2036.469503949</v>
      </c>
      <c r="H10" s="83">
        <v>35222.003454407</v>
      </c>
      <c r="I10" s="83">
        <v>809780.07061717</v>
      </c>
      <c r="J10" s="83" t="s">
        <v>77</v>
      </c>
      <c r="K10" s="83">
        <v>63501.195291827</v>
      </c>
      <c r="L10" s="83">
        <f t="shared" si="3"/>
        <v>5882.097082</v>
      </c>
      <c r="M10" s="14" t="s">
        <v>77</v>
      </c>
      <c r="N10" s="14" t="s">
        <v>77</v>
      </c>
      <c r="O10" s="14" t="s">
        <v>77</v>
      </c>
      <c r="P10" s="14" t="s">
        <v>77</v>
      </c>
      <c r="Q10" s="14" t="s">
        <v>77</v>
      </c>
      <c r="R10" s="14">
        <v>5521.7438858094</v>
      </c>
      <c r="S10" s="14" t="s">
        <v>77</v>
      </c>
      <c r="T10" s="14" t="s">
        <v>77</v>
      </c>
      <c r="U10" s="14">
        <v>0.083043383789063</v>
      </c>
      <c r="Y10" s="14" t="s">
        <v>77</v>
      </c>
      <c r="Z10" s="14" t="s">
        <v>77</v>
      </c>
      <c r="AA10" s="14" t="s">
        <v>77</v>
      </c>
      <c r="AB10" s="14">
        <v>0.82992174072266</v>
      </c>
      <c r="AC10" s="14" t="s">
        <v>77</v>
      </c>
      <c r="AH10" s="14" t="s">
        <v>77</v>
      </c>
      <c r="AI10" s="14" t="s">
        <v>77</v>
      </c>
      <c r="AJ10" s="14" t="s">
        <v>77</v>
      </c>
      <c r="AK10" s="14" t="s">
        <v>77</v>
      </c>
      <c r="AL10" s="14">
        <v>359.44023057251</v>
      </c>
    </row>
    <row r="11" ht="15.75" customHeight="1">
      <c r="A11" s="82">
        <v>1985.0</v>
      </c>
      <c r="B11" s="81" t="s">
        <v>60</v>
      </c>
      <c r="C11" s="83">
        <v>4896199.9227766</v>
      </c>
      <c r="D11" s="14">
        <v>1171056.9272399</v>
      </c>
      <c r="E11" s="83">
        <v>650071.80236093</v>
      </c>
      <c r="F11" s="83">
        <v>1930398.6037316</v>
      </c>
      <c r="G11" s="83">
        <v>225113.38422596</v>
      </c>
      <c r="H11" s="83">
        <v>3615675.672043</v>
      </c>
      <c r="I11" s="83">
        <v>1103003.5963613</v>
      </c>
      <c r="J11" s="83" t="s">
        <v>77</v>
      </c>
      <c r="K11" s="83">
        <v>8609340.823057</v>
      </c>
      <c r="L11" s="83">
        <f t="shared" si="3"/>
        <v>96767.9939</v>
      </c>
      <c r="M11" s="14">
        <v>1943.8012818787</v>
      </c>
      <c r="N11" s="14" t="s">
        <v>77</v>
      </c>
      <c r="O11" s="14" t="s">
        <v>77</v>
      </c>
      <c r="P11" s="14" t="s">
        <v>77</v>
      </c>
      <c r="Q11" s="14">
        <v>1.7862473693848</v>
      </c>
      <c r="R11" s="14">
        <v>56391.440836029</v>
      </c>
      <c r="S11" s="14">
        <v>1.6162308898926</v>
      </c>
      <c r="T11" s="14" t="s">
        <v>77</v>
      </c>
      <c r="U11" s="14">
        <v>12.733522717285</v>
      </c>
      <c r="Y11" s="14">
        <v>4.9105706848145</v>
      </c>
      <c r="Z11" s="14" t="s">
        <v>77</v>
      </c>
      <c r="AA11" s="14">
        <v>986.46983688965</v>
      </c>
      <c r="AB11" s="14">
        <v>776.13617723389</v>
      </c>
      <c r="AC11" s="14" t="s">
        <v>77</v>
      </c>
      <c r="AH11" s="14" t="s">
        <v>77</v>
      </c>
      <c r="AI11" s="14" t="s">
        <v>77</v>
      </c>
      <c r="AJ11" s="14">
        <v>0.76052543334961</v>
      </c>
      <c r="AK11" s="14" t="s">
        <v>77</v>
      </c>
      <c r="AL11" s="14">
        <v>36648.338673566</v>
      </c>
    </row>
    <row r="12" ht="15.75" customHeight="1">
      <c r="A12" s="82">
        <v>1985.0</v>
      </c>
      <c r="B12" s="81" t="s">
        <v>52</v>
      </c>
      <c r="C12" s="83">
        <v>2.4748194492475E7</v>
      </c>
      <c r="D12" s="14">
        <v>404439.37934474</v>
      </c>
      <c r="E12" s="83">
        <v>980917.70159404</v>
      </c>
      <c r="F12" s="83">
        <v>1295763.0108409</v>
      </c>
      <c r="G12" s="83">
        <v>721394.33885808</v>
      </c>
      <c r="H12" s="83">
        <v>4187180.2134543</v>
      </c>
      <c r="I12" s="83">
        <v>1618112.9598903</v>
      </c>
      <c r="J12" s="83" t="s">
        <v>77</v>
      </c>
      <c r="K12" s="83">
        <v>2910078.3662103</v>
      </c>
      <c r="L12" s="83">
        <f t="shared" si="3"/>
        <v>135742.3267</v>
      </c>
      <c r="M12" s="14" t="s">
        <v>77</v>
      </c>
      <c r="N12" s="14" t="s">
        <v>77</v>
      </c>
      <c r="O12" s="14" t="s">
        <v>77</v>
      </c>
      <c r="P12" s="14" t="s">
        <v>77</v>
      </c>
      <c r="Q12" s="14" t="s">
        <v>77</v>
      </c>
      <c r="R12" s="14">
        <v>80844.798397254</v>
      </c>
      <c r="S12" s="14">
        <v>1.0955579040527</v>
      </c>
      <c r="T12" s="14" t="s">
        <v>77</v>
      </c>
      <c r="U12" s="14">
        <v>10.349404425049</v>
      </c>
      <c r="Y12" s="14" t="s">
        <v>77</v>
      </c>
      <c r="Z12" s="14" t="s">
        <v>77</v>
      </c>
      <c r="AA12" s="14">
        <v>255.73134821167</v>
      </c>
      <c r="AB12" s="14">
        <v>1617.0579689819</v>
      </c>
      <c r="AC12" s="14" t="s">
        <v>77</v>
      </c>
      <c r="AH12" s="14" t="s">
        <v>77</v>
      </c>
      <c r="AI12" s="14" t="s">
        <v>77</v>
      </c>
      <c r="AJ12" s="14" t="s">
        <v>77</v>
      </c>
      <c r="AK12" s="14" t="s">
        <v>77</v>
      </c>
      <c r="AL12" s="14">
        <v>53013.294055768</v>
      </c>
    </row>
    <row r="13" ht="15.75" customHeight="1">
      <c r="B13" s="87" t="s">
        <v>31</v>
      </c>
      <c r="C13" s="5">
        <f t="shared" ref="C13:K13" si="4">SUM(C16:C37)</f>
        <v>54564.29832</v>
      </c>
      <c r="D13" s="6">
        <f t="shared" si="4"/>
        <v>41717.31036</v>
      </c>
      <c r="E13" s="5">
        <f t="shared" si="4"/>
        <v>31572.33643</v>
      </c>
      <c r="F13" s="5">
        <f t="shared" si="4"/>
        <v>41459.17322</v>
      </c>
      <c r="G13" s="5">
        <f t="shared" si="4"/>
        <v>537.1322658</v>
      </c>
      <c r="H13" s="5">
        <f t="shared" si="4"/>
        <v>7388.633919</v>
      </c>
      <c r="I13" s="5">
        <f t="shared" si="4"/>
        <v>209.5368407</v>
      </c>
      <c r="J13" s="5">
        <f t="shared" si="4"/>
        <v>0</v>
      </c>
      <c r="K13" s="5">
        <f t="shared" si="4"/>
        <v>41053.27986</v>
      </c>
      <c r="L13" s="83">
        <f t="shared" si="3"/>
        <v>1589927.576</v>
      </c>
      <c r="M13" s="6">
        <f t="shared" ref="M13:U13" si="5">SUM(M16:M37)</f>
        <v>91576.00193</v>
      </c>
      <c r="N13" s="6">
        <f t="shared" si="5"/>
        <v>0</v>
      </c>
      <c r="O13" s="6">
        <f t="shared" si="5"/>
        <v>0</v>
      </c>
      <c r="P13" s="6">
        <f t="shared" si="5"/>
        <v>0</v>
      </c>
      <c r="Q13" s="6">
        <f t="shared" si="5"/>
        <v>64070.85055</v>
      </c>
      <c r="R13" s="6">
        <f t="shared" si="5"/>
        <v>304355.4446</v>
      </c>
      <c r="S13" s="6">
        <f t="shared" si="5"/>
        <v>77.32971059</v>
      </c>
      <c r="T13" s="6">
        <f t="shared" si="5"/>
        <v>0</v>
      </c>
      <c r="U13" s="6">
        <f t="shared" si="5"/>
        <v>6601.387018</v>
      </c>
      <c r="Y13" s="6">
        <f t="shared" ref="Y13:AC13" si="6">SUM(Y16:Y37)</f>
        <v>1213.70379</v>
      </c>
      <c r="Z13" s="6">
        <f t="shared" si="6"/>
        <v>0</v>
      </c>
      <c r="AA13" s="6">
        <f t="shared" si="6"/>
        <v>61263.50278</v>
      </c>
      <c r="AB13" s="6">
        <f t="shared" si="6"/>
        <v>1065.554291</v>
      </c>
      <c r="AC13" s="6">
        <f t="shared" si="6"/>
        <v>0</v>
      </c>
      <c r="AH13" s="6">
        <f t="shared" ref="AH13:AL13" si="7">SUM(AH16:AH37)</f>
        <v>0</v>
      </c>
      <c r="AI13" s="6">
        <f t="shared" si="7"/>
        <v>14.58731304</v>
      </c>
      <c r="AJ13" s="6">
        <f t="shared" si="7"/>
        <v>34175.42335</v>
      </c>
      <c r="AK13" s="6">
        <f t="shared" si="7"/>
        <v>0</v>
      </c>
      <c r="AL13" s="6">
        <f t="shared" si="7"/>
        <v>1025513.791</v>
      </c>
    </row>
    <row r="14" ht="15.75" hidden="1" customHeight="1">
      <c r="B14" s="87"/>
      <c r="L14" s="14">
        <f t="shared" si="3"/>
        <v>0</v>
      </c>
    </row>
    <row r="15" ht="15.75" hidden="1" customHeight="1">
      <c r="B15" s="87"/>
      <c r="L15" s="14">
        <f t="shared" si="3"/>
        <v>0</v>
      </c>
    </row>
    <row r="16" ht="15.75" hidden="1" customHeight="1">
      <c r="A16" s="82">
        <v>1985.0</v>
      </c>
      <c r="B16" s="81" t="s">
        <v>61</v>
      </c>
      <c r="C16" s="14">
        <v>306.19951082764</v>
      </c>
      <c r="D16" s="14">
        <v>357.54226670532</v>
      </c>
      <c r="E16" s="14">
        <v>41.430357757568</v>
      </c>
      <c r="F16" s="14">
        <v>1536.1573718933</v>
      </c>
      <c r="G16" s="14" t="s">
        <v>77</v>
      </c>
      <c r="H16" s="14" t="s">
        <v>77</v>
      </c>
      <c r="I16" s="14" t="s">
        <v>77</v>
      </c>
      <c r="J16" s="14" t="s">
        <v>77</v>
      </c>
      <c r="K16" s="14">
        <v>637.89745943604</v>
      </c>
      <c r="L16" s="14">
        <f t="shared" si="3"/>
        <v>85433.10549</v>
      </c>
      <c r="M16" s="14">
        <v>78805.298009576</v>
      </c>
      <c r="N16" s="14" t="s">
        <v>77</v>
      </c>
      <c r="O16" s="14" t="s">
        <v>77</v>
      </c>
      <c r="P16" s="14" t="s">
        <v>77</v>
      </c>
      <c r="Q16" s="14">
        <v>69.309059106445</v>
      </c>
      <c r="R16" s="14">
        <v>30.714671801758</v>
      </c>
      <c r="S16" s="14" t="s">
        <v>77</v>
      </c>
      <c r="T16" s="14" t="s">
        <v>77</v>
      </c>
      <c r="U16" s="14">
        <v>70.823418670654</v>
      </c>
      <c r="Y16" s="14">
        <v>14.200304937744</v>
      </c>
      <c r="Z16" s="14" t="s">
        <v>77</v>
      </c>
      <c r="AA16" s="14" t="s">
        <v>77</v>
      </c>
      <c r="AB16" s="14" t="s">
        <v>77</v>
      </c>
      <c r="AC16" s="14" t="s">
        <v>77</v>
      </c>
      <c r="AH16" s="14" t="s">
        <v>77</v>
      </c>
      <c r="AI16" s="14" t="s">
        <v>77</v>
      </c>
      <c r="AJ16" s="14" t="s">
        <v>77</v>
      </c>
      <c r="AK16" s="14" t="s">
        <v>77</v>
      </c>
      <c r="AL16" s="14">
        <v>6442.7600242798</v>
      </c>
    </row>
    <row r="17" ht="15.75" hidden="1" customHeight="1">
      <c r="A17" s="82">
        <v>1985.0</v>
      </c>
      <c r="B17" s="81" t="s">
        <v>62</v>
      </c>
      <c r="C17" s="14" t="s">
        <v>77</v>
      </c>
      <c r="D17" s="14" t="s">
        <v>77</v>
      </c>
      <c r="E17" s="14" t="s">
        <v>77</v>
      </c>
      <c r="F17" s="14" t="s">
        <v>77</v>
      </c>
      <c r="G17" s="14" t="s">
        <v>77</v>
      </c>
      <c r="H17" s="14" t="s">
        <v>77</v>
      </c>
      <c r="I17" s="14" t="s">
        <v>77</v>
      </c>
      <c r="J17" s="14" t="s">
        <v>77</v>
      </c>
      <c r="K17" s="14" t="s">
        <v>77</v>
      </c>
      <c r="L17" s="14">
        <f t="shared" si="3"/>
        <v>0</v>
      </c>
      <c r="M17" s="14" t="s">
        <v>77</v>
      </c>
      <c r="N17" s="14" t="s">
        <v>77</v>
      </c>
      <c r="O17" s="14" t="s">
        <v>77</v>
      </c>
      <c r="P17" s="14" t="s">
        <v>77</v>
      </c>
      <c r="Q17" s="14" t="s">
        <v>77</v>
      </c>
      <c r="R17" s="14" t="s">
        <v>77</v>
      </c>
      <c r="S17" s="14" t="s">
        <v>77</v>
      </c>
      <c r="T17" s="14" t="s">
        <v>77</v>
      </c>
      <c r="U17" s="14" t="s">
        <v>77</v>
      </c>
      <c r="Y17" s="14" t="s">
        <v>77</v>
      </c>
      <c r="Z17" s="14" t="s">
        <v>77</v>
      </c>
      <c r="AA17" s="14" t="s">
        <v>77</v>
      </c>
      <c r="AB17" s="14" t="s">
        <v>77</v>
      </c>
      <c r="AC17" s="14" t="s">
        <v>77</v>
      </c>
      <c r="AH17" s="14" t="s">
        <v>77</v>
      </c>
      <c r="AI17" s="14" t="s">
        <v>77</v>
      </c>
      <c r="AJ17" s="14" t="s">
        <v>77</v>
      </c>
      <c r="AK17" s="14" t="s">
        <v>77</v>
      </c>
      <c r="AL17" s="14" t="s">
        <v>77</v>
      </c>
    </row>
    <row r="18" ht="15.75" hidden="1" customHeight="1">
      <c r="A18" s="82">
        <v>1985.0</v>
      </c>
      <c r="B18" s="81" t="s">
        <v>63</v>
      </c>
      <c r="C18" s="14" t="s">
        <v>77</v>
      </c>
      <c r="D18" s="14" t="s">
        <v>77</v>
      </c>
      <c r="E18" s="14" t="s">
        <v>77</v>
      </c>
      <c r="F18" s="14" t="s">
        <v>77</v>
      </c>
      <c r="G18" s="14" t="s">
        <v>77</v>
      </c>
      <c r="H18" s="14" t="s">
        <v>77</v>
      </c>
      <c r="I18" s="14" t="s">
        <v>77</v>
      </c>
      <c r="J18" s="14" t="s">
        <v>77</v>
      </c>
      <c r="K18" s="14" t="s">
        <v>77</v>
      </c>
      <c r="L18" s="14">
        <f t="shared" si="3"/>
        <v>0</v>
      </c>
      <c r="M18" s="14" t="s">
        <v>77</v>
      </c>
      <c r="N18" s="14" t="s">
        <v>77</v>
      </c>
      <c r="O18" s="14" t="s">
        <v>77</v>
      </c>
      <c r="P18" s="14" t="s">
        <v>77</v>
      </c>
      <c r="Q18" s="14" t="s">
        <v>77</v>
      </c>
      <c r="R18" s="14" t="s">
        <v>77</v>
      </c>
      <c r="S18" s="14" t="s">
        <v>77</v>
      </c>
      <c r="T18" s="14" t="s">
        <v>77</v>
      </c>
      <c r="U18" s="14" t="s">
        <v>77</v>
      </c>
      <c r="Y18" s="14" t="s">
        <v>77</v>
      </c>
      <c r="Z18" s="14" t="s">
        <v>77</v>
      </c>
      <c r="AA18" s="14" t="s">
        <v>77</v>
      </c>
      <c r="AB18" s="14" t="s">
        <v>77</v>
      </c>
      <c r="AC18" s="14" t="s">
        <v>77</v>
      </c>
      <c r="AH18" s="14" t="s">
        <v>77</v>
      </c>
      <c r="AI18" s="14" t="s">
        <v>77</v>
      </c>
      <c r="AJ18" s="14" t="s">
        <v>77</v>
      </c>
      <c r="AK18" s="14" t="s">
        <v>77</v>
      </c>
      <c r="AL18" s="14" t="s">
        <v>77</v>
      </c>
    </row>
    <row r="19" ht="15.75" hidden="1" customHeight="1">
      <c r="A19" s="82">
        <v>1985.0</v>
      </c>
      <c r="B19" s="81" t="s">
        <v>21</v>
      </c>
      <c r="C19" s="14" t="s">
        <v>77</v>
      </c>
      <c r="D19" s="14" t="s">
        <v>77</v>
      </c>
      <c r="E19" s="14" t="s">
        <v>77</v>
      </c>
      <c r="F19" s="14" t="s">
        <v>77</v>
      </c>
      <c r="G19" s="14" t="s">
        <v>77</v>
      </c>
      <c r="H19" s="14" t="s">
        <v>77</v>
      </c>
      <c r="I19" s="14" t="s">
        <v>77</v>
      </c>
      <c r="J19" s="14" t="s">
        <v>77</v>
      </c>
      <c r="K19" s="14" t="s">
        <v>77</v>
      </c>
      <c r="L19" s="14">
        <f t="shared" si="3"/>
        <v>0</v>
      </c>
      <c r="M19" s="14" t="s">
        <v>77</v>
      </c>
      <c r="N19" s="14" t="s">
        <v>77</v>
      </c>
      <c r="O19" s="14" t="s">
        <v>77</v>
      </c>
      <c r="P19" s="14" t="s">
        <v>77</v>
      </c>
      <c r="Q19" s="14" t="s">
        <v>77</v>
      </c>
      <c r="R19" s="14" t="s">
        <v>77</v>
      </c>
      <c r="S19" s="14" t="s">
        <v>77</v>
      </c>
      <c r="T19" s="14" t="s">
        <v>77</v>
      </c>
      <c r="U19" s="14" t="s">
        <v>77</v>
      </c>
      <c r="Y19" s="14" t="s">
        <v>77</v>
      </c>
      <c r="Z19" s="14" t="s">
        <v>77</v>
      </c>
      <c r="AA19" s="14" t="s">
        <v>77</v>
      </c>
      <c r="AB19" s="14" t="s">
        <v>77</v>
      </c>
      <c r="AC19" s="14" t="s">
        <v>77</v>
      </c>
      <c r="AH19" s="14" t="s">
        <v>77</v>
      </c>
      <c r="AI19" s="14" t="s">
        <v>77</v>
      </c>
      <c r="AJ19" s="14" t="s">
        <v>77</v>
      </c>
      <c r="AK19" s="14" t="s">
        <v>77</v>
      </c>
      <c r="AL19" s="14" t="s">
        <v>77</v>
      </c>
    </row>
    <row r="20" ht="15.75" hidden="1" customHeight="1">
      <c r="A20" s="82">
        <v>1985.0</v>
      </c>
      <c r="B20" s="81" t="s">
        <v>64</v>
      </c>
      <c r="C20" s="14">
        <v>8.3931282592773</v>
      </c>
      <c r="D20" s="14">
        <v>27.951086395264</v>
      </c>
      <c r="E20" s="14">
        <v>1245.6445475342</v>
      </c>
      <c r="F20" s="14">
        <v>113.41277747192</v>
      </c>
      <c r="G20" s="14" t="s">
        <v>77</v>
      </c>
      <c r="H20" s="14" t="s">
        <v>77</v>
      </c>
      <c r="I20" s="14" t="s">
        <v>77</v>
      </c>
      <c r="J20" s="14" t="s">
        <v>77</v>
      </c>
      <c r="K20" s="14">
        <v>0.98226637573242</v>
      </c>
      <c r="L20" s="14">
        <f t="shared" si="3"/>
        <v>62370.16771</v>
      </c>
      <c r="M20" s="14">
        <v>395.72673418579</v>
      </c>
      <c r="N20" s="14" t="s">
        <v>77</v>
      </c>
      <c r="O20" s="14" t="s">
        <v>77</v>
      </c>
      <c r="P20" s="14" t="s">
        <v>77</v>
      </c>
      <c r="Q20" s="14">
        <v>61054.762810486</v>
      </c>
      <c r="R20" s="14" t="s">
        <v>77</v>
      </c>
      <c r="S20" s="14" t="s">
        <v>77</v>
      </c>
      <c r="T20" s="14" t="s">
        <v>77</v>
      </c>
      <c r="U20" s="14">
        <v>0.80376389160156</v>
      </c>
      <c r="Y20" s="14">
        <v>7.9476601135254</v>
      </c>
      <c r="Z20" s="14" t="s">
        <v>77</v>
      </c>
      <c r="AA20" s="14" t="s">
        <v>77</v>
      </c>
      <c r="AB20" s="14" t="s">
        <v>77</v>
      </c>
      <c r="AC20" s="14" t="s">
        <v>77</v>
      </c>
      <c r="AH20" s="14" t="s">
        <v>77</v>
      </c>
      <c r="AI20" s="14" t="s">
        <v>77</v>
      </c>
      <c r="AJ20" s="14" t="s">
        <v>77</v>
      </c>
      <c r="AK20" s="14" t="s">
        <v>77</v>
      </c>
      <c r="AL20" s="14">
        <v>910.92673995361</v>
      </c>
    </row>
    <row r="21" ht="15.75" hidden="1" customHeight="1">
      <c r="A21" s="82">
        <v>1985.0</v>
      </c>
      <c r="B21" s="81" t="s">
        <v>65</v>
      </c>
      <c r="C21" s="14">
        <v>2727.2912579529</v>
      </c>
      <c r="D21" s="14">
        <v>1283.9443811707</v>
      </c>
      <c r="E21" s="14">
        <v>168.27292617187</v>
      </c>
      <c r="F21" s="14">
        <v>636.83931484375</v>
      </c>
      <c r="G21" s="14">
        <v>8.6294963867188</v>
      </c>
      <c r="H21" s="14">
        <v>364.50515925903</v>
      </c>
      <c r="I21" s="14">
        <v>27.69199107666</v>
      </c>
      <c r="J21" s="14" t="s">
        <v>77</v>
      </c>
      <c r="K21" s="14">
        <v>2779.5284360718</v>
      </c>
      <c r="L21" s="14">
        <f t="shared" si="3"/>
        <v>304383.5075</v>
      </c>
      <c r="M21" s="14">
        <v>4.3755710693359</v>
      </c>
      <c r="N21" s="14" t="s">
        <v>77</v>
      </c>
      <c r="O21" s="14" t="s">
        <v>77</v>
      </c>
      <c r="P21" s="14" t="s">
        <v>77</v>
      </c>
      <c r="Q21" s="14" t="s">
        <v>77</v>
      </c>
      <c r="R21" s="14">
        <v>304197.3713355</v>
      </c>
      <c r="S21" s="14" t="s">
        <v>77</v>
      </c>
      <c r="T21" s="14" t="s">
        <v>77</v>
      </c>
      <c r="U21" s="14">
        <v>0.082761181640625</v>
      </c>
      <c r="Y21" s="14" t="s">
        <v>77</v>
      </c>
      <c r="Z21" s="14" t="s">
        <v>77</v>
      </c>
      <c r="AA21" s="14">
        <v>1.112934967041</v>
      </c>
      <c r="AB21" s="14">
        <v>42.374251617432</v>
      </c>
      <c r="AC21" s="14" t="s">
        <v>77</v>
      </c>
      <c r="AH21" s="14" t="s">
        <v>77</v>
      </c>
      <c r="AI21" s="14" t="s">
        <v>77</v>
      </c>
      <c r="AJ21" s="14" t="s">
        <v>77</v>
      </c>
      <c r="AK21" s="14" t="s">
        <v>77</v>
      </c>
      <c r="AL21" s="14">
        <v>138.19065088501</v>
      </c>
    </row>
    <row r="22" ht="15.75" hidden="1" customHeight="1">
      <c r="A22" s="82">
        <v>1985.0</v>
      </c>
      <c r="B22" s="81" t="s">
        <v>66</v>
      </c>
      <c r="C22" s="14">
        <v>1.9776513305664</v>
      </c>
      <c r="D22" s="14">
        <v>1.2106197265625</v>
      </c>
      <c r="E22" s="14">
        <v>6.3556592590332</v>
      </c>
      <c r="F22" s="14">
        <v>1.7457490783691</v>
      </c>
      <c r="G22" s="14">
        <v>3.4993496704102</v>
      </c>
      <c r="H22" s="14">
        <v>1.0285165527344</v>
      </c>
      <c r="I22" s="14">
        <v>1.0935747436523</v>
      </c>
      <c r="J22" s="14" t="s">
        <v>77</v>
      </c>
      <c r="K22" s="14">
        <v>10.620119726562</v>
      </c>
      <c r="L22" s="14">
        <f t="shared" si="3"/>
        <v>75.75272722</v>
      </c>
      <c r="M22" s="14" t="s">
        <v>77</v>
      </c>
      <c r="N22" s="14" t="s">
        <v>77</v>
      </c>
      <c r="O22" s="14" t="s">
        <v>77</v>
      </c>
      <c r="P22" s="14" t="s">
        <v>77</v>
      </c>
      <c r="Q22" s="14" t="s">
        <v>77</v>
      </c>
      <c r="R22" s="14">
        <v>0.41979450073242</v>
      </c>
      <c r="S22" s="14">
        <v>74.216838201904</v>
      </c>
      <c r="T22" s="14" t="s">
        <v>77</v>
      </c>
      <c r="U22" s="14" t="s">
        <v>77</v>
      </c>
      <c r="Y22" s="14">
        <v>0.089314642333984</v>
      </c>
      <c r="Z22" s="14" t="s">
        <v>77</v>
      </c>
      <c r="AA22" s="14">
        <v>0.16841737060547</v>
      </c>
      <c r="AB22" s="14" t="s">
        <v>77</v>
      </c>
      <c r="AC22" s="14" t="s">
        <v>77</v>
      </c>
      <c r="AH22" s="14" t="s">
        <v>77</v>
      </c>
      <c r="AI22" s="14" t="s">
        <v>77</v>
      </c>
      <c r="AJ22" s="14" t="s">
        <v>77</v>
      </c>
      <c r="AK22" s="14" t="s">
        <v>77</v>
      </c>
      <c r="AL22" s="14">
        <v>0.8583625</v>
      </c>
    </row>
    <row r="23" ht="15.75" hidden="1" customHeight="1">
      <c r="A23" s="82">
        <v>1985.0</v>
      </c>
      <c r="B23" s="81" t="s">
        <v>68</v>
      </c>
      <c r="C23" s="14" t="s">
        <v>77</v>
      </c>
      <c r="D23" s="14" t="s">
        <v>77</v>
      </c>
      <c r="E23" s="14" t="s">
        <v>77</v>
      </c>
      <c r="F23" s="14" t="s">
        <v>77</v>
      </c>
      <c r="G23" s="14" t="s">
        <v>77</v>
      </c>
      <c r="H23" s="14" t="s">
        <v>77</v>
      </c>
      <c r="I23" s="14" t="s">
        <v>77</v>
      </c>
      <c r="J23" s="14" t="s">
        <v>77</v>
      </c>
      <c r="K23" s="14" t="s">
        <v>77</v>
      </c>
      <c r="L23" s="14">
        <f t="shared" si="3"/>
        <v>0</v>
      </c>
      <c r="M23" s="14" t="s">
        <v>77</v>
      </c>
      <c r="N23" s="14" t="s">
        <v>77</v>
      </c>
      <c r="O23" s="14" t="s">
        <v>77</v>
      </c>
      <c r="P23" s="14" t="s">
        <v>77</v>
      </c>
      <c r="Q23" s="14" t="s">
        <v>77</v>
      </c>
      <c r="R23" s="14" t="s">
        <v>77</v>
      </c>
      <c r="S23" s="14" t="s">
        <v>77</v>
      </c>
      <c r="T23" s="14" t="s">
        <v>77</v>
      </c>
      <c r="U23" s="14" t="s">
        <v>77</v>
      </c>
      <c r="Y23" s="14" t="s">
        <v>77</v>
      </c>
      <c r="Z23" s="14" t="s">
        <v>77</v>
      </c>
      <c r="AA23" s="14" t="s">
        <v>77</v>
      </c>
      <c r="AB23" s="14" t="s">
        <v>77</v>
      </c>
      <c r="AC23" s="14" t="s">
        <v>77</v>
      </c>
      <c r="AH23" s="14" t="s">
        <v>77</v>
      </c>
      <c r="AI23" s="14" t="s">
        <v>77</v>
      </c>
      <c r="AJ23" s="14" t="s">
        <v>77</v>
      </c>
      <c r="AK23" s="14" t="s">
        <v>77</v>
      </c>
      <c r="AL23" s="14" t="s">
        <v>77</v>
      </c>
    </row>
    <row r="24" ht="15.75" hidden="1" customHeight="1">
      <c r="A24" s="82">
        <v>1985.0</v>
      </c>
      <c r="B24" s="81" t="s">
        <v>69</v>
      </c>
      <c r="C24" s="14">
        <v>17.135784692383</v>
      </c>
      <c r="D24" s="14">
        <v>6.1694493652344</v>
      </c>
      <c r="E24" s="14">
        <v>15.76759911499</v>
      </c>
      <c r="F24" s="14">
        <v>18.21709185791</v>
      </c>
      <c r="G24" s="14">
        <v>0.93146700439453</v>
      </c>
      <c r="H24" s="14">
        <v>5.3424885375977</v>
      </c>
      <c r="I24" s="14">
        <v>0.50488153076172</v>
      </c>
      <c r="J24" s="14" t="s">
        <v>77</v>
      </c>
      <c r="K24" s="14">
        <v>8.9157261352539</v>
      </c>
      <c r="L24" s="14">
        <f t="shared" si="3"/>
        <v>6551.095769</v>
      </c>
      <c r="M24" s="14">
        <v>13.931154608154</v>
      </c>
      <c r="N24" s="14" t="s">
        <v>77</v>
      </c>
      <c r="O24" s="14" t="s">
        <v>77</v>
      </c>
      <c r="P24" s="14" t="s">
        <v>77</v>
      </c>
      <c r="Q24" s="14">
        <v>1.6074542175293</v>
      </c>
      <c r="R24" s="14">
        <v>1.1661789428711</v>
      </c>
      <c r="S24" s="14" t="s">
        <v>77</v>
      </c>
      <c r="T24" s="14" t="s">
        <v>77</v>
      </c>
      <c r="U24" s="14">
        <v>6516.5005418639</v>
      </c>
      <c r="Y24" s="14" t="s">
        <v>77</v>
      </c>
      <c r="Z24" s="14" t="s">
        <v>77</v>
      </c>
      <c r="AA24" s="14">
        <v>0.59658809204102</v>
      </c>
      <c r="AB24" s="14" t="s">
        <v>77</v>
      </c>
      <c r="AC24" s="14" t="s">
        <v>77</v>
      </c>
      <c r="AH24" s="14" t="s">
        <v>77</v>
      </c>
      <c r="AI24" s="14" t="s">
        <v>77</v>
      </c>
      <c r="AJ24" s="14" t="s">
        <v>77</v>
      </c>
      <c r="AK24" s="14" t="s">
        <v>77</v>
      </c>
      <c r="AL24" s="14">
        <v>17.293851043701</v>
      </c>
    </row>
    <row r="25" ht="15.75" hidden="1" customHeight="1">
      <c r="B25" s="87"/>
      <c r="L25" s="14">
        <f t="shared" si="3"/>
        <v>0</v>
      </c>
    </row>
    <row r="26" ht="15.75" hidden="1" customHeight="1">
      <c r="B26" s="87"/>
      <c r="L26" s="14">
        <f t="shared" si="3"/>
        <v>0</v>
      </c>
    </row>
    <row r="27" ht="15.75" hidden="1" customHeight="1">
      <c r="B27" s="87"/>
      <c r="L27" s="14">
        <f t="shared" si="3"/>
        <v>0</v>
      </c>
    </row>
    <row r="28" ht="15.75" hidden="1" customHeight="1">
      <c r="A28" s="82">
        <v>1985.0</v>
      </c>
      <c r="B28" s="81" t="s">
        <v>70</v>
      </c>
      <c r="C28" s="14">
        <v>0.44644481201172</v>
      </c>
      <c r="D28" s="14">
        <v>4.0176643981934</v>
      </c>
      <c r="E28" s="14">
        <v>40.181766033936</v>
      </c>
      <c r="F28" s="14">
        <v>2.5896733337402</v>
      </c>
      <c r="G28" s="14" t="s">
        <v>77</v>
      </c>
      <c r="H28" s="14" t="s">
        <v>77</v>
      </c>
      <c r="I28" s="14" t="s">
        <v>77</v>
      </c>
      <c r="J28" s="14" t="s">
        <v>77</v>
      </c>
      <c r="K28" s="14">
        <v>4.6426349426269</v>
      </c>
      <c r="L28" s="14">
        <f t="shared" si="3"/>
        <v>1681.510769</v>
      </c>
      <c r="M28" s="14">
        <v>3.0359594604492</v>
      </c>
      <c r="N28" s="14" t="s">
        <v>77</v>
      </c>
      <c r="O28" s="14" t="s">
        <v>77</v>
      </c>
      <c r="P28" s="14" t="s">
        <v>77</v>
      </c>
      <c r="Q28" s="14">
        <v>374.6912645874</v>
      </c>
      <c r="R28" s="14" t="s">
        <v>77</v>
      </c>
      <c r="S28" s="14">
        <v>0.26783817138672</v>
      </c>
      <c r="T28" s="14" t="s">
        <v>77</v>
      </c>
      <c r="U28" s="14" t="s">
        <v>77</v>
      </c>
      <c r="Y28" s="14">
        <v>1035.7092937744</v>
      </c>
      <c r="Z28" s="14" t="s">
        <v>77</v>
      </c>
      <c r="AA28" s="14" t="s">
        <v>77</v>
      </c>
      <c r="AB28" s="14" t="s">
        <v>77</v>
      </c>
      <c r="AC28" s="14" t="s">
        <v>77</v>
      </c>
      <c r="AH28" s="14" t="s">
        <v>77</v>
      </c>
      <c r="AI28" s="14" t="s">
        <v>77</v>
      </c>
      <c r="AJ28" s="14" t="s">
        <v>77</v>
      </c>
      <c r="AK28" s="14" t="s">
        <v>77</v>
      </c>
      <c r="AL28" s="14">
        <v>267.8064130127</v>
      </c>
    </row>
    <row r="29" ht="15.75" hidden="1" customHeight="1">
      <c r="A29" s="82">
        <v>1985.0</v>
      </c>
      <c r="B29" s="81" t="s">
        <v>71</v>
      </c>
      <c r="C29" s="14" t="s">
        <v>77</v>
      </c>
      <c r="D29" s="14" t="s">
        <v>77</v>
      </c>
      <c r="E29" s="14" t="s">
        <v>77</v>
      </c>
      <c r="F29" s="14" t="s">
        <v>77</v>
      </c>
      <c r="G29" s="14" t="s">
        <v>77</v>
      </c>
      <c r="H29" s="14" t="s">
        <v>77</v>
      </c>
      <c r="I29" s="14" t="s">
        <v>77</v>
      </c>
      <c r="J29" s="14" t="s">
        <v>77</v>
      </c>
      <c r="K29" s="14" t="s">
        <v>77</v>
      </c>
      <c r="L29" s="14">
        <f t="shared" si="3"/>
        <v>0</v>
      </c>
      <c r="M29" s="14" t="s">
        <v>77</v>
      </c>
      <c r="N29" s="14" t="s">
        <v>77</v>
      </c>
      <c r="O29" s="14" t="s">
        <v>77</v>
      </c>
      <c r="P29" s="14" t="s">
        <v>77</v>
      </c>
      <c r="Q29" s="14" t="s">
        <v>77</v>
      </c>
      <c r="R29" s="14" t="s">
        <v>77</v>
      </c>
      <c r="S29" s="14" t="s">
        <v>77</v>
      </c>
      <c r="T29" s="14" t="s">
        <v>77</v>
      </c>
      <c r="U29" s="14" t="s">
        <v>77</v>
      </c>
      <c r="Y29" s="14" t="s">
        <v>77</v>
      </c>
      <c r="Z29" s="14" t="s">
        <v>77</v>
      </c>
      <c r="AA29" s="14" t="s">
        <v>77</v>
      </c>
      <c r="AB29" s="14" t="s">
        <v>77</v>
      </c>
      <c r="AC29" s="14" t="s">
        <v>77</v>
      </c>
      <c r="AH29" s="14" t="s">
        <v>77</v>
      </c>
      <c r="AI29" s="14" t="s">
        <v>77</v>
      </c>
      <c r="AJ29" s="14" t="s">
        <v>77</v>
      </c>
      <c r="AK29" s="14" t="s">
        <v>77</v>
      </c>
      <c r="AL29" s="14" t="s">
        <v>77</v>
      </c>
    </row>
    <row r="30" ht="15.75" hidden="1" customHeight="1">
      <c r="A30" s="82">
        <v>1985.0</v>
      </c>
      <c r="B30" s="81" t="s">
        <v>72</v>
      </c>
      <c r="C30" s="14">
        <v>154.58323530273</v>
      </c>
      <c r="D30" s="14">
        <v>2457.0916808777</v>
      </c>
      <c r="E30" s="14">
        <v>709.84377518311</v>
      </c>
      <c r="F30" s="14">
        <v>690.59415067139</v>
      </c>
      <c r="G30" s="14">
        <v>234.87001072998</v>
      </c>
      <c r="H30" s="14">
        <v>238.54976090698</v>
      </c>
      <c r="I30" s="14" t="s">
        <v>77</v>
      </c>
      <c r="J30" s="14" t="s">
        <v>77</v>
      </c>
      <c r="K30" s="14">
        <v>143.83244417114</v>
      </c>
      <c r="L30" s="14">
        <f t="shared" si="3"/>
        <v>61257.65009</v>
      </c>
      <c r="M30" s="14" t="s">
        <v>77</v>
      </c>
      <c r="N30" s="14" t="s">
        <v>77</v>
      </c>
      <c r="O30" s="14" t="s">
        <v>77</v>
      </c>
      <c r="P30" s="14" t="s">
        <v>77</v>
      </c>
      <c r="Q30" s="14" t="s">
        <v>77</v>
      </c>
      <c r="R30" s="14">
        <v>0.76644965209961</v>
      </c>
      <c r="S30" s="14" t="s">
        <v>77</v>
      </c>
      <c r="T30" s="14" t="s">
        <v>77</v>
      </c>
      <c r="U30" s="14">
        <v>0.17194060668945</v>
      </c>
      <c r="Y30" s="14" t="s">
        <v>77</v>
      </c>
      <c r="Z30" s="14" t="s">
        <v>77</v>
      </c>
      <c r="AA30" s="14">
        <v>61254.729498334</v>
      </c>
      <c r="AB30" s="14">
        <v>0.3405138671875</v>
      </c>
      <c r="AC30" s="14" t="s">
        <v>77</v>
      </c>
      <c r="AH30" s="14" t="s">
        <v>77</v>
      </c>
      <c r="AI30" s="14" t="s">
        <v>77</v>
      </c>
      <c r="AJ30" s="14">
        <v>0.085048388671875</v>
      </c>
      <c r="AK30" s="14" t="s">
        <v>77</v>
      </c>
      <c r="AL30" s="14">
        <v>1.5566366271973</v>
      </c>
    </row>
    <row r="31" ht="15.75" hidden="1" customHeight="1">
      <c r="A31" s="82">
        <v>1985.0</v>
      </c>
      <c r="B31" s="81" t="s">
        <v>73</v>
      </c>
      <c r="C31" s="14">
        <v>59.947013970947</v>
      </c>
      <c r="D31" s="14">
        <v>136.61953113403</v>
      </c>
      <c r="E31" s="14">
        <v>159.91890279541</v>
      </c>
      <c r="F31" s="14">
        <v>19.494807171631</v>
      </c>
      <c r="G31" s="14">
        <v>9.7375924072266</v>
      </c>
      <c r="H31" s="14">
        <v>128.72843704834</v>
      </c>
      <c r="I31" s="14">
        <v>97.755948345947</v>
      </c>
      <c r="J31" s="14" t="s">
        <v>77</v>
      </c>
      <c r="K31" s="14">
        <v>280.46670019531</v>
      </c>
      <c r="L31" s="14">
        <f t="shared" si="3"/>
        <v>1101.680496</v>
      </c>
      <c r="M31" s="14" t="s">
        <v>77</v>
      </c>
      <c r="N31" s="14" t="s">
        <v>77</v>
      </c>
      <c r="O31" s="14" t="s">
        <v>77</v>
      </c>
      <c r="P31" s="14" t="s">
        <v>77</v>
      </c>
      <c r="Q31" s="14" t="s">
        <v>77</v>
      </c>
      <c r="R31" s="14">
        <v>33.302368249512</v>
      </c>
      <c r="S31" s="14" t="s">
        <v>77</v>
      </c>
      <c r="T31" s="14" t="s">
        <v>77</v>
      </c>
      <c r="U31" s="14" t="s">
        <v>77</v>
      </c>
      <c r="Y31" s="14" t="s">
        <v>77</v>
      </c>
      <c r="Z31" s="14" t="s">
        <v>77</v>
      </c>
      <c r="AA31" s="14" t="s">
        <v>77</v>
      </c>
      <c r="AB31" s="14">
        <v>998.87881295166</v>
      </c>
      <c r="AC31" s="14" t="s">
        <v>77</v>
      </c>
      <c r="AH31" s="14" t="s">
        <v>77</v>
      </c>
      <c r="AI31" s="14" t="s">
        <v>77</v>
      </c>
      <c r="AJ31" s="14" t="s">
        <v>77</v>
      </c>
      <c r="AK31" s="14" t="s">
        <v>77</v>
      </c>
      <c r="AL31" s="14">
        <v>69.499314440918</v>
      </c>
    </row>
    <row r="32" ht="15.75" hidden="1" customHeight="1">
      <c r="A32" s="82">
        <v>1985.0</v>
      </c>
      <c r="B32" s="81" t="s">
        <v>25</v>
      </c>
      <c r="C32" s="14" t="s">
        <v>77</v>
      </c>
      <c r="D32" s="14" t="s">
        <v>77</v>
      </c>
      <c r="E32" s="14" t="s">
        <v>77</v>
      </c>
      <c r="F32" s="14" t="s">
        <v>77</v>
      </c>
      <c r="G32" s="14" t="s">
        <v>77</v>
      </c>
      <c r="H32" s="14" t="s">
        <v>77</v>
      </c>
      <c r="I32" s="14" t="s">
        <v>77</v>
      </c>
      <c r="J32" s="14" t="s">
        <v>77</v>
      </c>
      <c r="K32" s="14" t="s">
        <v>77</v>
      </c>
      <c r="L32" s="14">
        <f t="shared" si="3"/>
        <v>0</v>
      </c>
      <c r="M32" s="14" t="s">
        <v>77</v>
      </c>
      <c r="N32" s="14" t="s">
        <v>77</v>
      </c>
      <c r="O32" s="14" t="s">
        <v>77</v>
      </c>
      <c r="P32" s="14" t="s">
        <v>77</v>
      </c>
      <c r="Q32" s="14" t="s">
        <v>77</v>
      </c>
      <c r="R32" s="14" t="s">
        <v>77</v>
      </c>
      <c r="S32" s="14" t="s">
        <v>77</v>
      </c>
      <c r="T32" s="14" t="s">
        <v>77</v>
      </c>
      <c r="U32" s="14" t="s">
        <v>77</v>
      </c>
      <c r="Y32" s="14" t="s">
        <v>77</v>
      </c>
      <c r="Z32" s="14" t="s">
        <v>77</v>
      </c>
      <c r="AA32" s="14" t="s">
        <v>77</v>
      </c>
      <c r="AB32" s="14" t="s">
        <v>77</v>
      </c>
      <c r="AC32" s="14" t="s">
        <v>77</v>
      </c>
      <c r="AH32" s="14" t="s">
        <v>77</v>
      </c>
      <c r="AI32" s="14" t="s">
        <v>77</v>
      </c>
      <c r="AJ32" s="14" t="s">
        <v>77</v>
      </c>
      <c r="AK32" s="14" t="s">
        <v>77</v>
      </c>
      <c r="AL32" s="14" t="s">
        <v>77</v>
      </c>
    </row>
    <row r="33" ht="15.75" hidden="1" customHeight="1">
      <c r="A33" s="82">
        <v>1985.0</v>
      </c>
      <c r="B33" s="81" t="s">
        <v>59</v>
      </c>
      <c r="C33" s="14" t="s">
        <v>77</v>
      </c>
      <c r="D33" s="14" t="s">
        <v>77</v>
      </c>
      <c r="E33" s="14" t="s">
        <v>77</v>
      </c>
      <c r="F33" s="14" t="s">
        <v>77</v>
      </c>
      <c r="G33" s="14" t="s">
        <v>77</v>
      </c>
      <c r="H33" s="14" t="s">
        <v>77</v>
      </c>
      <c r="I33" s="14" t="s">
        <v>77</v>
      </c>
      <c r="J33" s="14" t="s">
        <v>77</v>
      </c>
      <c r="K33" s="14" t="s">
        <v>77</v>
      </c>
      <c r="L33" s="14">
        <f t="shared" si="3"/>
        <v>0</v>
      </c>
      <c r="M33" s="14" t="s">
        <v>77</v>
      </c>
      <c r="N33" s="14" t="s">
        <v>77</v>
      </c>
      <c r="O33" s="14" t="s">
        <v>77</v>
      </c>
      <c r="P33" s="14" t="s">
        <v>77</v>
      </c>
      <c r="Q33" s="14" t="s">
        <v>77</v>
      </c>
      <c r="R33" s="14" t="s">
        <v>77</v>
      </c>
      <c r="S33" s="14" t="s">
        <v>77</v>
      </c>
      <c r="T33" s="14" t="s">
        <v>77</v>
      </c>
      <c r="U33" s="14" t="s">
        <v>77</v>
      </c>
      <c r="Y33" s="14" t="s">
        <v>77</v>
      </c>
      <c r="Z33" s="14" t="s">
        <v>77</v>
      </c>
      <c r="AA33" s="14" t="s">
        <v>77</v>
      </c>
      <c r="AB33" s="14" t="s">
        <v>77</v>
      </c>
      <c r="AC33" s="14" t="s">
        <v>77</v>
      </c>
      <c r="AH33" s="14" t="s">
        <v>77</v>
      </c>
      <c r="AI33" s="14" t="s">
        <v>77</v>
      </c>
      <c r="AJ33" s="14" t="s">
        <v>77</v>
      </c>
      <c r="AK33" s="14" t="s">
        <v>77</v>
      </c>
      <c r="AL33" s="14" t="s">
        <v>77</v>
      </c>
    </row>
    <row r="34" ht="15.75" hidden="1" customHeight="1">
      <c r="A34" s="82">
        <v>1985.0</v>
      </c>
      <c r="B34" s="81" t="s">
        <v>74</v>
      </c>
      <c r="C34" s="14">
        <v>1.4326721374512</v>
      </c>
      <c r="D34" s="14">
        <v>5.7882294128418</v>
      </c>
      <c r="E34" s="14">
        <v>1.0085448120117</v>
      </c>
      <c r="F34" s="14">
        <v>0.4225151550293</v>
      </c>
      <c r="G34" s="14" t="s">
        <v>77</v>
      </c>
      <c r="H34" s="14" t="s">
        <v>77</v>
      </c>
      <c r="I34" s="14" t="s">
        <v>77</v>
      </c>
      <c r="J34" s="14" t="s">
        <v>77</v>
      </c>
      <c r="K34" s="14" t="s">
        <v>77</v>
      </c>
      <c r="L34" s="14">
        <f t="shared" si="3"/>
        <v>14.25121698</v>
      </c>
      <c r="M34" s="14" t="s">
        <v>77</v>
      </c>
      <c r="N34" s="14" t="s">
        <v>77</v>
      </c>
      <c r="O34" s="14" t="s">
        <v>77</v>
      </c>
      <c r="P34" s="14" t="s">
        <v>77</v>
      </c>
      <c r="Q34" s="14" t="s">
        <v>77</v>
      </c>
      <c r="R34" s="14" t="s">
        <v>77</v>
      </c>
      <c r="S34" s="14" t="s">
        <v>77</v>
      </c>
      <c r="T34" s="14" t="s">
        <v>77</v>
      </c>
      <c r="U34" s="14" t="s">
        <v>77</v>
      </c>
      <c r="Y34" s="14" t="s">
        <v>77</v>
      </c>
      <c r="Z34" s="14" t="s">
        <v>77</v>
      </c>
      <c r="AA34" s="14" t="s">
        <v>77</v>
      </c>
      <c r="AB34" s="14" t="s">
        <v>77</v>
      </c>
      <c r="AC34" s="14" t="s">
        <v>77</v>
      </c>
      <c r="AH34" s="14" t="s">
        <v>77</v>
      </c>
      <c r="AI34" s="14">
        <v>14.167244091797</v>
      </c>
      <c r="AJ34" s="14" t="s">
        <v>77</v>
      </c>
      <c r="AK34" s="14" t="s">
        <v>77</v>
      </c>
      <c r="AL34" s="14">
        <v>0.083972888183594</v>
      </c>
    </row>
    <row r="35" ht="15.75" hidden="1" customHeight="1">
      <c r="A35" s="82">
        <v>1985.0</v>
      </c>
      <c r="B35" s="81" t="s">
        <v>75</v>
      </c>
      <c r="C35" s="14">
        <v>2094.9722244324</v>
      </c>
      <c r="D35" s="14">
        <v>17881.118360315</v>
      </c>
      <c r="E35" s="14">
        <v>559.48525883179</v>
      </c>
      <c r="F35" s="14">
        <v>15325.981583032</v>
      </c>
      <c r="G35" s="14">
        <v>239.00361136475</v>
      </c>
      <c r="H35" s="14">
        <v>5961.2433390197</v>
      </c>
      <c r="I35" s="14" t="s">
        <v>77</v>
      </c>
      <c r="J35" s="14" t="s">
        <v>77</v>
      </c>
      <c r="K35" s="14">
        <v>783.30930079346</v>
      </c>
      <c r="L35" s="14">
        <f t="shared" si="3"/>
        <v>34317.9116</v>
      </c>
      <c r="M35" s="14">
        <v>24.024197955322</v>
      </c>
      <c r="N35" s="14" t="s">
        <v>77</v>
      </c>
      <c r="O35" s="14" t="s">
        <v>77</v>
      </c>
      <c r="P35" s="14" t="s">
        <v>77</v>
      </c>
      <c r="Q35" s="14" t="s">
        <v>77</v>
      </c>
      <c r="R35" s="14">
        <v>20.712885455322</v>
      </c>
      <c r="S35" s="14" t="s">
        <v>77</v>
      </c>
      <c r="T35" s="14" t="s">
        <v>77</v>
      </c>
      <c r="U35" s="14" t="s">
        <v>77</v>
      </c>
      <c r="Y35" s="14">
        <v>0.089314965820313</v>
      </c>
      <c r="Z35" s="14" t="s">
        <v>77</v>
      </c>
      <c r="AA35" s="14">
        <v>1.2734732055664</v>
      </c>
      <c r="AB35" s="14">
        <v>0.25544219970703</v>
      </c>
      <c r="AC35" s="14" t="s">
        <v>77</v>
      </c>
      <c r="AH35" s="14" t="s">
        <v>77</v>
      </c>
      <c r="AI35" s="14" t="s">
        <v>77</v>
      </c>
      <c r="AJ35" s="14">
        <v>34175.248983435</v>
      </c>
      <c r="AK35" s="14" t="s">
        <v>77</v>
      </c>
      <c r="AL35" s="14">
        <v>96.307304345703</v>
      </c>
    </row>
    <row r="36" ht="15.75" hidden="1" customHeight="1">
      <c r="A36" s="82">
        <v>1985.0</v>
      </c>
      <c r="B36" s="81" t="s">
        <v>26</v>
      </c>
      <c r="C36" s="14" t="s">
        <v>77</v>
      </c>
      <c r="D36" s="14" t="s">
        <v>77</v>
      </c>
      <c r="E36" s="14" t="s">
        <v>77</v>
      </c>
      <c r="F36" s="14" t="s">
        <v>77</v>
      </c>
      <c r="G36" s="14" t="s">
        <v>77</v>
      </c>
      <c r="H36" s="14" t="s">
        <v>77</v>
      </c>
      <c r="I36" s="14" t="s">
        <v>77</v>
      </c>
      <c r="J36" s="14" t="s">
        <v>77</v>
      </c>
      <c r="K36" s="14" t="s">
        <v>77</v>
      </c>
      <c r="L36" s="14">
        <f t="shared" si="3"/>
        <v>0</v>
      </c>
      <c r="M36" s="14" t="s">
        <v>77</v>
      </c>
      <c r="N36" s="14" t="s">
        <v>77</v>
      </c>
      <c r="O36" s="14" t="s">
        <v>77</v>
      </c>
      <c r="P36" s="14" t="s">
        <v>77</v>
      </c>
      <c r="Q36" s="14" t="s">
        <v>77</v>
      </c>
      <c r="R36" s="14" t="s">
        <v>77</v>
      </c>
      <c r="S36" s="14" t="s">
        <v>77</v>
      </c>
      <c r="T36" s="14" t="s">
        <v>77</v>
      </c>
      <c r="U36" s="14" t="s">
        <v>77</v>
      </c>
      <c r="Y36" s="14" t="s">
        <v>77</v>
      </c>
      <c r="Z36" s="14" t="s">
        <v>77</v>
      </c>
      <c r="AA36" s="14" t="s">
        <v>77</v>
      </c>
      <c r="AB36" s="14" t="s">
        <v>77</v>
      </c>
      <c r="AC36" s="14" t="s">
        <v>77</v>
      </c>
      <c r="AH36" s="14" t="s">
        <v>77</v>
      </c>
      <c r="AI36" s="14" t="s">
        <v>77</v>
      </c>
      <c r="AJ36" s="14" t="s">
        <v>77</v>
      </c>
      <c r="AK36" s="14" t="s">
        <v>77</v>
      </c>
      <c r="AL36" s="14" t="s">
        <v>77</v>
      </c>
    </row>
    <row r="37" ht="15.75" hidden="1" customHeight="1">
      <c r="A37" s="82">
        <v>1985.0</v>
      </c>
      <c r="B37" s="81" t="s">
        <v>76</v>
      </c>
      <c r="C37" s="14">
        <v>49191.919394092</v>
      </c>
      <c r="D37" s="14">
        <v>19555.857091998</v>
      </c>
      <c r="E37" s="14">
        <v>28624.427094342</v>
      </c>
      <c r="F37" s="14">
        <v>23113.718183282</v>
      </c>
      <c r="G37" s="14">
        <v>40.460738195801</v>
      </c>
      <c r="H37" s="14">
        <v>689.23621785278</v>
      </c>
      <c r="I37" s="14">
        <v>82.490445013428</v>
      </c>
      <c r="J37" s="14" t="s">
        <v>77</v>
      </c>
      <c r="K37" s="14">
        <v>36403.084773444</v>
      </c>
      <c r="L37" s="14">
        <f t="shared" si="3"/>
        <v>1032740.943</v>
      </c>
      <c r="M37" s="14">
        <v>12329.610302411</v>
      </c>
      <c r="N37" s="14" t="s">
        <v>77</v>
      </c>
      <c r="O37" s="14" t="s">
        <v>77</v>
      </c>
      <c r="P37" s="14" t="s">
        <v>77</v>
      </c>
      <c r="Q37" s="14">
        <v>2570.4799628052</v>
      </c>
      <c r="R37" s="14">
        <v>70.990914251709</v>
      </c>
      <c r="S37" s="14">
        <v>2.8450342163086</v>
      </c>
      <c r="T37" s="14" t="s">
        <v>77</v>
      </c>
      <c r="U37" s="14">
        <v>13.004591461182</v>
      </c>
      <c r="Y37" s="14">
        <v>155.66790116577</v>
      </c>
      <c r="Z37" s="14" t="s">
        <v>77</v>
      </c>
      <c r="AA37" s="14">
        <v>5.6218707702637</v>
      </c>
      <c r="AB37" s="14">
        <v>23.705270056152</v>
      </c>
      <c r="AC37" s="14" t="s">
        <v>77</v>
      </c>
      <c r="AH37" s="14" t="s">
        <v>77</v>
      </c>
      <c r="AI37" s="14">
        <v>0.4200689453125</v>
      </c>
      <c r="AJ37" s="14">
        <v>0.089316455078125</v>
      </c>
      <c r="AK37" s="14" t="s">
        <v>77</v>
      </c>
      <c r="AL37" s="14">
        <v>1017568.5075453</v>
      </c>
    </row>
    <row r="38" ht="15.75" hidden="1" customHeight="1">
      <c r="B38" s="87"/>
    </row>
    <row r="39" ht="15.75" hidden="1" customHeight="1">
      <c r="B39" s="87"/>
    </row>
    <row r="40" ht="15.75" hidden="1" customHeight="1">
      <c r="B40" s="87"/>
    </row>
    <row r="41" ht="15.75" hidden="1" customHeight="1">
      <c r="B41" s="87"/>
    </row>
    <row r="42" ht="15.75" hidden="1" customHeight="1">
      <c r="B42" s="87"/>
    </row>
    <row r="43" ht="15.75" customHeight="1">
      <c r="B43" s="87"/>
    </row>
    <row r="44" ht="15.75" customHeight="1">
      <c r="B44" s="87"/>
    </row>
    <row r="45" ht="15.75" customHeight="1">
      <c r="B45" s="87"/>
    </row>
    <row r="46" ht="15.75" customHeight="1">
      <c r="B46" s="87"/>
    </row>
    <row r="47" ht="15.75" customHeight="1">
      <c r="B47" s="87"/>
    </row>
    <row r="48" ht="15.75" customHeight="1">
      <c r="B48" s="87"/>
    </row>
    <row r="49" ht="15.75" customHeight="1">
      <c r="B49" s="87"/>
    </row>
    <row r="50" ht="15.75" customHeight="1">
      <c r="B50" s="87"/>
    </row>
    <row r="51" ht="15.75" customHeight="1">
      <c r="B51" s="87"/>
    </row>
    <row r="52" ht="15.75" customHeight="1">
      <c r="B52" s="87"/>
    </row>
    <row r="53" ht="15.75" customHeight="1">
      <c r="B53" s="87"/>
    </row>
    <row r="54" ht="15.75" customHeight="1">
      <c r="B54" s="87"/>
    </row>
    <row r="55" ht="15.75" customHeight="1">
      <c r="B55" s="87"/>
    </row>
    <row r="56" ht="15.75" customHeight="1">
      <c r="B56" s="87"/>
    </row>
    <row r="57" ht="15.75" customHeight="1">
      <c r="B57" s="87"/>
    </row>
    <row r="58" ht="15.75" customHeight="1">
      <c r="B58" s="87"/>
    </row>
    <row r="59" ht="15.75" customHeight="1">
      <c r="B59" s="87"/>
    </row>
    <row r="60" ht="15.75" customHeight="1">
      <c r="B60" s="87"/>
    </row>
    <row r="61" ht="15.75" customHeight="1">
      <c r="B61" s="87"/>
    </row>
    <row r="62" ht="15.75" customHeight="1">
      <c r="B62" s="87"/>
    </row>
    <row r="63" ht="15.75" customHeight="1">
      <c r="B63" s="87"/>
    </row>
    <row r="64" ht="15.75" customHeight="1">
      <c r="B64" s="87"/>
    </row>
    <row r="65" ht="15.75" customHeight="1">
      <c r="B65" s="87"/>
    </row>
    <row r="66" ht="15.75" customHeight="1">
      <c r="B66" s="87"/>
    </row>
    <row r="67" ht="15.75" customHeight="1">
      <c r="B67" s="87"/>
    </row>
    <row r="68" ht="15.75" customHeight="1">
      <c r="B68" s="87"/>
    </row>
    <row r="69" ht="15.75" customHeight="1">
      <c r="B69" s="87"/>
    </row>
    <row r="70" ht="15.75" customHeight="1">
      <c r="B70" s="87"/>
    </row>
    <row r="71" ht="15.75" customHeight="1">
      <c r="B71" s="87"/>
    </row>
    <row r="72" ht="15.75" customHeight="1">
      <c r="B72" s="87"/>
    </row>
    <row r="73" ht="15.75" customHeight="1">
      <c r="B73" s="87"/>
    </row>
    <row r="74" ht="15.75" customHeight="1">
      <c r="B74" s="87"/>
    </row>
    <row r="75" ht="15.75" customHeight="1">
      <c r="B75" s="87"/>
    </row>
    <row r="76" ht="15.75" customHeight="1">
      <c r="B76" s="87"/>
    </row>
    <row r="77" ht="15.75" customHeight="1">
      <c r="B77" s="87"/>
    </row>
    <row r="78" ht="15.75" customHeight="1">
      <c r="B78" s="87"/>
    </row>
    <row r="79" ht="15.75" customHeight="1">
      <c r="B79" s="87"/>
    </row>
    <row r="80" ht="15.75" customHeight="1">
      <c r="B80" s="87"/>
    </row>
    <row r="81" ht="15.75" customHeight="1">
      <c r="B81" s="87"/>
    </row>
    <row r="82" ht="15.75" customHeight="1">
      <c r="B82" s="87"/>
    </row>
    <row r="83" ht="15.75" customHeight="1">
      <c r="B83" s="87"/>
    </row>
    <row r="84" ht="15.75" customHeight="1">
      <c r="B84" s="87"/>
    </row>
    <row r="85" ht="15.75" customHeight="1">
      <c r="B85" s="87"/>
    </row>
    <row r="86" ht="15.75" customHeight="1">
      <c r="B86" s="87"/>
    </row>
    <row r="87" ht="15.75" customHeight="1">
      <c r="B87" s="87"/>
    </row>
    <row r="88" ht="15.75" customHeight="1">
      <c r="B88" s="87"/>
    </row>
    <row r="89" ht="15.75" customHeight="1">
      <c r="B89" s="87"/>
    </row>
    <row r="90" ht="15.75" customHeight="1">
      <c r="B90" s="87"/>
    </row>
    <row r="91" ht="15.75" customHeight="1">
      <c r="B91" s="87"/>
    </row>
    <row r="92" ht="15.75" customHeight="1">
      <c r="B92" s="87"/>
    </row>
    <row r="93" ht="15.75" customHeight="1">
      <c r="B93" s="87"/>
    </row>
    <row r="94" ht="15.75" customHeight="1">
      <c r="B94" s="87"/>
    </row>
    <row r="95" ht="15.75" customHeight="1">
      <c r="B95" s="87"/>
    </row>
    <row r="96" ht="15.75" customHeight="1">
      <c r="B96" s="87"/>
    </row>
    <row r="97" ht="15.75" customHeight="1">
      <c r="B97" s="87"/>
    </row>
    <row r="98" ht="15.75" customHeight="1">
      <c r="B98" s="87"/>
    </row>
    <row r="99" ht="15.75" customHeight="1">
      <c r="B99" s="87"/>
    </row>
    <row r="100" ht="15.75" customHeight="1">
      <c r="B100" s="87"/>
    </row>
    <row r="101" ht="15.75" customHeight="1">
      <c r="B101" s="87"/>
    </row>
    <row r="102" ht="15.75" customHeight="1">
      <c r="B102" s="87"/>
    </row>
    <row r="103" ht="15.75" customHeight="1">
      <c r="B103" s="87"/>
    </row>
    <row r="104" ht="15.75" customHeight="1">
      <c r="B104" s="87"/>
    </row>
    <row r="105" ht="15.75" customHeight="1">
      <c r="B105" s="87"/>
    </row>
    <row r="106" ht="15.75" customHeight="1">
      <c r="B106" s="87"/>
    </row>
    <row r="107" ht="15.75" customHeight="1">
      <c r="B107" s="87"/>
    </row>
    <row r="108" ht="15.75" customHeight="1">
      <c r="B108" s="87"/>
    </row>
    <row r="109" ht="15.75" customHeight="1">
      <c r="B109" s="87"/>
    </row>
    <row r="110" ht="15.75" customHeight="1">
      <c r="B110" s="87"/>
    </row>
    <row r="111" ht="15.75" customHeight="1">
      <c r="B111" s="87"/>
    </row>
    <row r="112" ht="15.75" customHeight="1">
      <c r="B112" s="87"/>
    </row>
    <row r="113" ht="15.75" customHeight="1">
      <c r="B113" s="87"/>
    </row>
    <row r="114" ht="15.75" customHeight="1">
      <c r="B114" s="87"/>
    </row>
    <row r="115" ht="15.75" customHeight="1">
      <c r="B115" s="87"/>
    </row>
    <row r="116" ht="15.75" customHeight="1">
      <c r="B116" s="87"/>
    </row>
    <row r="117" ht="15.75" customHeight="1">
      <c r="B117" s="87"/>
    </row>
    <row r="118" ht="15.75" customHeight="1">
      <c r="B118" s="87"/>
    </row>
    <row r="119" ht="15.75" customHeight="1">
      <c r="B119" s="87"/>
    </row>
    <row r="120" ht="15.75" customHeight="1">
      <c r="B120" s="87"/>
    </row>
    <row r="121" ht="15.75" customHeight="1">
      <c r="B121" s="87"/>
    </row>
    <row r="122" ht="15.75" customHeight="1">
      <c r="B122" s="87"/>
    </row>
    <row r="123" ht="15.75" customHeight="1">
      <c r="B123" s="87"/>
    </row>
    <row r="124" ht="15.75" customHeight="1">
      <c r="B124" s="87"/>
    </row>
    <row r="125" ht="15.75" customHeight="1">
      <c r="B125" s="87"/>
    </row>
    <row r="126" ht="15.75" customHeight="1">
      <c r="B126" s="87"/>
    </row>
    <row r="127" ht="15.75" customHeight="1">
      <c r="B127" s="87"/>
    </row>
    <row r="128" ht="15.75" customHeight="1">
      <c r="B128" s="87"/>
    </row>
    <row r="129" ht="15.75" customHeight="1">
      <c r="B129" s="87"/>
    </row>
    <row r="130" ht="15.75" customHeight="1">
      <c r="B130" s="87"/>
    </row>
    <row r="131" ht="15.75" customHeight="1">
      <c r="B131" s="87"/>
    </row>
    <row r="132" ht="15.75" customHeight="1">
      <c r="B132" s="87"/>
    </row>
    <row r="133" ht="15.75" customHeight="1">
      <c r="B133" s="87"/>
    </row>
    <row r="134" ht="15.75" customHeight="1">
      <c r="B134" s="87"/>
    </row>
    <row r="135" ht="15.75" customHeight="1">
      <c r="B135" s="87"/>
    </row>
    <row r="136" ht="15.75" customHeight="1">
      <c r="B136" s="87"/>
    </row>
    <row r="137" ht="15.75" customHeight="1">
      <c r="B137" s="87"/>
    </row>
    <row r="138" ht="15.75" customHeight="1">
      <c r="B138" s="87"/>
    </row>
    <row r="139" ht="15.75" customHeight="1">
      <c r="B139" s="87"/>
    </row>
    <row r="140" ht="15.75" customHeight="1">
      <c r="B140" s="87"/>
    </row>
    <row r="141" ht="15.75" customHeight="1">
      <c r="B141" s="87"/>
    </row>
    <row r="142" ht="15.75" customHeight="1">
      <c r="B142" s="87"/>
    </row>
    <row r="143" ht="15.75" customHeight="1">
      <c r="B143" s="87"/>
    </row>
    <row r="144" ht="15.75" customHeight="1">
      <c r="B144" s="87"/>
    </row>
    <row r="145" ht="15.75" customHeight="1">
      <c r="B145" s="87"/>
    </row>
    <row r="146" ht="15.75" customHeight="1">
      <c r="B146" s="87"/>
    </row>
    <row r="147" ht="15.75" customHeight="1">
      <c r="B147" s="87"/>
    </row>
    <row r="148" ht="15.75" customHeight="1">
      <c r="B148" s="87"/>
    </row>
    <row r="149" ht="15.75" customHeight="1">
      <c r="B149" s="87"/>
    </row>
    <row r="150" ht="15.75" customHeight="1">
      <c r="B150" s="87"/>
    </row>
    <row r="151" ht="15.75" customHeight="1">
      <c r="B151" s="87"/>
    </row>
    <row r="152" ht="15.75" customHeight="1">
      <c r="B152" s="87"/>
    </row>
    <row r="153" ht="15.75" customHeight="1">
      <c r="B153" s="87"/>
    </row>
    <row r="154" ht="15.75" customHeight="1">
      <c r="B154" s="87"/>
    </row>
    <row r="155" ht="15.75" customHeight="1">
      <c r="B155" s="87"/>
    </row>
    <row r="156" ht="15.75" customHeight="1">
      <c r="B156" s="87"/>
    </row>
    <row r="157" ht="15.75" customHeight="1">
      <c r="B157" s="87"/>
    </row>
    <row r="158" ht="15.75" customHeight="1">
      <c r="B158" s="87"/>
    </row>
    <row r="159" ht="15.75" customHeight="1">
      <c r="B159" s="87"/>
    </row>
    <row r="160" ht="15.75" customHeight="1">
      <c r="B160" s="87"/>
    </row>
    <row r="161" ht="15.75" customHeight="1">
      <c r="B161" s="87"/>
    </row>
    <row r="162" ht="15.75" customHeight="1">
      <c r="B162" s="87"/>
    </row>
    <row r="163" ht="15.75" customHeight="1">
      <c r="B163" s="87"/>
    </row>
    <row r="164" ht="15.75" customHeight="1">
      <c r="B164" s="87"/>
    </row>
    <row r="165" ht="15.75" customHeight="1">
      <c r="B165" s="87"/>
    </row>
    <row r="166" ht="15.75" customHeight="1">
      <c r="B166" s="87"/>
    </row>
    <row r="167" ht="15.75" customHeight="1">
      <c r="B167" s="87"/>
    </row>
    <row r="168" ht="15.75" customHeight="1">
      <c r="B168" s="87"/>
    </row>
    <row r="169" ht="15.75" customHeight="1">
      <c r="B169" s="87"/>
    </row>
    <row r="170" ht="15.75" customHeight="1">
      <c r="B170" s="87"/>
    </row>
    <row r="171" ht="15.75" customHeight="1">
      <c r="B171" s="87"/>
    </row>
    <row r="172" ht="15.75" customHeight="1">
      <c r="B172" s="87"/>
    </row>
    <row r="173" ht="15.75" customHeight="1">
      <c r="B173" s="87"/>
    </row>
    <row r="174" ht="15.75" customHeight="1">
      <c r="B174" s="87"/>
    </row>
    <row r="175" ht="15.75" customHeight="1">
      <c r="B175" s="87"/>
    </row>
    <row r="176" ht="15.75" customHeight="1">
      <c r="B176" s="87"/>
    </row>
    <row r="177" ht="15.75" customHeight="1">
      <c r="B177" s="87"/>
    </row>
    <row r="178" ht="15.75" customHeight="1">
      <c r="B178" s="87"/>
    </row>
    <row r="179" ht="15.75" customHeight="1">
      <c r="B179" s="87"/>
    </row>
    <row r="180" ht="15.75" customHeight="1">
      <c r="B180" s="87"/>
    </row>
    <row r="181" ht="15.75" customHeight="1">
      <c r="B181" s="87"/>
    </row>
    <row r="182" ht="15.75" customHeight="1">
      <c r="B182" s="87"/>
    </row>
    <row r="183" ht="15.75" customHeight="1">
      <c r="B183" s="87"/>
    </row>
    <row r="184" ht="15.75" customHeight="1">
      <c r="B184" s="87"/>
    </row>
    <row r="185" ht="15.75" customHeight="1">
      <c r="B185" s="87"/>
    </row>
    <row r="186" ht="15.75" customHeight="1">
      <c r="B186" s="87"/>
    </row>
    <row r="187" ht="15.75" customHeight="1">
      <c r="B187" s="87"/>
    </row>
    <row r="188" ht="15.75" customHeight="1">
      <c r="B188" s="87"/>
    </row>
    <row r="189" ht="15.75" customHeight="1">
      <c r="B189" s="87"/>
    </row>
    <row r="190" ht="15.75" customHeight="1">
      <c r="B190" s="87"/>
    </row>
    <row r="191" ht="15.75" customHeight="1">
      <c r="B191" s="87"/>
    </row>
    <row r="192" ht="15.75" customHeight="1">
      <c r="B192" s="87"/>
    </row>
    <row r="193" ht="15.75" customHeight="1">
      <c r="B193" s="87"/>
    </row>
    <row r="194" ht="15.75" customHeight="1">
      <c r="B194" s="87"/>
    </row>
    <row r="195" ht="15.75" customHeight="1">
      <c r="B195" s="87"/>
    </row>
    <row r="196" ht="15.75" customHeight="1">
      <c r="B196" s="87"/>
    </row>
    <row r="197" ht="15.75" customHeight="1">
      <c r="B197" s="87"/>
    </row>
    <row r="198" ht="15.75" customHeight="1">
      <c r="B198" s="87"/>
    </row>
    <row r="199" ht="15.75" customHeight="1">
      <c r="B199" s="87"/>
    </row>
    <row r="200" ht="15.75" customHeight="1">
      <c r="B200" s="87"/>
    </row>
    <row r="201" ht="15.75" customHeight="1">
      <c r="B201" s="87"/>
    </row>
    <row r="202" ht="15.75" customHeight="1">
      <c r="B202" s="87"/>
    </row>
    <row r="203" ht="15.75" customHeight="1">
      <c r="B203" s="87"/>
    </row>
    <row r="204" ht="15.75" customHeight="1">
      <c r="B204" s="87"/>
    </row>
    <row r="205" ht="15.75" customHeight="1">
      <c r="B205" s="87"/>
    </row>
    <row r="206" ht="15.75" customHeight="1">
      <c r="B206" s="87"/>
    </row>
    <row r="207" ht="15.75" customHeight="1">
      <c r="B207" s="87"/>
    </row>
    <row r="208" ht="15.75" customHeight="1">
      <c r="B208" s="87"/>
    </row>
    <row r="209" ht="15.75" customHeight="1">
      <c r="B209" s="87"/>
    </row>
    <row r="210" ht="15.75" customHeight="1">
      <c r="B210" s="87"/>
    </row>
    <row r="211" ht="15.75" customHeight="1">
      <c r="B211" s="87"/>
    </row>
    <row r="212" ht="15.75" customHeight="1">
      <c r="B212" s="87"/>
    </row>
    <row r="213" ht="15.75" customHeight="1">
      <c r="B213" s="87"/>
    </row>
    <row r="214" ht="15.75" customHeight="1">
      <c r="B214" s="87"/>
    </row>
    <row r="215" ht="15.75" customHeight="1">
      <c r="B215" s="87"/>
    </row>
    <row r="216" ht="15.75" customHeight="1">
      <c r="B216" s="87"/>
    </row>
    <row r="217" ht="15.75" customHeight="1">
      <c r="B217" s="87"/>
    </row>
    <row r="218" ht="15.75" customHeight="1">
      <c r="B218" s="87"/>
    </row>
    <row r="219" ht="15.75" customHeight="1">
      <c r="B219" s="87"/>
    </row>
    <row r="220" ht="15.75" customHeight="1">
      <c r="B220" s="87"/>
    </row>
    <row r="221" ht="15.75" customHeight="1">
      <c r="B221" s="87"/>
    </row>
    <row r="222" ht="15.75" customHeight="1">
      <c r="B222" s="87"/>
    </row>
    <row r="223" ht="15.75" customHeight="1">
      <c r="B223" s="87"/>
    </row>
    <row r="224" ht="15.75" customHeight="1">
      <c r="B224" s="87"/>
    </row>
    <row r="225" ht="15.75" customHeight="1">
      <c r="B225" s="87"/>
    </row>
    <row r="226" ht="15.75" customHeight="1">
      <c r="B226" s="87"/>
    </row>
    <row r="227" ht="15.75" customHeight="1">
      <c r="B227" s="87"/>
    </row>
    <row r="228" ht="15.75" customHeight="1">
      <c r="B228" s="87"/>
    </row>
    <row r="229" ht="15.75" customHeight="1">
      <c r="B229" s="87"/>
    </row>
    <row r="230" ht="15.75" customHeight="1">
      <c r="B230" s="87"/>
    </row>
    <row r="231" ht="15.75" customHeight="1">
      <c r="B231" s="87"/>
    </row>
    <row r="232" ht="15.75" customHeight="1">
      <c r="B232" s="87"/>
    </row>
    <row r="233" ht="15.75" customHeight="1">
      <c r="B233" s="87"/>
    </row>
    <row r="234" ht="15.75" customHeight="1">
      <c r="B234" s="87"/>
    </row>
    <row r="235" ht="15.75" customHeight="1">
      <c r="B235" s="87"/>
    </row>
    <row r="236" ht="15.75" customHeight="1">
      <c r="B236" s="87"/>
    </row>
    <row r="237" ht="15.75" customHeight="1">
      <c r="B237" s="87"/>
    </row>
    <row r="238" ht="15.75" customHeight="1">
      <c r="B238" s="87"/>
    </row>
    <row r="239" ht="15.75" customHeight="1">
      <c r="B239" s="87"/>
    </row>
    <row r="240" ht="15.75" customHeight="1">
      <c r="B240" s="87"/>
    </row>
    <row r="241" ht="15.75" customHeight="1">
      <c r="B241" s="87"/>
    </row>
    <row r="242" ht="15.75" customHeight="1">
      <c r="B242" s="87"/>
    </row>
    <row r="243" ht="15.75" customHeight="1">
      <c r="B243" s="87"/>
    </row>
    <row r="244" ht="15.75" customHeight="1">
      <c r="B244" s="87"/>
    </row>
    <row r="245" ht="15.75" customHeight="1">
      <c r="B245" s="87"/>
    </row>
    <row r="246" ht="15.75" customHeight="1">
      <c r="B246" s="87"/>
    </row>
    <row r="247" ht="15.75" customHeight="1">
      <c r="B247" s="87"/>
    </row>
    <row r="248" ht="15.75" customHeight="1">
      <c r="B248" s="87"/>
    </row>
    <row r="249" ht="15.75" customHeight="1">
      <c r="B249" s="87"/>
    </row>
    <row r="250" ht="15.75" customHeight="1">
      <c r="B250" s="87"/>
    </row>
    <row r="251" ht="15.75" customHeight="1">
      <c r="B251" s="87"/>
    </row>
    <row r="252" ht="15.75" customHeight="1">
      <c r="B252" s="87"/>
    </row>
    <row r="253" ht="15.75" customHeight="1">
      <c r="B253" s="87"/>
    </row>
    <row r="254" ht="15.75" customHeight="1">
      <c r="B254" s="87"/>
    </row>
    <row r="255" ht="15.75" customHeight="1">
      <c r="B255" s="87"/>
    </row>
    <row r="256" ht="15.75" customHeight="1">
      <c r="B256" s="87"/>
    </row>
    <row r="257" ht="15.75" customHeight="1">
      <c r="B257" s="87"/>
    </row>
    <row r="258" ht="15.75" customHeight="1">
      <c r="B258" s="87"/>
    </row>
    <row r="259" ht="15.75" customHeight="1">
      <c r="B259" s="87"/>
    </row>
    <row r="260" ht="15.75" customHeight="1">
      <c r="B260" s="87"/>
    </row>
    <row r="261" ht="15.75" customHeight="1">
      <c r="B261" s="87"/>
    </row>
    <row r="262" ht="15.75" customHeight="1">
      <c r="B262" s="87"/>
    </row>
    <row r="263" ht="15.75" customHeight="1">
      <c r="B263" s="87"/>
    </row>
    <row r="264" ht="15.75" customHeight="1">
      <c r="B264" s="87"/>
    </row>
    <row r="265" ht="15.75" customHeight="1">
      <c r="B265" s="87"/>
    </row>
    <row r="266" ht="15.75" customHeight="1">
      <c r="B266" s="87"/>
    </row>
    <row r="267" ht="15.75" customHeight="1">
      <c r="B267" s="87"/>
    </row>
    <row r="268" ht="15.75" customHeight="1">
      <c r="B268" s="87"/>
    </row>
    <row r="269" ht="15.75" customHeight="1">
      <c r="B269" s="87"/>
    </row>
    <row r="270" ht="15.75" customHeight="1">
      <c r="B270" s="87"/>
    </row>
    <row r="271" ht="15.75" customHeight="1">
      <c r="B271" s="87"/>
    </row>
    <row r="272" ht="15.75" customHeight="1">
      <c r="B272" s="87"/>
    </row>
    <row r="273" ht="15.75" customHeight="1">
      <c r="B273" s="87"/>
    </row>
    <row r="274" ht="15.75" customHeight="1">
      <c r="B274" s="87"/>
    </row>
    <row r="275" ht="15.75" customHeight="1">
      <c r="B275" s="87"/>
    </row>
    <row r="276" ht="15.75" customHeight="1">
      <c r="B276" s="87"/>
    </row>
    <row r="277" ht="15.75" customHeight="1">
      <c r="B277" s="87"/>
    </row>
    <row r="278" ht="15.75" customHeight="1">
      <c r="B278" s="87"/>
    </row>
    <row r="279" ht="15.75" customHeight="1">
      <c r="B279" s="87"/>
    </row>
    <row r="280" ht="15.75" customHeight="1">
      <c r="B280" s="87"/>
    </row>
    <row r="281" ht="15.75" customHeight="1">
      <c r="B281" s="87"/>
    </row>
    <row r="282" ht="15.75" customHeight="1">
      <c r="B282" s="87"/>
    </row>
    <row r="283" ht="15.75" customHeight="1">
      <c r="B283" s="87"/>
    </row>
    <row r="284" ht="15.75" customHeight="1">
      <c r="B284" s="87"/>
    </row>
    <row r="285" ht="15.75" customHeight="1">
      <c r="B285" s="87"/>
    </row>
    <row r="286" ht="15.75" customHeight="1">
      <c r="B286" s="87"/>
    </row>
    <row r="287" ht="15.75" customHeight="1">
      <c r="B287" s="87"/>
    </row>
    <row r="288" ht="15.75" customHeight="1">
      <c r="B288" s="87"/>
    </row>
    <row r="289" ht="15.75" customHeight="1">
      <c r="B289" s="87"/>
    </row>
    <row r="290" ht="15.75" customHeight="1">
      <c r="B290" s="87"/>
    </row>
    <row r="291" ht="15.75" customHeight="1">
      <c r="B291" s="87"/>
    </row>
    <row r="292" ht="15.75" customHeight="1">
      <c r="B292" s="87"/>
    </row>
    <row r="293" ht="15.75" customHeight="1">
      <c r="B293" s="87"/>
    </row>
    <row r="294" ht="15.75" customHeight="1">
      <c r="B294" s="87"/>
    </row>
    <row r="295" ht="15.75" customHeight="1">
      <c r="B295" s="87"/>
    </row>
    <row r="296" ht="15.75" customHeight="1">
      <c r="B296" s="87"/>
    </row>
    <row r="297" ht="15.75" customHeight="1">
      <c r="B297" s="87"/>
    </row>
    <row r="298" ht="15.75" customHeight="1">
      <c r="B298" s="87"/>
    </row>
    <row r="299" ht="15.75" customHeight="1">
      <c r="B299" s="87"/>
    </row>
    <row r="300" ht="15.75" customHeight="1">
      <c r="B300" s="87"/>
    </row>
    <row r="301" ht="15.75" customHeight="1">
      <c r="B301" s="87"/>
    </row>
    <row r="302" ht="15.75" customHeight="1">
      <c r="B302" s="87"/>
    </row>
    <row r="303" ht="15.75" customHeight="1">
      <c r="B303" s="87"/>
    </row>
    <row r="304" ht="15.75" customHeight="1">
      <c r="B304" s="87"/>
    </row>
    <row r="305" ht="15.75" customHeight="1">
      <c r="B305" s="87"/>
    </row>
    <row r="306" ht="15.75" customHeight="1">
      <c r="B306" s="87"/>
    </row>
    <row r="307" ht="15.75" customHeight="1">
      <c r="B307" s="87"/>
    </row>
    <row r="308" ht="15.75" customHeight="1">
      <c r="B308" s="87"/>
    </row>
    <row r="309" ht="15.75" customHeight="1">
      <c r="B309" s="87"/>
    </row>
    <row r="310" ht="15.75" customHeight="1">
      <c r="B310" s="87"/>
    </row>
    <row r="311" ht="15.75" customHeight="1">
      <c r="B311" s="87"/>
    </row>
    <row r="312" ht="15.75" customHeight="1">
      <c r="B312" s="87"/>
    </row>
    <row r="313" ht="15.75" customHeight="1">
      <c r="B313" s="87"/>
    </row>
    <row r="314" ht="15.75" customHeight="1">
      <c r="B314" s="87"/>
    </row>
    <row r="315" ht="15.75" customHeight="1">
      <c r="B315" s="87"/>
    </row>
    <row r="316" ht="15.75" customHeight="1">
      <c r="B316" s="87"/>
    </row>
    <row r="317" ht="15.75" customHeight="1">
      <c r="B317" s="87"/>
    </row>
    <row r="318" ht="15.75" customHeight="1">
      <c r="B318" s="87"/>
    </row>
    <row r="319" ht="15.75" customHeight="1">
      <c r="B319" s="87"/>
    </row>
    <row r="320" ht="15.75" customHeight="1">
      <c r="B320" s="87"/>
    </row>
    <row r="321" ht="15.75" customHeight="1">
      <c r="B321" s="87"/>
    </row>
    <row r="322" ht="15.75" customHeight="1">
      <c r="B322" s="87"/>
    </row>
    <row r="323" ht="15.75" customHeight="1">
      <c r="B323" s="87"/>
    </row>
    <row r="324" ht="15.75" customHeight="1">
      <c r="B324" s="87"/>
    </row>
    <row r="325" ht="15.75" customHeight="1">
      <c r="B325" s="87"/>
    </row>
    <row r="326" ht="15.75" customHeight="1">
      <c r="B326" s="87"/>
    </row>
    <row r="327" ht="15.75" customHeight="1">
      <c r="B327" s="87"/>
    </row>
    <row r="328" ht="15.75" customHeight="1">
      <c r="B328" s="87"/>
    </row>
    <row r="329" ht="15.75" customHeight="1">
      <c r="B329" s="87"/>
    </row>
    <row r="330" ht="15.75" customHeight="1">
      <c r="B330" s="87"/>
    </row>
    <row r="331" ht="15.75" customHeight="1">
      <c r="B331" s="87"/>
    </row>
    <row r="332" ht="15.75" customHeight="1">
      <c r="B332" s="87"/>
    </row>
    <row r="333" ht="15.75" customHeight="1">
      <c r="B333" s="87"/>
    </row>
    <row r="334" ht="15.75" customHeight="1">
      <c r="B334" s="87"/>
    </row>
    <row r="335" ht="15.75" customHeight="1">
      <c r="B335" s="87"/>
    </row>
    <row r="336" ht="15.75" customHeight="1">
      <c r="B336" s="87"/>
    </row>
    <row r="337" ht="15.75" customHeight="1">
      <c r="B337" s="87"/>
    </row>
    <row r="338" ht="15.75" customHeight="1">
      <c r="B338" s="87"/>
    </row>
    <row r="339" ht="15.75" customHeight="1">
      <c r="B339" s="87"/>
    </row>
    <row r="340" ht="15.75" customHeight="1">
      <c r="B340" s="87"/>
    </row>
    <row r="341" ht="15.75" customHeight="1">
      <c r="B341" s="87"/>
    </row>
    <row r="342" ht="15.75" customHeight="1">
      <c r="B342" s="87"/>
    </row>
    <row r="343" ht="15.75" customHeight="1">
      <c r="B343" s="87"/>
    </row>
    <row r="344" ht="15.75" customHeight="1">
      <c r="B344" s="87"/>
    </row>
    <row r="345" ht="15.75" customHeight="1">
      <c r="B345" s="87"/>
    </row>
    <row r="346" ht="15.75" customHeight="1">
      <c r="B346" s="87"/>
    </row>
    <row r="347" ht="15.75" customHeight="1">
      <c r="B347" s="87"/>
    </row>
    <row r="348" ht="15.75" customHeight="1">
      <c r="B348" s="87"/>
    </row>
    <row r="349" ht="15.75" customHeight="1">
      <c r="B349" s="87"/>
    </row>
    <row r="350" ht="15.75" customHeight="1">
      <c r="B350" s="87"/>
    </row>
    <row r="351" ht="15.75" customHeight="1">
      <c r="B351" s="87"/>
    </row>
    <row r="352" ht="15.75" customHeight="1">
      <c r="B352" s="87"/>
    </row>
    <row r="353" ht="15.75" customHeight="1">
      <c r="B353" s="87"/>
    </row>
    <row r="354" ht="15.75" customHeight="1">
      <c r="B354" s="87"/>
    </row>
    <row r="355" ht="15.75" customHeight="1">
      <c r="B355" s="87"/>
    </row>
    <row r="356" ht="15.75" customHeight="1">
      <c r="B356" s="87"/>
    </row>
    <row r="357" ht="15.75" customHeight="1">
      <c r="B357" s="87"/>
    </row>
    <row r="358" ht="15.75" customHeight="1">
      <c r="B358" s="87"/>
    </row>
    <row r="359" ht="15.75" customHeight="1">
      <c r="B359" s="87"/>
    </row>
    <row r="360" ht="15.75" customHeight="1">
      <c r="B360" s="87"/>
    </row>
    <row r="361" ht="15.75" customHeight="1">
      <c r="B361" s="87"/>
    </row>
    <row r="362" ht="15.75" customHeight="1">
      <c r="B362" s="87"/>
    </row>
    <row r="363" ht="15.75" customHeight="1">
      <c r="B363" s="87"/>
    </row>
    <row r="364" ht="15.75" customHeight="1">
      <c r="B364" s="87"/>
    </row>
    <row r="365" ht="15.75" customHeight="1">
      <c r="B365" s="87"/>
    </row>
    <row r="366" ht="15.75" customHeight="1">
      <c r="B366" s="87"/>
    </row>
    <row r="367" ht="15.75" customHeight="1">
      <c r="B367" s="87"/>
    </row>
    <row r="368" ht="15.75" customHeight="1">
      <c r="B368" s="87"/>
    </row>
    <row r="369" ht="15.75" customHeight="1">
      <c r="B369" s="87"/>
    </row>
    <row r="370" ht="15.75" customHeight="1">
      <c r="B370" s="87"/>
    </row>
    <row r="371" ht="15.75" customHeight="1">
      <c r="B371" s="87"/>
    </row>
    <row r="372" ht="15.75" customHeight="1">
      <c r="B372" s="87"/>
    </row>
    <row r="373" ht="15.75" customHeight="1">
      <c r="B373" s="87"/>
    </row>
    <row r="374" ht="15.75" customHeight="1">
      <c r="B374" s="87"/>
    </row>
    <row r="375" ht="15.75" customHeight="1">
      <c r="B375" s="87"/>
    </row>
    <row r="376" ht="15.75" customHeight="1">
      <c r="B376" s="87"/>
    </row>
    <row r="377" ht="15.75" customHeight="1">
      <c r="B377" s="87"/>
    </row>
    <row r="378" ht="15.75" customHeight="1">
      <c r="B378" s="87"/>
    </row>
    <row r="379" ht="15.75" customHeight="1">
      <c r="B379" s="87"/>
    </row>
    <row r="380" ht="15.75" customHeight="1">
      <c r="B380" s="87"/>
    </row>
    <row r="381" ht="15.75" customHeight="1">
      <c r="B381" s="87"/>
    </row>
    <row r="382" ht="15.75" customHeight="1">
      <c r="B382" s="87"/>
    </row>
    <row r="383" ht="15.75" customHeight="1">
      <c r="B383" s="87"/>
    </row>
    <row r="384" ht="15.75" customHeight="1">
      <c r="B384" s="87"/>
    </row>
    <row r="385" ht="15.75" customHeight="1">
      <c r="B385" s="87"/>
    </row>
    <row r="386" ht="15.75" customHeight="1">
      <c r="B386" s="87"/>
    </row>
    <row r="387" ht="15.75" customHeight="1">
      <c r="B387" s="87"/>
    </row>
    <row r="388" ht="15.75" customHeight="1">
      <c r="B388" s="87"/>
    </row>
    <row r="389" ht="15.75" customHeight="1">
      <c r="B389" s="87"/>
    </row>
    <row r="390" ht="15.75" customHeight="1">
      <c r="B390" s="87"/>
    </row>
    <row r="391" ht="15.75" customHeight="1">
      <c r="B391" s="87"/>
    </row>
    <row r="392" ht="15.75" customHeight="1">
      <c r="B392" s="87"/>
    </row>
    <row r="393" ht="15.75" customHeight="1">
      <c r="B393" s="87"/>
    </row>
    <row r="394" ht="15.75" customHeight="1">
      <c r="B394" s="87"/>
    </row>
    <row r="395" ht="15.75" customHeight="1">
      <c r="B395" s="87"/>
    </row>
    <row r="396" ht="15.75" customHeight="1">
      <c r="B396" s="87"/>
    </row>
    <row r="397" ht="15.75" customHeight="1">
      <c r="B397" s="87"/>
    </row>
    <row r="398" ht="15.75" customHeight="1">
      <c r="B398" s="87"/>
    </row>
    <row r="399" ht="15.75" customHeight="1">
      <c r="B399" s="87"/>
    </row>
    <row r="400" ht="15.75" customHeight="1">
      <c r="B400" s="87"/>
    </row>
    <row r="401" ht="15.75" customHeight="1">
      <c r="B401" s="87"/>
    </row>
    <row r="402" ht="15.75" customHeight="1">
      <c r="B402" s="87"/>
    </row>
    <row r="403" ht="15.75" customHeight="1">
      <c r="B403" s="87"/>
    </row>
    <row r="404" ht="15.75" customHeight="1">
      <c r="B404" s="87"/>
    </row>
    <row r="405" ht="15.75" customHeight="1">
      <c r="B405" s="87"/>
    </row>
    <row r="406" ht="15.75" customHeight="1">
      <c r="B406" s="87"/>
    </row>
    <row r="407" ht="15.75" customHeight="1">
      <c r="B407" s="87"/>
    </row>
    <row r="408" ht="15.75" customHeight="1">
      <c r="B408" s="87"/>
    </row>
    <row r="409" ht="15.75" customHeight="1">
      <c r="B409" s="87"/>
    </row>
    <row r="410" ht="15.75" customHeight="1">
      <c r="B410" s="87"/>
    </row>
    <row r="411" ht="15.75" customHeight="1">
      <c r="B411" s="87"/>
    </row>
    <row r="412" ht="15.75" customHeight="1">
      <c r="B412" s="87"/>
    </row>
    <row r="413" ht="15.75" customHeight="1">
      <c r="B413" s="87"/>
    </row>
    <row r="414" ht="15.75" customHeight="1">
      <c r="B414" s="87"/>
    </row>
    <row r="415" ht="15.75" customHeight="1">
      <c r="B415" s="87"/>
    </row>
    <row r="416" ht="15.75" customHeight="1">
      <c r="B416" s="87"/>
    </row>
    <row r="417" ht="15.75" customHeight="1">
      <c r="B417" s="87"/>
    </row>
    <row r="418" ht="15.75" customHeight="1">
      <c r="B418" s="87"/>
    </row>
    <row r="419" ht="15.75" customHeight="1">
      <c r="B419" s="87"/>
    </row>
    <row r="420" ht="15.75" customHeight="1">
      <c r="B420" s="87"/>
    </row>
    <row r="421" ht="15.75" customHeight="1">
      <c r="B421" s="87"/>
    </row>
    <row r="422" ht="15.75" customHeight="1">
      <c r="B422" s="87"/>
    </row>
    <row r="423" ht="15.75" customHeight="1">
      <c r="B423" s="87"/>
    </row>
    <row r="424" ht="15.75" customHeight="1">
      <c r="B424" s="87"/>
    </row>
    <row r="425" ht="15.75" customHeight="1">
      <c r="B425" s="87"/>
    </row>
    <row r="426" ht="15.75" customHeight="1">
      <c r="B426" s="87"/>
    </row>
    <row r="427" ht="15.75" customHeight="1">
      <c r="B427" s="87"/>
    </row>
    <row r="428" ht="15.75" customHeight="1">
      <c r="B428" s="87"/>
    </row>
    <row r="429" ht="15.75" customHeight="1">
      <c r="B429" s="87"/>
    </row>
    <row r="430" ht="15.75" customHeight="1">
      <c r="B430" s="87"/>
    </row>
    <row r="431" ht="15.75" customHeight="1">
      <c r="B431" s="87"/>
    </row>
    <row r="432" ht="15.75" customHeight="1">
      <c r="B432" s="87"/>
    </row>
    <row r="433" ht="15.75" customHeight="1">
      <c r="B433" s="87"/>
    </row>
    <row r="434" ht="15.75" customHeight="1">
      <c r="B434" s="87"/>
    </row>
    <row r="435" ht="15.75" customHeight="1">
      <c r="B435" s="87"/>
    </row>
    <row r="436" ht="15.75" customHeight="1">
      <c r="B436" s="87"/>
    </row>
    <row r="437" ht="15.75" customHeight="1">
      <c r="B437" s="87"/>
    </row>
    <row r="438" ht="15.75" customHeight="1">
      <c r="B438" s="87"/>
    </row>
    <row r="439" ht="15.75" customHeight="1">
      <c r="B439" s="87"/>
    </row>
    <row r="440" ht="15.75" customHeight="1">
      <c r="B440" s="87"/>
    </row>
    <row r="441" ht="15.75" customHeight="1">
      <c r="B441" s="87"/>
    </row>
    <row r="442" ht="15.75" customHeight="1">
      <c r="B442" s="87"/>
    </row>
    <row r="443" ht="15.75" customHeight="1">
      <c r="B443" s="87"/>
    </row>
    <row r="444" ht="15.75" customHeight="1">
      <c r="B444" s="87"/>
    </row>
    <row r="445" ht="15.75" customHeight="1">
      <c r="B445" s="87"/>
    </row>
    <row r="446" ht="15.75" customHeight="1">
      <c r="B446" s="87"/>
    </row>
    <row r="447" ht="15.75" customHeight="1">
      <c r="B447" s="87"/>
    </row>
    <row r="448" ht="15.75" customHeight="1">
      <c r="B448" s="87"/>
    </row>
    <row r="449" ht="15.75" customHeight="1">
      <c r="B449" s="87"/>
    </row>
    <row r="450" ht="15.75" customHeight="1">
      <c r="B450" s="87"/>
    </row>
    <row r="451" ht="15.75" customHeight="1">
      <c r="B451" s="87"/>
    </row>
    <row r="452" ht="15.75" customHeight="1">
      <c r="B452" s="87"/>
    </row>
    <row r="453" ht="15.75" customHeight="1">
      <c r="B453" s="87"/>
    </row>
    <row r="454" ht="15.75" customHeight="1">
      <c r="B454" s="87"/>
    </row>
    <row r="455" ht="15.75" customHeight="1">
      <c r="B455" s="87"/>
    </row>
    <row r="456" ht="15.75" customHeight="1">
      <c r="B456" s="87"/>
    </row>
    <row r="457" ht="15.75" customHeight="1">
      <c r="B457" s="87"/>
    </row>
    <row r="458" ht="15.75" customHeight="1">
      <c r="B458" s="87"/>
    </row>
    <row r="459" ht="15.75" customHeight="1">
      <c r="B459" s="87"/>
    </row>
    <row r="460" ht="15.75" customHeight="1">
      <c r="B460" s="87"/>
    </row>
    <row r="461" ht="15.75" customHeight="1">
      <c r="B461" s="87"/>
    </row>
    <row r="462" ht="15.75" customHeight="1">
      <c r="B462" s="87"/>
    </row>
    <row r="463" ht="15.75" customHeight="1">
      <c r="B463" s="87"/>
    </row>
    <row r="464" ht="15.75" customHeight="1">
      <c r="B464" s="87"/>
    </row>
    <row r="465" ht="15.75" customHeight="1">
      <c r="B465" s="87"/>
    </row>
    <row r="466" ht="15.75" customHeight="1">
      <c r="B466" s="87"/>
    </row>
    <row r="467" ht="15.75" customHeight="1">
      <c r="B467" s="87"/>
    </row>
    <row r="468" ht="15.75" customHeight="1">
      <c r="B468" s="87"/>
    </row>
    <row r="469" ht="15.75" customHeight="1">
      <c r="B469" s="87"/>
    </row>
    <row r="470" ht="15.75" customHeight="1">
      <c r="B470" s="87"/>
    </row>
    <row r="471" ht="15.75" customHeight="1">
      <c r="B471" s="87"/>
    </row>
    <row r="472" ht="15.75" customHeight="1">
      <c r="B472" s="87"/>
    </row>
    <row r="473" ht="15.75" customHeight="1">
      <c r="B473" s="87"/>
    </row>
    <row r="474" ht="15.75" customHeight="1">
      <c r="B474" s="87"/>
    </row>
    <row r="475" ht="15.75" customHeight="1">
      <c r="B475" s="87"/>
    </row>
    <row r="476" ht="15.75" customHeight="1">
      <c r="B476" s="87"/>
    </row>
    <row r="477" ht="15.75" customHeight="1">
      <c r="B477" s="87"/>
    </row>
    <row r="478" ht="15.75" customHeight="1">
      <c r="B478" s="87"/>
    </row>
    <row r="479" ht="15.75" customHeight="1">
      <c r="B479" s="87"/>
    </row>
    <row r="480" ht="15.75" customHeight="1">
      <c r="B480" s="87"/>
    </row>
    <row r="481" ht="15.75" customHeight="1">
      <c r="B481" s="87"/>
    </row>
    <row r="482" ht="15.75" customHeight="1">
      <c r="B482" s="87"/>
    </row>
    <row r="483" ht="15.75" customHeight="1">
      <c r="B483" s="87"/>
    </row>
    <row r="484" ht="15.75" customHeight="1">
      <c r="B484" s="87"/>
    </row>
    <row r="485" ht="15.75" customHeight="1">
      <c r="B485" s="87"/>
    </row>
    <row r="486" ht="15.75" customHeight="1">
      <c r="B486" s="87"/>
    </row>
    <row r="487" ht="15.75" customHeight="1">
      <c r="B487" s="87"/>
    </row>
    <row r="488" ht="15.75" customHeight="1">
      <c r="B488" s="87"/>
    </row>
    <row r="489" ht="15.75" customHeight="1">
      <c r="B489" s="87"/>
    </row>
    <row r="490" ht="15.75" customHeight="1">
      <c r="B490" s="87"/>
    </row>
    <row r="491" ht="15.75" customHeight="1">
      <c r="B491" s="87"/>
    </row>
    <row r="492" ht="15.75" customHeight="1">
      <c r="B492" s="87"/>
    </row>
    <row r="493" ht="15.75" customHeight="1">
      <c r="B493" s="87"/>
    </row>
    <row r="494" ht="15.75" customHeight="1">
      <c r="B494" s="87"/>
    </row>
    <row r="495" ht="15.75" customHeight="1">
      <c r="B495" s="87"/>
    </row>
    <row r="496" ht="15.75" customHeight="1">
      <c r="B496" s="87"/>
    </row>
    <row r="497" ht="15.75" customHeight="1">
      <c r="B497" s="87"/>
    </row>
    <row r="498" ht="15.75" customHeight="1">
      <c r="B498" s="87"/>
    </row>
    <row r="499" ht="15.75" customHeight="1">
      <c r="B499" s="87"/>
    </row>
    <row r="500" ht="15.75" customHeight="1">
      <c r="B500" s="87"/>
    </row>
    <row r="501" ht="15.75" customHeight="1">
      <c r="B501" s="87"/>
    </row>
    <row r="502" ht="15.75" customHeight="1">
      <c r="B502" s="87"/>
    </row>
    <row r="503" ht="15.75" customHeight="1">
      <c r="B503" s="87"/>
    </row>
    <row r="504" ht="15.75" customHeight="1">
      <c r="B504" s="87"/>
    </row>
    <row r="505" ht="15.75" customHeight="1">
      <c r="B505" s="87"/>
    </row>
    <row r="506" ht="15.75" customHeight="1">
      <c r="B506" s="87"/>
    </row>
    <row r="507" ht="15.75" customHeight="1">
      <c r="B507" s="87"/>
    </row>
    <row r="508" ht="15.75" customHeight="1">
      <c r="B508" s="87"/>
    </row>
    <row r="509" ht="15.75" customHeight="1">
      <c r="B509" s="87"/>
    </row>
    <row r="510" ht="15.75" customHeight="1">
      <c r="B510" s="87"/>
    </row>
    <row r="511" ht="15.75" customHeight="1">
      <c r="B511" s="87"/>
    </row>
    <row r="512" ht="15.75" customHeight="1">
      <c r="B512" s="87"/>
    </row>
    <row r="513" ht="15.75" customHeight="1">
      <c r="B513" s="87"/>
    </row>
    <row r="514" ht="15.75" customHeight="1">
      <c r="B514" s="87"/>
    </row>
    <row r="515" ht="15.75" customHeight="1">
      <c r="B515" s="87"/>
    </row>
    <row r="516" ht="15.75" customHeight="1">
      <c r="B516" s="87"/>
    </row>
    <row r="517" ht="15.75" customHeight="1">
      <c r="B517" s="87"/>
    </row>
    <row r="518" ht="15.75" customHeight="1">
      <c r="B518" s="87"/>
    </row>
    <row r="519" ht="15.75" customHeight="1">
      <c r="B519" s="87"/>
    </row>
    <row r="520" ht="15.75" customHeight="1">
      <c r="B520" s="87"/>
    </row>
    <row r="521" ht="15.75" customHeight="1">
      <c r="B521" s="87"/>
    </row>
    <row r="522" ht="15.75" customHeight="1">
      <c r="B522" s="87"/>
    </row>
    <row r="523" ht="15.75" customHeight="1">
      <c r="B523" s="87"/>
    </row>
    <row r="524" ht="15.75" customHeight="1">
      <c r="B524" s="87"/>
    </row>
    <row r="525" ht="15.75" customHeight="1">
      <c r="B525" s="87"/>
    </row>
    <row r="526" ht="15.75" customHeight="1">
      <c r="B526" s="87"/>
    </row>
    <row r="527" ht="15.75" customHeight="1">
      <c r="B527" s="87"/>
    </row>
    <row r="528" ht="15.75" customHeight="1">
      <c r="B528" s="87"/>
    </row>
    <row r="529" ht="15.75" customHeight="1">
      <c r="B529" s="87"/>
    </row>
    <row r="530" ht="15.75" customHeight="1">
      <c r="B530" s="87"/>
    </row>
    <row r="531" ht="15.75" customHeight="1">
      <c r="B531" s="87"/>
    </row>
    <row r="532" ht="15.75" customHeight="1">
      <c r="B532" s="87"/>
    </row>
    <row r="533" ht="15.75" customHeight="1">
      <c r="B533" s="87"/>
    </row>
    <row r="534" ht="15.75" customHeight="1">
      <c r="B534" s="87"/>
    </row>
    <row r="535" ht="15.75" customHeight="1">
      <c r="B535" s="87"/>
    </row>
    <row r="536" ht="15.75" customHeight="1">
      <c r="B536" s="87"/>
    </row>
    <row r="537" ht="15.75" customHeight="1">
      <c r="B537" s="87"/>
    </row>
    <row r="538" ht="15.75" customHeight="1">
      <c r="B538" s="87"/>
    </row>
    <row r="539" ht="15.75" customHeight="1">
      <c r="B539" s="87"/>
    </row>
    <row r="540" ht="15.75" customHeight="1">
      <c r="B540" s="87"/>
    </row>
    <row r="541" ht="15.75" customHeight="1">
      <c r="B541" s="87"/>
    </row>
    <row r="542" ht="15.75" customHeight="1">
      <c r="B542" s="87"/>
    </row>
    <row r="543" ht="15.75" customHeight="1">
      <c r="B543" s="87"/>
    </row>
    <row r="544" ht="15.75" customHeight="1">
      <c r="B544" s="87"/>
    </row>
    <row r="545" ht="15.75" customHeight="1">
      <c r="B545" s="87"/>
    </row>
    <row r="546" ht="15.75" customHeight="1">
      <c r="B546" s="87"/>
    </row>
    <row r="547" ht="15.75" customHeight="1">
      <c r="B547" s="87"/>
    </row>
    <row r="548" ht="15.75" customHeight="1">
      <c r="B548" s="87"/>
    </row>
    <row r="549" ht="15.75" customHeight="1">
      <c r="B549" s="87"/>
    </row>
    <row r="550" ht="15.75" customHeight="1">
      <c r="B550" s="87"/>
    </row>
    <row r="551" ht="15.75" customHeight="1">
      <c r="B551" s="87"/>
    </row>
    <row r="552" ht="15.75" customHeight="1">
      <c r="B552" s="87"/>
    </row>
    <row r="553" ht="15.75" customHeight="1">
      <c r="B553" s="87"/>
    </row>
    <row r="554" ht="15.75" customHeight="1">
      <c r="B554" s="87"/>
    </row>
    <row r="555" ht="15.75" customHeight="1">
      <c r="B555" s="87"/>
    </row>
    <row r="556" ht="15.75" customHeight="1">
      <c r="B556" s="87"/>
    </row>
    <row r="557" ht="15.75" customHeight="1">
      <c r="B557" s="87"/>
    </row>
    <row r="558" ht="15.75" customHeight="1">
      <c r="B558" s="87"/>
    </row>
    <row r="559" ht="15.75" customHeight="1">
      <c r="B559" s="87"/>
    </row>
    <row r="560" ht="15.75" customHeight="1">
      <c r="B560" s="87"/>
    </row>
    <row r="561" ht="15.75" customHeight="1">
      <c r="B561" s="87"/>
    </row>
    <row r="562" ht="15.75" customHeight="1">
      <c r="B562" s="87"/>
    </row>
    <row r="563" ht="15.75" customHeight="1">
      <c r="B563" s="87"/>
    </row>
    <row r="564" ht="15.75" customHeight="1">
      <c r="B564" s="87"/>
    </row>
    <row r="565" ht="15.75" customHeight="1">
      <c r="B565" s="87"/>
    </row>
    <row r="566" ht="15.75" customHeight="1">
      <c r="B566" s="87"/>
    </row>
    <row r="567" ht="15.75" customHeight="1">
      <c r="B567" s="87"/>
    </row>
    <row r="568" ht="15.75" customHeight="1">
      <c r="B568" s="87"/>
    </row>
    <row r="569" ht="15.75" customHeight="1">
      <c r="B569" s="87"/>
    </row>
    <row r="570" ht="15.75" customHeight="1">
      <c r="B570" s="87"/>
    </row>
    <row r="571" ht="15.75" customHeight="1">
      <c r="B571" s="87"/>
    </row>
    <row r="572" ht="15.75" customHeight="1">
      <c r="B572" s="87"/>
    </row>
    <row r="573" ht="15.75" customHeight="1">
      <c r="B573" s="87"/>
    </row>
    <row r="574" ht="15.75" customHeight="1">
      <c r="B574" s="87"/>
    </row>
    <row r="575" ht="15.75" customHeight="1">
      <c r="B575" s="87"/>
    </row>
    <row r="576" ht="15.75" customHeight="1">
      <c r="B576" s="87"/>
    </row>
    <row r="577" ht="15.75" customHeight="1">
      <c r="B577" s="87"/>
    </row>
    <row r="578" ht="15.75" customHeight="1">
      <c r="B578" s="87"/>
    </row>
    <row r="579" ht="15.75" customHeight="1">
      <c r="B579" s="87"/>
    </row>
    <row r="580" ht="15.75" customHeight="1">
      <c r="B580" s="87"/>
    </row>
    <row r="581" ht="15.75" customHeight="1">
      <c r="B581" s="87"/>
    </row>
    <row r="582" ht="15.75" customHeight="1">
      <c r="B582" s="87"/>
    </row>
    <row r="583" ht="15.75" customHeight="1">
      <c r="B583" s="87"/>
    </row>
    <row r="584" ht="15.75" customHeight="1">
      <c r="B584" s="87"/>
    </row>
    <row r="585" ht="15.75" customHeight="1">
      <c r="B585" s="87"/>
    </row>
    <row r="586" ht="15.75" customHeight="1">
      <c r="B586" s="87"/>
    </row>
    <row r="587" ht="15.75" customHeight="1">
      <c r="B587" s="87"/>
    </row>
    <row r="588" ht="15.75" customHeight="1">
      <c r="B588" s="87"/>
    </row>
    <row r="589" ht="15.75" customHeight="1">
      <c r="B589" s="87"/>
    </row>
    <row r="590" ht="15.75" customHeight="1">
      <c r="B590" s="87"/>
    </row>
    <row r="591" ht="15.75" customHeight="1">
      <c r="B591" s="87"/>
    </row>
    <row r="592" ht="15.75" customHeight="1">
      <c r="B592" s="87"/>
    </row>
    <row r="593" ht="15.75" customHeight="1">
      <c r="B593" s="87"/>
    </row>
    <row r="594" ht="15.75" customHeight="1">
      <c r="B594" s="87"/>
    </row>
    <row r="595" ht="15.75" customHeight="1">
      <c r="B595" s="87"/>
    </row>
    <row r="596" ht="15.75" customHeight="1">
      <c r="B596" s="87"/>
    </row>
    <row r="597" ht="15.75" customHeight="1">
      <c r="B597" s="87"/>
    </row>
    <row r="598" ht="15.75" customHeight="1">
      <c r="B598" s="87"/>
    </row>
    <row r="599" ht="15.75" customHeight="1">
      <c r="B599" s="87"/>
    </row>
    <row r="600" ht="15.75" customHeight="1">
      <c r="B600" s="87"/>
    </row>
    <row r="601" ht="15.75" customHeight="1">
      <c r="B601" s="87"/>
    </row>
    <row r="602" ht="15.75" customHeight="1">
      <c r="B602" s="87"/>
    </row>
    <row r="603" ht="15.75" customHeight="1">
      <c r="B603" s="87"/>
    </row>
    <row r="604" ht="15.75" customHeight="1">
      <c r="B604" s="87"/>
    </row>
    <row r="605" ht="15.75" customHeight="1">
      <c r="B605" s="87"/>
    </row>
    <row r="606" ht="15.75" customHeight="1">
      <c r="B606" s="87"/>
    </row>
    <row r="607" ht="15.75" customHeight="1">
      <c r="B607" s="87"/>
    </row>
    <row r="608" ht="15.75" customHeight="1">
      <c r="B608" s="87"/>
    </row>
    <row r="609" ht="15.75" customHeight="1">
      <c r="B609" s="87"/>
    </row>
    <row r="610" ht="15.75" customHeight="1">
      <c r="B610" s="87"/>
    </row>
    <row r="611" ht="15.75" customHeight="1">
      <c r="B611" s="87"/>
    </row>
    <row r="612" ht="15.75" customHeight="1">
      <c r="B612" s="87"/>
    </row>
    <row r="613" ht="15.75" customHeight="1">
      <c r="B613" s="87"/>
    </row>
    <row r="614" ht="15.75" customHeight="1">
      <c r="B614" s="87"/>
    </row>
    <row r="615" ht="15.75" customHeight="1">
      <c r="B615" s="87"/>
    </row>
    <row r="616" ht="15.75" customHeight="1">
      <c r="B616" s="87"/>
    </row>
    <row r="617" ht="15.75" customHeight="1">
      <c r="B617" s="87"/>
    </row>
    <row r="618" ht="15.75" customHeight="1">
      <c r="B618" s="87"/>
    </row>
    <row r="619" ht="15.75" customHeight="1">
      <c r="B619" s="87"/>
    </row>
    <row r="620" ht="15.75" customHeight="1">
      <c r="B620" s="87"/>
    </row>
    <row r="621" ht="15.75" customHeight="1">
      <c r="B621" s="87"/>
    </row>
    <row r="622" ht="15.75" customHeight="1">
      <c r="B622" s="87"/>
    </row>
    <row r="623" ht="15.75" customHeight="1">
      <c r="B623" s="87"/>
    </row>
    <row r="624" ht="15.75" customHeight="1">
      <c r="B624" s="87"/>
    </row>
    <row r="625" ht="15.75" customHeight="1">
      <c r="B625" s="87"/>
    </row>
    <row r="626" ht="15.75" customHeight="1">
      <c r="B626" s="87"/>
    </row>
    <row r="627" ht="15.75" customHeight="1">
      <c r="B627" s="87"/>
    </row>
    <row r="628" ht="15.75" customHeight="1">
      <c r="B628" s="87"/>
    </row>
    <row r="629" ht="15.75" customHeight="1">
      <c r="B629" s="87"/>
    </row>
    <row r="630" ht="15.75" customHeight="1">
      <c r="B630" s="87"/>
    </row>
    <row r="631" ht="15.75" customHeight="1">
      <c r="B631" s="87"/>
    </row>
    <row r="632" ht="15.75" customHeight="1">
      <c r="B632" s="87"/>
    </row>
    <row r="633" ht="15.75" customHeight="1">
      <c r="B633" s="87"/>
    </row>
    <row r="634" ht="15.75" customHeight="1">
      <c r="B634" s="87"/>
    </row>
    <row r="635" ht="15.75" customHeight="1">
      <c r="B635" s="87"/>
    </row>
    <row r="636" ht="15.75" customHeight="1">
      <c r="B636" s="87"/>
    </row>
    <row r="637" ht="15.75" customHeight="1">
      <c r="B637" s="87"/>
    </row>
    <row r="638" ht="15.75" customHeight="1">
      <c r="B638" s="87"/>
    </row>
    <row r="639" ht="15.75" customHeight="1">
      <c r="B639" s="87"/>
    </row>
    <row r="640" ht="15.75" customHeight="1">
      <c r="B640" s="87"/>
    </row>
    <row r="641" ht="15.75" customHeight="1">
      <c r="B641" s="87"/>
    </row>
    <row r="642" ht="15.75" customHeight="1">
      <c r="B642" s="87"/>
    </row>
    <row r="643" ht="15.75" customHeight="1">
      <c r="B643" s="87"/>
    </row>
    <row r="644" ht="15.75" customHeight="1">
      <c r="B644" s="87"/>
    </row>
    <row r="645" ht="15.75" customHeight="1">
      <c r="B645" s="87"/>
    </row>
    <row r="646" ht="15.75" customHeight="1">
      <c r="B646" s="87"/>
    </row>
    <row r="647" ht="15.75" customHeight="1">
      <c r="B647" s="87"/>
    </row>
    <row r="648" ht="15.75" customHeight="1">
      <c r="B648" s="87"/>
    </row>
    <row r="649" ht="15.75" customHeight="1">
      <c r="B649" s="87"/>
    </row>
    <row r="650" ht="15.75" customHeight="1">
      <c r="B650" s="87"/>
    </row>
    <row r="651" ht="15.75" customHeight="1">
      <c r="B651" s="87"/>
    </row>
    <row r="652" ht="15.75" customHeight="1">
      <c r="B652" s="87"/>
    </row>
    <row r="653" ht="15.75" customHeight="1">
      <c r="B653" s="87"/>
    </row>
    <row r="654" ht="15.75" customHeight="1">
      <c r="B654" s="87"/>
    </row>
    <row r="655" ht="15.75" customHeight="1">
      <c r="B655" s="87"/>
    </row>
    <row r="656" ht="15.75" customHeight="1">
      <c r="B656" s="87"/>
    </row>
    <row r="657" ht="15.75" customHeight="1">
      <c r="B657" s="87"/>
    </row>
    <row r="658" ht="15.75" customHeight="1">
      <c r="B658" s="87"/>
    </row>
    <row r="659" ht="15.75" customHeight="1">
      <c r="B659" s="87"/>
    </row>
    <row r="660" ht="15.75" customHeight="1">
      <c r="B660" s="87"/>
    </row>
    <row r="661" ht="15.75" customHeight="1">
      <c r="B661" s="87"/>
    </row>
    <row r="662" ht="15.75" customHeight="1">
      <c r="B662" s="87"/>
    </row>
    <row r="663" ht="15.75" customHeight="1">
      <c r="B663" s="87"/>
    </row>
    <row r="664" ht="15.75" customHeight="1">
      <c r="B664" s="87"/>
    </row>
    <row r="665" ht="15.75" customHeight="1">
      <c r="B665" s="87"/>
    </row>
    <row r="666" ht="15.75" customHeight="1">
      <c r="B666" s="87"/>
    </row>
    <row r="667" ht="15.75" customHeight="1">
      <c r="B667" s="87"/>
    </row>
    <row r="668" ht="15.75" customHeight="1">
      <c r="B668" s="87"/>
    </row>
    <row r="669" ht="15.75" customHeight="1">
      <c r="B669" s="87"/>
    </row>
    <row r="670" ht="15.75" customHeight="1">
      <c r="B670" s="87"/>
    </row>
    <row r="671" ht="15.75" customHeight="1">
      <c r="B671" s="87"/>
    </row>
    <row r="672" ht="15.75" customHeight="1">
      <c r="B672" s="87"/>
    </row>
    <row r="673" ht="15.75" customHeight="1">
      <c r="B673" s="87"/>
    </row>
    <row r="674" ht="15.75" customHeight="1">
      <c r="B674" s="87"/>
    </row>
    <row r="675" ht="15.75" customHeight="1">
      <c r="B675" s="87"/>
    </row>
    <row r="676" ht="15.75" customHeight="1">
      <c r="B676" s="87"/>
    </row>
    <row r="677" ht="15.75" customHeight="1">
      <c r="B677" s="87"/>
    </row>
    <row r="678" ht="15.75" customHeight="1">
      <c r="B678" s="87"/>
    </row>
    <row r="679" ht="15.75" customHeight="1">
      <c r="B679" s="87"/>
    </row>
    <row r="680" ht="15.75" customHeight="1">
      <c r="B680" s="87"/>
    </row>
    <row r="681" ht="15.75" customHeight="1">
      <c r="B681" s="87"/>
    </row>
    <row r="682" ht="15.75" customHeight="1">
      <c r="B682" s="87"/>
    </row>
    <row r="683" ht="15.75" customHeight="1">
      <c r="B683" s="87"/>
    </row>
    <row r="684" ht="15.75" customHeight="1">
      <c r="B684" s="87"/>
    </row>
    <row r="685" ht="15.75" customHeight="1">
      <c r="B685" s="87"/>
    </row>
    <row r="686" ht="15.75" customHeight="1">
      <c r="B686" s="87"/>
    </row>
    <row r="687" ht="15.75" customHeight="1">
      <c r="B687" s="87"/>
    </row>
    <row r="688" ht="15.75" customHeight="1">
      <c r="B688" s="87"/>
    </row>
    <row r="689" ht="15.75" customHeight="1">
      <c r="B689" s="87"/>
    </row>
    <row r="690" ht="15.75" customHeight="1">
      <c r="B690" s="87"/>
    </row>
    <row r="691" ht="15.75" customHeight="1">
      <c r="B691" s="87"/>
    </row>
    <row r="692" ht="15.75" customHeight="1">
      <c r="B692" s="87"/>
    </row>
    <row r="693" ht="15.75" customHeight="1">
      <c r="B693" s="87"/>
    </row>
    <row r="694" ht="15.75" customHeight="1">
      <c r="B694" s="87"/>
    </row>
    <row r="695" ht="15.75" customHeight="1">
      <c r="B695" s="87"/>
    </row>
    <row r="696" ht="15.75" customHeight="1">
      <c r="B696" s="87"/>
    </row>
    <row r="697" ht="15.75" customHeight="1">
      <c r="B697" s="87"/>
    </row>
    <row r="698" ht="15.75" customHeight="1">
      <c r="B698" s="87"/>
    </row>
    <row r="699" ht="15.75" customHeight="1">
      <c r="B699" s="87"/>
    </row>
    <row r="700" ht="15.75" customHeight="1">
      <c r="B700" s="87"/>
    </row>
    <row r="701" ht="15.75" customHeight="1">
      <c r="B701" s="87"/>
    </row>
    <row r="702" ht="15.75" customHeight="1">
      <c r="B702" s="87"/>
    </row>
    <row r="703" ht="15.75" customHeight="1">
      <c r="B703" s="87"/>
    </row>
    <row r="704" ht="15.75" customHeight="1">
      <c r="B704" s="87"/>
    </row>
    <row r="705" ht="15.75" customHeight="1">
      <c r="B705" s="87"/>
    </row>
    <row r="706" ht="15.75" customHeight="1">
      <c r="B706" s="87"/>
    </row>
    <row r="707" ht="15.75" customHeight="1">
      <c r="B707" s="87"/>
    </row>
    <row r="708" ht="15.75" customHeight="1">
      <c r="B708" s="87"/>
    </row>
    <row r="709" ht="15.75" customHeight="1">
      <c r="B709" s="87"/>
    </row>
    <row r="710" ht="15.75" customHeight="1">
      <c r="B710" s="87"/>
    </row>
    <row r="711" ht="15.75" customHeight="1">
      <c r="B711" s="87"/>
    </row>
    <row r="712" ht="15.75" customHeight="1">
      <c r="B712" s="87"/>
    </row>
    <row r="713" ht="15.75" customHeight="1">
      <c r="B713" s="87"/>
    </row>
    <row r="714" ht="15.75" customHeight="1">
      <c r="B714" s="87"/>
    </row>
    <row r="715" ht="15.75" customHeight="1">
      <c r="B715" s="87"/>
    </row>
    <row r="716" ht="15.75" customHeight="1">
      <c r="B716" s="87"/>
    </row>
    <row r="717" ht="15.75" customHeight="1">
      <c r="B717" s="87"/>
    </row>
    <row r="718" ht="15.75" customHeight="1">
      <c r="B718" s="87"/>
    </row>
    <row r="719" ht="15.75" customHeight="1">
      <c r="B719" s="87"/>
    </row>
    <row r="720" ht="15.75" customHeight="1">
      <c r="B720" s="87"/>
    </row>
    <row r="721" ht="15.75" customHeight="1">
      <c r="B721" s="87"/>
    </row>
    <row r="722" ht="15.75" customHeight="1">
      <c r="B722" s="87"/>
    </row>
    <row r="723" ht="15.75" customHeight="1">
      <c r="B723" s="87"/>
    </row>
    <row r="724" ht="15.75" customHeight="1">
      <c r="B724" s="87"/>
    </row>
    <row r="725" ht="15.75" customHeight="1">
      <c r="B725" s="87"/>
    </row>
    <row r="726" ht="15.75" customHeight="1">
      <c r="B726" s="87"/>
    </row>
    <row r="727" ht="15.75" customHeight="1">
      <c r="B727" s="87"/>
    </row>
    <row r="728" ht="15.75" customHeight="1">
      <c r="B728" s="87"/>
    </row>
    <row r="729" ht="15.75" customHeight="1">
      <c r="B729" s="87"/>
    </row>
    <row r="730" ht="15.75" customHeight="1">
      <c r="B730" s="87"/>
    </row>
    <row r="731" ht="15.75" customHeight="1">
      <c r="B731" s="87"/>
    </row>
    <row r="732" ht="15.75" customHeight="1">
      <c r="B732" s="87"/>
    </row>
    <row r="733" ht="15.75" customHeight="1">
      <c r="B733" s="87"/>
    </row>
    <row r="734" ht="15.75" customHeight="1">
      <c r="B734" s="87"/>
    </row>
    <row r="735" ht="15.75" customHeight="1">
      <c r="B735" s="87"/>
    </row>
    <row r="736" ht="15.75" customHeight="1">
      <c r="B736" s="87"/>
    </row>
    <row r="737" ht="15.75" customHeight="1">
      <c r="B737" s="87"/>
    </row>
    <row r="738" ht="15.75" customHeight="1">
      <c r="B738" s="87"/>
    </row>
    <row r="739" ht="15.75" customHeight="1">
      <c r="B739" s="87"/>
    </row>
    <row r="740" ht="15.75" customHeight="1">
      <c r="B740" s="87"/>
    </row>
    <row r="741" ht="15.75" customHeight="1">
      <c r="B741" s="87"/>
    </row>
    <row r="742" ht="15.75" customHeight="1">
      <c r="B742" s="87"/>
    </row>
    <row r="743" ht="15.75" customHeight="1">
      <c r="B743" s="87"/>
    </row>
    <row r="744" ht="15.75" customHeight="1">
      <c r="B744" s="87"/>
    </row>
    <row r="745" ht="15.75" customHeight="1">
      <c r="B745" s="87"/>
    </row>
    <row r="746" ht="15.75" customHeight="1">
      <c r="B746" s="87"/>
    </row>
    <row r="747" ht="15.75" customHeight="1">
      <c r="B747" s="87"/>
    </row>
    <row r="748" ht="15.75" customHeight="1">
      <c r="B748" s="87"/>
    </row>
    <row r="749" ht="15.75" customHeight="1">
      <c r="B749" s="87"/>
    </row>
    <row r="750" ht="15.75" customHeight="1">
      <c r="B750" s="87"/>
    </row>
    <row r="751" ht="15.75" customHeight="1">
      <c r="B751" s="87"/>
    </row>
    <row r="752" ht="15.75" customHeight="1">
      <c r="B752" s="87"/>
    </row>
    <row r="753" ht="15.75" customHeight="1">
      <c r="B753" s="87"/>
    </row>
    <row r="754" ht="15.75" customHeight="1">
      <c r="B754" s="87"/>
    </row>
    <row r="755" ht="15.75" customHeight="1">
      <c r="B755" s="87"/>
    </row>
    <row r="756" ht="15.75" customHeight="1">
      <c r="B756" s="87"/>
    </row>
    <row r="757" ht="15.75" customHeight="1">
      <c r="B757" s="87"/>
    </row>
    <row r="758" ht="15.75" customHeight="1">
      <c r="B758" s="87"/>
    </row>
    <row r="759" ht="15.75" customHeight="1">
      <c r="B759" s="87"/>
    </row>
    <row r="760" ht="15.75" customHeight="1">
      <c r="B760" s="87"/>
    </row>
    <row r="761" ht="15.75" customHeight="1">
      <c r="B761" s="87"/>
    </row>
    <row r="762" ht="15.75" customHeight="1">
      <c r="B762" s="87"/>
    </row>
    <row r="763" ht="15.75" customHeight="1">
      <c r="B763" s="87"/>
    </row>
    <row r="764" ht="15.75" customHeight="1">
      <c r="B764" s="87"/>
    </row>
    <row r="765" ht="15.75" customHeight="1">
      <c r="B765" s="87"/>
    </row>
    <row r="766" ht="15.75" customHeight="1">
      <c r="B766" s="87"/>
    </row>
    <row r="767" ht="15.75" customHeight="1">
      <c r="B767" s="87"/>
    </row>
    <row r="768" ht="15.75" customHeight="1">
      <c r="B768" s="87"/>
    </row>
    <row r="769" ht="15.75" customHeight="1">
      <c r="B769" s="87"/>
    </row>
    <row r="770" ht="15.75" customHeight="1">
      <c r="B770" s="87"/>
    </row>
    <row r="771" ht="15.75" customHeight="1">
      <c r="B771" s="87"/>
    </row>
    <row r="772" ht="15.75" customHeight="1">
      <c r="B772" s="87"/>
    </row>
    <row r="773" ht="15.75" customHeight="1">
      <c r="B773" s="87"/>
    </row>
    <row r="774" ht="15.75" customHeight="1">
      <c r="B774" s="87"/>
    </row>
    <row r="775" ht="15.75" customHeight="1">
      <c r="B775" s="87"/>
    </row>
    <row r="776" ht="15.75" customHeight="1">
      <c r="B776" s="87"/>
    </row>
    <row r="777" ht="15.75" customHeight="1">
      <c r="B777" s="87"/>
    </row>
    <row r="778" ht="15.75" customHeight="1">
      <c r="B778" s="87"/>
    </row>
    <row r="779" ht="15.75" customHeight="1">
      <c r="B779" s="87"/>
    </row>
    <row r="780" ht="15.75" customHeight="1">
      <c r="B780" s="87"/>
    </row>
    <row r="781" ht="15.75" customHeight="1">
      <c r="B781" s="87"/>
    </row>
    <row r="782" ht="15.75" customHeight="1">
      <c r="B782" s="87"/>
    </row>
    <row r="783" ht="15.75" customHeight="1">
      <c r="B783" s="87"/>
    </row>
    <row r="784" ht="15.75" customHeight="1">
      <c r="B784" s="87"/>
    </row>
    <row r="785" ht="15.75" customHeight="1">
      <c r="B785" s="87"/>
    </row>
    <row r="786" ht="15.75" customHeight="1">
      <c r="B786" s="87"/>
    </row>
    <row r="787" ht="15.75" customHeight="1">
      <c r="B787" s="87"/>
    </row>
    <row r="788" ht="15.75" customHeight="1">
      <c r="B788" s="87"/>
    </row>
    <row r="789" ht="15.75" customHeight="1">
      <c r="B789" s="87"/>
    </row>
    <row r="790" ht="15.75" customHeight="1">
      <c r="B790" s="87"/>
    </row>
    <row r="791" ht="15.75" customHeight="1">
      <c r="B791" s="87"/>
    </row>
    <row r="792" ht="15.75" customHeight="1">
      <c r="B792" s="87"/>
    </row>
    <row r="793" ht="15.75" customHeight="1">
      <c r="B793" s="87"/>
    </row>
    <row r="794" ht="15.75" customHeight="1">
      <c r="B794" s="87"/>
    </row>
    <row r="795" ht="15.75" customHeight="1">
      <c r="B795" s="87"/>
    </row>
    <row r="796" ht="15.75" customHeight="1">
      <c r="B796" s="87"/>
    </row>
    <row r="797" ht="15.75" customHeight="1">
      <c r="B797" s="87"/>
    </row>
    <row r="798" ht="15.75" customHeight="1">
      <c r="B798" s="87"/>
    </row>
    <row r="799" ht="15.75" customHeight="1">
      <c r="B799" s="87"/>
    </row>
    <row r="800" ht="15.75" customHeight="1">
      <c r="B800" s="87"/>
    </row>
    <row r="801" ht="15.75" customHeight="1">
      <c r="B801" s="87"/>
    </row>
    <row r="802" ht="15.75" customHeight="1">
      <c r="B802" s="87"/>
    </row>
    <row r="803" ht="15.75" customHeight="1">
      <c r="B803" s="87"/>
    </row>
    <row r="804" ht="15.75" customHeight="1">
      <c r="B804" s="87"/>
    </row>
    <row r="805" ht="15.75" customHeight="1">
      <c r="B805" s="87"/>
    </row>
    <row r="806" ht="15.75" customHeight="1">
      <c r="B806" s="87"/>
    </row>
    <row r="807" ht="15.75" customHeight="1">
      <c r="B807" s="87"/>
    </row>
    <row r="808" ht="15.75" customHeight="1">
      <c r="B808" s="87"/>
    </row>
    <row r="809" ht="15.75" customHeight="1">
      <c r="B809" s="87"/>
    </row>
    <row r="810" ht="15.75" customHeight="1">
      <c r="B810" s="87"/>
    </row>
    <row r="811" ht="15.75" customHeight="1">
      <c r="B811" s="87"/>
    </row>
    <row r="812" ht="15.75" customHeight="1">
      <c r="B812" s="87"/>
    </row>
    <row r="813" ht="15.75" customHeight="1">
      <c r="B813" s="87"/>
    </row>
    <row r="814" ht="15.75" customHeight="1">
      <c r="B814" s="87"/>
    </row>
    <row r="815" ht="15.75" customHeight="1">
      <c r="B815" s="87"/>
    </row>
    <row r="816" ht="15.75" customHeight="1">
      <c r="B816" s="87"/>
    </row>
    <row r="817" ht="15.75" customHeight="1">
      <c r="B817" s="87"/>
    </row>
    <row r="818" ht="15.75" customHeight="1">
      <c r="B818" s="87"/>
    </row>
    <row r="819" ht="15.75" customHeight="1">
      <c r="B819" s="87"/>
    </row>
    <row r="820" ht="15.75" customHeight="1">
      <c r="B820" s="87"/>
    </row>
    <row r="821" ht="15.75" customHeight="1">
      <c r="B821" s="87"/>
    </row>
    <row r="822" ht="15.75" customHeight="1">
      <c r="B822" s="87"/>
    </row>
    <row r="823" ht="15.75" customHeight="1">
      <c r="B823" s="87"/>
    </row>
    <row r="824" ht="15.75" customHeight="1">
      <c r="B824" s="87"/>
    </row>
    <row r="825" ht="15.75" customHeight="1">
      <c r="B825" s="87"/>
    </row>
    <row r="826" ht="15.75" customHeight="1">
      <c r="B826" s="87"/>
    </row>
    <row r="827" ht="15.75" customHeight="1">
      <c r="B827" s="87"/>
    </row>
    <row r="828" ht="15.75" customHeight="1">
      <c r="B828" s="87"/>
    </row>
    <row r="829" ht="15.75" customHeight="1">
      <c r="B829" s="87"/>
    </row>
    <row r="830" ht="15.75" customHeight="1">
      <c r="B830" s="87"/>
    </row>
    <row r="831" ht="15.75" customHeight="1">
      <c r="B831" s="87"/>
    </row>
    <row r="832" ht="15.75" customHeight="1">
      <c r="B832" s="87"/>
    </row>
    <row r="833" ht="15.75" customHeight="1">
      <c r="B833" s="87"/>
    </row>
    <row r="834" ht="15.75" customHeight="1">
      <c r="B834" s="87"/>
    </row>
    <row r="835" ht="15.75" customHeight="1">
      <c r="B835" s="87"/>
    </row>
    <row r="836" ht="15.75" customHeight="1">
      <c r="B836" s="87"/>
    </row>
    <row r="837" ht="15.75" customHeight="1">
      <c r="B837" s="87"/>
    </row>
    <row r="838" ht="15.75" customHeight="1">
      <c r="B838" s="87"/>
    </row>
    <row r="839" ht="15.75" customHeight="1">
      <c r="B839" s="87"/>
    </row>
    <row r="840" ht="15.75" customHeight="1">
      <c r="B840" s="87"/>
    </row>
    <row r="841" ht="15.75" customHeight="1">
      <c r="B841" s="87"/>
    </row>
    <row r="842" ht="15.75" customHeight="1">
      <c r="B842" s="87"/>
    </row>
    <row r="843" ht="15.75" customHeight="1">
      <c r="B843" s="87"/>
    </row>
    <row r="844" ht="15.75" customHeight="1">
      <c r="B844" s="87"/>
    </row>
    <row r="845" ht="15.75" customHeight="1">
      <c r="B845" s="87"/>
    </row>
    <row r="846" ht="15.75" customHeight="1">
      <c r="B846" s="87"/>
    </row>
    <row r="847" ht="15.75" customHeight="1">
      <c r="B847" s="87"/>
    </row>
    <row r="848" ht="15.75" customHeight="1">
      <c r="B848" s="87"/>
    </row>
    <row r="849" ht="15.75" customHeight="1">
      <c r="B849" s="87"/>
    </row>
    <row r="850" ht="15.75" customHeight="1">
      <c r="B850" s="87"/>
    </row>
    <row r="851" ht="15.75" customHeight="1">
      <c r="B851" s="87"/>
    </row>
    <row r="852" ht="15.75" customHeight="1">
      <c r="B852" s="87"/>
    </row>
    <row r="853" ht="15.75" customHeight="1">
      <c r="B853" s="87"/>
    </row>
    <row r="854" ht="15.75" customHeight="1">
      <c r="B854" s="87"/>
    </row>
    <row r="855" ht="15.75" customHeight="1">
      <c r="B855" s="87"/>
    </row>
    <row r="856" ht="15.75" customHeight="1">
      <c r="B856" s="87"/>
    </row>
    <row r="857" ht="15.75" customHeight="1">
      <c r="B857" s="87"/>
    </row>
    <row r="858" ht="15.75" customHeight="1">
      <c r="B858" s="87"/>
    </row>
    <row r="859" ht="15.75" customHeight="1">
      <c r="B859" s="87"/>
    </row>
    <row r="860" ht="15.75" customHeight="1">
      <c r="B860" s="87"/>
    </row>
    <row r="861" ht="15.75" customHeight="1">
      <c r="B861" s="87"/>
    </row>
    <row r="862" ht="15.75" customHeight="1">
      <c r="B862" s="87"/>
    </row>
    <row r="863" ht="15.75" customHeight="1">
      <c r="B863" s="87"/>
    </row>
    <row r="864" ht="15.75" customHeight="1">
      <c r="B864" s="87"/>
    </row>
    <row r="865" ht="15.75" customHeight="1">
      <c r="B865" s="87"/>
    </row>
    <row r="866" ht="15.75" customHeight="1">
      <c r="B866" s="87"/>
    </row>
    <row r="867" ht="15.75" customHeight="1">
      <c r="B867" s="87"/>
    </row>
    <row r="868" ht="15.75" customHeight="1">
      <c r="B868" s="87"/>
    </row>
    <row r="869" ht="15.75" customHeight="1">
      <c r="B869" s="87"/>
    </row>
    <row r="870" ht="15.75" customHeight="1">
      <c r="B870" s="87"/>
    </row>
    <row r="871" ht="15.75" customHeight="1">
      <c r="B871" s="87"/>
    </row>
    <row r="872" ht="15.75" customHeight="1">
      <c r="B872" s="87"/>
    </row>
    <row r="873" ht="15.75" customHeight="1">
      <c r="B873" s="87"/>
    </row>
    <row r="874" ht="15.75" customHeight="1">
      <c r="B874" s="87"/>
    </row>
    <row r="875" ht="15.75" customHeight="1">
      <c r="B875" s="87"/>
    </row>
    <row r="876" ht="15.75" customHeight="1">
      <c r="B876" s="87"/>
    </row>
    <row r="877" ht="15.75" customHeight="1">
      <c r="B877" s="87"/>
    </row>
    <row r="878" ht="15.75" customHeight="1">
      <c r="B878" s="87"/>
    </row>
    <row r="879" ht="15.75" customHeight="1">
      <c r="B879" s="87"/>
    </row>
    <row r="880" ht="15.75" customHeight="1">
      <c r="B880" s="87"/>
    </row>
    <row r="881" ht="15.75" customHeight="1">
      <c r="B881" s="87"/>
    </row>
    <row r="882" ht="15.75" customHeight="1">
      <c r="B882" s="87"/>
    </row>
    <row r="883" ht="15.75" customHeight="1">
      <c r="B883" s="87"/>
    </row>
    <row r="884" ht="15.75" customHeight="1">
      <c r="B884" s="87"/>
    </row>
    <row r="885" ht="15.75" customHeight="1">
      <c r="B885" s="87"/>
    </row>
    <row r="886" ht="15.75" customHeight="1">
      <c r="B886" s="87"/>
    </row>
    <row r="887" ht="15.75" customHeight="1">
      <c r="B887" s="87"/>
    </row>
    <row r="888" ht="15.75" customHeight="1">
      <c r="B888" s="87"/>
    </row>
    <row r="889" ht="15.75" customHeight="1">
      <c r="B889" s="87"/>
    </row>
    <row r="890" ht="15.75" customHeight="1">
      <c r="B890" s="87"/>
    </row>
    <row r="891" ht="15.75" customHeight="1">
      <c r="B891" s="87"/>
    </row>
    <row r="892" ht="15.75" customHeight="1">
      <c r="B892" s="87"/>
    </row>
    <row r="893" ht="15.75" customHeight="1">
      <c r="B893" s="87"/>
    </row>
    <row r="894" ht="15.75" customHeight="1">
      <c r="B894" s="87"/>
    </row>
    <row r="895" ht="15.75" customHeight="1">
      <c r="B895" s="87"/>
    </row>
    <row r="896" ht="15.75" customHeight="1">
      <c r="B896" s="87"/>
    </row>
    <row r="897" ht="15.75" customHeight="1">
      <c r="B897" s="87"/>
    </row>
    <row r="898" ht="15.75" customHeight="1">
      <c r="B898" s="87"/>
    </row>
    <row r="899" ht="15.75" customHeight="1">
      <c r="B899" s="87"/>
    </row>
    <row r="900" ht="15.75" customHeight="1">
      <c r="B900" s="87"/>
    </row>
    <row r="901" ht="15.75" customHeight="1">
      <c r="B901" s="87"/>
    </row>
    <row r="902" ht="15.75" customHeight="1">
      <c r="B902" s="87"/>
    </row>
    <row r="903" ht="15.75" customHeight="1">
      <c r="B903" s="87"/>
    </row>
    <row r="904" ht="15.75" customHeight="1">
      <c r="B904" s="87"/>
    </row>
    <row r="905" ht="15.75" customHeight="1">
      <c r="B905" s="87"/>
    </row>
    <row r="906" ht="15.75" customHeight="1">
      <c r="B906" s="87"/>
    </row>
    <row r="907" ht="15.75" customHeight="1">
      <c r="B907" s="87"/>
    </row>
    <row r="908" ht="15.75" customHeight="1">
      <c r="B908" s="87"/>
    </row>
    <row r="909" ht="15.75" customHeight="1">
      <c r="B909" s="87"/>
    </row>
    <row r="910" ht="15.75" customHeight="1">
      <c r="B910" s="87"/>
    </row>
    <row r="911" ht="15.75" customHeight="1">
      <c r="B911" s="87"/>
    </row>
    <row r="912" ht="15.75" customHeight="1">
      <c r="B912" s="87"/>
    </row>
    <row r="913" ht="15.75" customHeight="1">
      <c r="B913" s="87"/>
    </row>
    <row r="914" ht="15.75" customHeight="1">
      <c r="B914" s="87"/>
    </row>
    <row r="915" ht="15.75" customHeight="1">
      <c r="B915" s="87"/>
    </row>
    <row r="916" ht="15.75" customHeight="1">
      <c r="B916" s="87"/>
    </row>
    <row r="917" ht="15.75" customHeight="1">
      <c r="B917" s="87"/>
    </row>
    <row r="918" ht="15.75" customHeight="1">
      <c r="B918" s="87"/>
    </row>
    <row r="919" ht="15.75" customHeight="1">
      <c r="B919" s="87"/>
    </row>
    <row r="920" ht="15.75" customHeight="1">
      <c r="B920" s="87"/>
    </row>
    <row r="921" ht="15.75" customHeight="1">
      <c r="B921" s="87"/>
    </row>
    <row r="922" ht="15.75" customHeight="1">
      <c r="B922" s="87"/>
    </row>
    <row r="923" ht="15.75" customHeight="1">
      <c r="B923" s="87"/>
    </row>
    <row r="924" ht="15.75" customHeight="1">
      <c r="B924" s="87"/>
    </row>
    <row r="925" ht="15.75" customHeight="1">
      <c r="B925" s="87"/>
    </row>
    <row r="926" ht="15.75" customHeight="1">
      <c r="B926" s="87"/>
    </row>
    <row r="927" ht="15.75" customHeight="1">
      <c r="B927" s="87"/>
    </row>
    <row r="928" ht="15.75" customHeight="1">
      <c r="B928" s="87"/>
    </row>
    <row r="929" ht="15.75" customHeight="1">
      <c r="B929" s="87"/>
    </row>
    <row r="930" ht="15.75" customHeight="1">
      <c r="B930" s="87"/>
    </row>
    <row r="931" ht="15.75" customHeight="1">
      <c r="B931" s="87"/>
    </row>
    <row r="932" ht="15.75" customHeight="1">
      <c r="B932" s="87"/>
    </row>
    <row r="933" ht="15.75" customHeight="1">
      <c r="B933" s="87"/>
    </row>
    <row r="934" ht="15.75" customHeight="1">
      <c r="B934" s="87"/>
    </row>
    <row r="935" ht="15.75" customHeight="1">
      <c r="B935" s="87"/>
    </row>
    <row r="936" ht="15.75" customHeight="1">
      <c r="B936" s="87"/>
    </row>
    <row r="937" ht="15.75" customHeight="1">
      <c r="B937" s="87"/>
    </row>
    <row r="938" ht="15.75" customHeight="1">
      <c r="B938" s="87"/>
    </row>
    <row r="939" ht="15.75" customHeight="1">
      <c r="B939" s="87"/>
    </row>
    <row r="940" ht="15.75" customHeight="1">
      <c r="B940" s="87"/>
    </row>
    <row r="941" ht="15.75" customHeight="1">
      <c r="B941" s="87"/>
    </row>
    <row r="942" ht="15.75" customHeight="1">
      <c r="B942" s="87"/>
    </row>
    <row r="943" ht="15.75" customHeight="1">
      <c r="B943" s="87"/>
    </row>
    <row r="944" ht="15.75" customHeight="1">
      <c r="B944" s="87"/>
    </row>
    <row r="945" ht="15.75" customHeight="1">
      <c r="B945" s="87"/>
    </row>
    <row r="946" ht="15.75" customHeight="1">
      <c r="B946" s="87"/>
    </row>
    <row r="947" ht="15.75" customHeight="1">
      <c r="B947" s="87"/>
    </row>
    <row r="948" ht="15.75" customHeight="1">
      <c r="B948" s="87"/>
    </row>
    <row r="949" ht="15.75" customHeight="1">
      <c r="B949" s="87"/>
    </row>
    <row r="950" ht="15.75" customHeight="1">
      <c r="B950" s="87"/>
    </row>
    <row r="951" ht="15.75" customHeight="1">
      <c r="B951" s="87"/>
    </row>
    <row r="952" ht="15.75" customHeight="1">
      <c r="B952" s="87"/>
    </row>
    <row r="953" ht="15.75" customHeight="1">
      <c r="B953" s="87"/>
    </row>
    <row r="954" ht="15.75" customHeight="1">
      <c r="B954" s="87"/>
    </row>
    <row r="955" ht="15.75" customHeight="1">
      <c r="B955" s="87"/>
    </row>
    <row r="956" ht="15.75" customHeight="1">
      <c r="B956" s="87"/>
    </row>
    <row r="957" ht="15.75" customHeight="1">
      <c r="B957" s="87"/>
    </row>
    <row r="958" ht="15.75" customHeight="1">
      <c r="B958" s="87"/>
    </row>
    <row r="959" ht="15.75" customHeight="1">
      <c r="B959" s="87"/>
    </row>
    <row r="960" ht="15.75" customHeight="1">
      <c r="B960" s="87"/>
    </row>
    <row r="961" ht="15.75" customHeight="1">
      <c r="B961" s="87"/>
    </row>
    <row r="962" ht="15.75" customHeight="1">
      <c r="B962" s="87"/>
    </row>
    <row r="963" ht="15.75" customHeight="1">
      <c r="B963" s="87"/>
    </row>
    <row r="964" ht="15.75" customHeight="1">
      <c r="B964" s="87"/>
    </row>
    <row r="965" ht="15.75" customHeight="1">
      <c r="B965" s="87"/>
    </row>
    <row r="966" ht="15.75" customHeight="1">
      <c r="B966" s="87"/>
    </row>
    <row r="967" ht="15.75" customHeight="1">
      <c r="B967" s="87"/>
    </row>
    <row r="968" ht="15.75" customHeight="1">
      <c r="B968" s="87"/>
    </row>
    <row r="969" ht="15.75" customHeight="1">
      <c r="B969" s="87"/>
    </row>
    <row r="970" ht="15.75" customHeight="1">
      <c r="B970" s="87"/>
    </row>
    <row r="971" ht="15.75" customHeight="1">
      <c r="B971" s="87"/>
    </row>
    <row r="972" ht="15.75" customHeight="1">
      <c r="B972" s="87"/>
    </row>
    <row r="973" ht="15.75" customHeight="1">
      <c r="B973" s="87"/>
    </row>
    <row r="974" ht="15.75" customHeight="1">
      <c r="B974" s="87"/>
    </row>
    <row r="975" ht="15.75" customHeight="1">
      <c r="B975" s="87"/>
    </row>
    <row r="976" ht="15.75" customHeight="1">
      <c r="B976" s="87"/>
    </row>
    <row r="977" ht="15.75" customHeight="1">
      <c r="B977" s="87"/>
    </row>
    <row r="978" ht="15.75" customHeight="1">
      <c r="B978" s="87"/>
    </row>
    <row r="979" ht="15.75" customHeight="1">
      <c r="B979" s="87"/>
    </row>
    <row r="980" ht="15.75" customHeight="1">
      <c r="B980" s="87"/>
    </row>
    <row r="981" ht="15.75" customHeight="1">
      <c r="B981" s="87"/>
    </row>
    <row r="982" ht="15.75" customHeight="1">
      <c r="B982" s="87"/>
    </row>
    <row r="983" ht="15.75" customHeight="1">
      <c r="B983" s="87"/>
    </row>
    <row r="984" ht="15.75" customHeight="1">
      <c r="B984" s="87"/>
    </row>
    <row r="985" ht="15.75" customHeight="1">
      <c r="B985" s="87"/>
    </row>
    <row r="986" ht="15.75" customHeight="1">
      <c r="B986" s="87"/>
    </row>
    <row r="987" ht="15.75" customHeight="1">
      <c r="B987" s="87"/>
    </row>
    <row r="988" ht="15.75" customHeight="1">
      <c r="B988" s="87"/>
    </row>
    <row r="989" ht="15.75" customHeight="1">
      <c r="B989" s="87"/>
    </row>
    <row r="990" ht="15.75" customHeight="1">
      <c r="B990" s="87"/>
    </row>
    <row r="991" ht="15.75" customHeight="1">
      <c r="B991" s="87"/>
    </row>
    <row r="992" ht="15.75" customHeight="1">
      <c r="B992" s="87"/>
    </row>
    <row r="993" ht="15.75" customHeight="1">
      <c r="B993" s="87"/>
    </row>
    <row r="994" ht="15.75" customHeight="1">
      <c r="B994" s="87"/>
    </row>
    <row r="995" ht="15.75" customHeight="1">
      <c r="B995" s="87"/>
    </row>
    <row r="996" ht="15.75" customHeight="1">
      <c r="B996" s="87"/>
    </row>
    <row r="997" ht="15.75" customHeight="1">
      <c r="B997" s="87"/>
    </row>
    <row r="998" ht="15.75" customHeight="1">
      <c r="B998" s="87"/>
    </row>
    <row r="999" ht="15.75" customHeight="1">
      <c r="B999" s="87"/>
    </row>
    <row r="1000" ht="15.75" customHeight="1">
      <c r="B1000" s="8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2018-08-07T23:17:42Z</dcterms:created>
  <dc:creator>Tasso Azevedo</dc:creator>
</cp:coreProperties>
</file>