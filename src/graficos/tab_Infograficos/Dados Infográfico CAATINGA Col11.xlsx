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charts/chart3.xml" ContentType="application/vnd.openxmlformats-officedocument.drawingml.char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charts/chart4.xml" ContentType="application/vnd.openxmlformats-officedocument.drawingml.chart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package/2006/relationships/metadata/core-properties" Target="docProps/core.xml"/><Relationship  Id="rId2" Type="http://schemas.openxmlformats.org/officeDocument/2006/relationships/extended-properties" Target="docProps/app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GRAFICO HISTORICO" sheetId="1" state="visible" r:id="rId1"/>
    <sheet name="Matriz Cerrado" sheetId="2" state="hidden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<sst xmlns="http://schemas.openxmlformats.org/spreadsheetml/2006/main" count="74" uniqueCount="74">
  <si>
    <t>CAATINGA</t>
  </si>
  <si>
    <t xml:space="preserve">1. Forest</t>
  </si>
  <si>
    <t xml:space="preserve">% de cobertura florestal</t>
  </si>
  <si>
    <t xml:space="preserve">1.1. Forest Formation</t>
  </si>
  <si>
    <t xml:space="preserve">% de cobertura por vegetação nativa</t>
  </si>
  <si>
    <t xml:space="preserve">1.2. Savanna Formation</t>
  </si>
  <si>
    <t xml:space="preserve">Perda de floresta entre 1985 e 2025</t>
  </si>
  <si>
    <t xml:space="preserve">1.3. Flooded Savanna</t>
  </si>
  <si>
    <t>-</t>
  </si>
  <si>
    <t xml:space="preserve">Perda de vegetação nativa entre 1985 e 2025</t>
  </si>
  <si>
    <t xml:space="preserve">1.4. Mangrove</t>
  </si>
  <si>
    <t xml:space="preserve">% de perda de vegetação nativa</t>
  </si>
  <si>
    <t xml:space="preserve">1.5. Floodable Forest</t>
  </si>
  <si>
    <t xml:space="preserve">Expansão da agropécuária entre 1985 e 2025</t>
  </si>
  <si>
    <t xml:space="preserve">1.6. Wooded Sandbank Vegetation</t>
  </si>
  <si>
    <t xml:space="preserve">2. Herbaceous and Shrubby Vegetation</t>
  </si>
  <si>
    <t xml:space="preserve">2.1. Wetland</t>
  </si>
  <si>
    <t xml:space="preserve">2.2. Marisma</t>
  </si>
  <si>
    <t xml:space="preserve">2.3. Grassland Formation</t>
  </si>
  <si>
    <t xml:space="preserve">2.4. Herbaceous-Shrub Mosaic</t>
  </si>
  <si>
    <t xml:space="preserve">2.5. Hypersaline Tidal Flat</t>
  </si>
  <si>
    <t xml:space="preserve">2.6. Rocky Outcrop</t>
  </si>
  <si>
    <t xml:space="preserve">2.7. Herbaceous Sandbank Vegetation</t>
  </si>
  <si>
    <t xml:space="preserve">3. Farming</t>
  </si>
  <si>
    <t xml:space="preserve">3.1. Pasture</t>
  </si>
  <si>
    <t xml:space="preserve">3.2. Agriculture</t>
  </si>
  <si>
    <t xml:space="preserve">3.3. Forest Plantation</t>
  </si>
  <si>
    <t xml:space="preserve">3.4. Mosaic of Uses</t>
  </si>
  <si>
    <t xml:space="preserve">4. Non vegetated area</t>
  </si>
  <si>
    <t xml:space="preserve">4.1. Beach, Dune and Sand Spot</t>
  </si>
  <si>
    <t xml:space="preserve">4.2. Urban Area</t>
  </si>
  <si>
    <t xml:space="preserve">4.3. Mining</t>
  </si>
  <si>
    <t xml:space="preserve">4.4. Photovoltaic Power Plant (beta)</t>
  </si>
  <si>
    <t xml:space="preserve">4.5. Wind Farm</t>
  </si>
  <si>
    <t xml:space="preserve">4.6. Other non Vegetated Areas</t>
  </si>
  <si>
    <t xml:space="preserve">5. Water</t>
  </si>
  <si>
    <t xml:space="preserve">5.1. River, Lake and Ocean</t>
  </si>
  <si>
    <t xml:space="preserve">5.2. Aquaculture</t>
  </si>
  <si>
    <t xml:space="preserve">6. Not Observed</t>
  </si>
  <si>
    <t xml:space="preserve">Total Geral</t>
  </si>
  <si>
    <t>Forest</t>
  </si>
  <si>
    <t xml:space="preserve">Herbaceous and Shrubby Vegetation</t>
  </si>
  <si>
    <t>Farming</t>
  </si>
  <si>
    <t xml:space="preserve">EM MILHOES DE HECTARES</t>
  </si>
  <si>
    <t>Floresta</t>
  </si>
  <si>
    <t>Pastagem</t>
  </si>
  <si>
    <t>Agricultura</t>
  </si>
  <si>
    <t/>
  </si>
  <si>
    <t xml:space="preserve">Formação Campestre (Campo)</t>
  </si>
  <si>
    <t xml:space="preserve">Formações Florestais</t>
  </si>
  <si>
    <t xml:space="preserve">Formações Savanicas</t>
  </si>
  <si>
    <t xml:space="preserve">Florestas Plantadas</t>
  </si>
  <si>
    <t xml:space="preserve">Cultivo Anual e Perene</t>
  </si>
  <si>
    <t xml:space="preserve">Cultivo Semi-Perene</t>
  </si>
  <si>
    <t xml:space="preserve">Mosaico de Cultivos</t>
  </si>
  <si>
    <t xml:space="preserve">Mosaico de Agricultura ou Pastagem</t>
  </si>
  <si>
    <t>Outros</t>
  </si>
  <si>
    <t xml:space="preserve">Praias e dunas</t>
  </si>
  <si>
    <t xml:space="preserve">Formações Florestais Naturais</t>
  </si>
  <si>
    <t>Mangue</t>
  </si>
  <si>
    <t xml:space="preserve">Infraestrutura Urbana</t>
  </si>
  <si>
    <t xml:space="preserve">Outras áreas não vegetadas</t>
  </si>
  <si>
    <t xml:space="preserve">Corpos Dágua</t>
  </si>
  <si>
    <t xml:space="preserve">Não observado</t>
  </si>
  <si>
    <t>Apicum</t>
  </si>
  <si>
    <t>Aquicultura</t>
  </si>
  <si>
    <t xml:space="preserve">Afloramento Rochoso</t>
  </si>
  <si>
    <t>Mineração</t>
  </si>
  <si>
    <t>Agropecuária</t>
  </si>
  <si>
    <t xml:space="preserve">Formação Natural não Florestal</t>
  </si>
  <si>
    <t xml:space="preserve">Área Úmida Natural não Florestal</t>
  </si>
  <si>
    <t xml:space="preserve">Outra formação não Florestal</t>
  </si>
  <si>
    <t xml:space="preserve">Área não Vegetada</t>
  </si>
  <si>
    <t xml:space="preserve">Rios, Lagos e Oceanos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</si>
</sst>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(* #,##0_);_(* \(#,##0\);_(* &quot;-&quot;??_);_(@_)"/>
    <numFmt numFmtId="165" formatCode="0.0%"/>
    <numFmt numFmtId="166" formatCode="_(* #,##0.00_);_(* \(#,##0.00\);_(* &quot;-&quot;??_);_(@_)"/>
    <numFmt numFmtId="167" formatCode="_-* #,##0.00_-;\-* #,##0.00_-;_-* &quot;-&quot;??_-;_-@"/>
  </numFmts>
  <fonts count="13">
    <font>
      <sz val="12.000000"/>
      <color theme="1"/>
      <name val="Calibri"/>
      <scheme val="minor"/>
    </font>
    <font>
      <sz val="12.000000"/>
      <color theme="1"/>
      <name val="Calibri"/>
    </font>
    <font>
      <b/>
      <sz val="22.000000"/>
      <color theme="1"/>
      <name val="Calibri"/>
    </font>
    <font>
      <b/>
      <sz val="20.000000"/>
      <color indexed="2"/>
      <name val="Calibri"/>
    </font>
    <font>
      <sz val="12.000000"/>
      <color rgb="FF006100"/>
      <name val="Calibri"/>
    </font>
    <font>
      <b/>
      <sz val="11.000000"/>
      <color theme="1"/>
      <name val="Calibri"/>
    </font>
    <font>
      <sz val="12.000000"/>
      <color rgb="FF9C5700"/>
      <name val="Calibri"/>
    </font>
    <font>
      <sz val="12.000000"/>
      <color theme="1"/>
      <name val="Arial"/>
    </font>
    <font>
      <sz val="11.000000"/>
      <color theme="1"/>
      <name val="Calibri"/>
    </font>
    <font>
      <color theme="1"/>
      <name val="Calibri"/>
      <scheme val="minor"/>
    </font>
    <font>
      <sz val="11.000000"/>
      <color indexed="64"/>
      <name val="Calibri"/>
    </font>
    <font>
      <b/>
      <sz val="11.000000"/>
      <color indexed="64"/>
      <name val="Calibri"/>
    </font>
    <font>
      <b/>
      <sz val="12.000000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DEEAF6"/>
        <bgColor rgb="FFDEEAF6"/>
      </patternFill>
    </fill>
    <fill>
      <patternFill patternType="solid">
        <fgColor rgb="FFD0CECE"/>
        <bgColor rgb="FFD0CECE"/>
      </patternFill>
    </fill>
    <fill>
      <patternFill patternType="solid">
        <fgColor rgb="FFFFEB9C"/>
        <bgColor rgb="FFFFEB9C"/>
      </patternFill>
    </fill>
  </fills>
  <borders count="3">
    <border>
      <left style="none"/>
      <right style="none"/>
      <top style="none"/>
      <bottom style="none"/>
      <diagonal style="none"/>
    </border>
    <border>
      <left style="none"/>
      <right style="none"/>
      <top style="thin">
        <color rgb="FF9CC2E5"/>
      </top>
      <bottom style="thin">
        <color rgb="FF9CC2E5"/>
      </bottom>
      <diagonal style="none"/>
    </border>
    <border>
      <left style="none"/>
      <right style="none"/>
      <top style="thin">
        <color rgb="FF2E75B5"/>
      </top>
      <bottom style="medium">
        <color rgb="FF2E75B5"/>
      </bottom>
      <diagonal style="none"/>
    </border>
  </borders>
  <cellStyleXfs count="1">
    <xf fontId="0" fillId="0" borderId="0" numFmtId="0" applyNumberFormat="1" applyFont="1" applyFill="1" applyBorder="1"/>
  </cellStyleXfs>
  <cellXfs count="39">
    <xf fontId="0" fillId="0" borderId="0" numFmtId="0" xfId="0" applyAlignment="1">
      <alignment readingOrder="0"/>
    </xf>
    <xf fontId="1" fillId="0" borderId="0" numFmtId="164" xfId="0" applyNumberFormat="1" applyFont="1"/>
    <xf fontId="2" fillId="0" borderId="0" numFmtId="164" xfId="0" applyNumberFormat="1" applyFont="1"/>
    <xf fontId="3" fillId="0" borderId="0" numFmtId="164" xfId="0" applyNumberFormat="1" applyFont="1"/>
    <xf fontId="4" fillId="2" borderId="0" numFmtId="0" xfId="0" applyFont="1" applyFill="1"/>
    <xf fontId="4" fillId="0" borderId="0" numFmtId="0" xfId="0" applyFont="1"/>
    <xf fontId="5" fillId="3" borderId="1" numFmtId="164" xfId="0" applyNumberFormat="1" applyFont="1" applyFill="1" applyBorder="1" applyAlignment="1">
      <alignment horizontal="left"/>
    </xf>
    <xf fontId="5" fillId="3" borderId="0" numFmtId="164" xfId="0" applyNumberFormat="1" applyFont="1" applyFill="1" applyAlignment="1">
      <alignment horizontal="left"/>
    </xf>
    <xf fontId="5" fillId="0" borderId="0" numFmtId="164" xfId="0" applyNumberFormat="1" applyFont="1" applyAlignment="1">
      <alignment horizontal="left"/>
    </xf>
    <xf fontId="5" fillId="0" borderId="1" numFmtId="164" xfId="0" applyNumberFormat="1" applyFont="1" applyBorder="1"/>
    <xf fontId="5" fillId="3" borderId="1" numFmtId="165" xfId="0" applyNumberFormat="1" applyFont="1" applyFill="1" applyBorder="1"/>
    <xf fontId="6" fillId="4" borderId="0" numFmtId="0" xfId="0" applyFont="1" applyFill="1"/>
    <xf fontId="7" fillId="0" borderId="0" numFmtId="165" xfId="0" applyNumberFormat="1" applyFont="1"/>
    <xf fontId="5" fillId="0" borderId="1" numFmtId="164" xfId="0" applyNumberFormat="1" applyFont="1" applyBorder="1" applyAlignment="1">
      <alignment horizontal="left"/>
    </xf>
    <xf fontId="5" fillId="0" borderId="0" numFmtId="0" xfId="0" applyFont="1"/>
    <xf fontId="1" fillId="0" borderId="0" numFmtId="165" xfId="0" applyNumberFormat="1" applyFont="1"/>
    <xf fontId="8" fillId="0" borderId="1" numFmtId="164" xfId="0" applyNumberFormat="1" applyFont="1" applyBorder="1" applyAlignment="1">
      <alignment horizontal="left"/>
    </xf>
    <xf fontId="8" fillId="0" borderId="0" numFmtId="164" xfId="0" applyNumberFormat="1" applyFont="1" applyAlignment="1">
      <alignment horizontal="left"/>
    </xf>
    <xf fontId="7" fillId="0" borderId="0" numFmtId="164" xfId="0" applyNumberFormat="1" applyFont="1"/>
    <xf fontId="9" fillId="0" borderId="0" numFmtId="0" xfId="0" applyFont="1"/>
    <xf fontId="1" fillId="0" borderId="0" numFmtId="166" xfId="0" applyNumberFormat="1" applyFont="1"/>
    <xf fontId="1" fillId="0" borderId="0" numFmtId="0" xfId="0" applyFont="1"/>
    <xf fontId="10" fillId="0" borderId="0" numFmtId="164" xfId="0" applyNumberFormat="1" applyFont="1" applyAlignment="1">
      <alignment horizontal="left"/>
    </xf>
    <xf fontId="5" fillId="0" borderId="2" numFmtId="164" xfId="0" applyNumberFormat="1" applyFont="1" applyBorder="1" applyAlignment="1">
      <alignment horizontal="left"/>
    </xf>
    <xf fontId="5" fillId="0" borderId="2" numFmtId="164" xfId="0" applyNumberFormat="1" applyFont="1" applyBorder="1"/>
    <xf fontId="11" fillId="0" borderId="0" numFmtId="10" xfId="0" applyNumberFormat="1" applyFont="1" applyAlignment="1">
      <alignment horizontal="right"/>
    </xf>
    <xf fontId="11" fillId="0" borderId="0" numFmtId="0" xfId="0" applyFont="1" applyAlignment="1">
      <alignment horizontal="right"/>
    </xf>
    <xf fontId="11" fillId="0" borderId="0" numFmtId="164" xfId="0" applyNumberFormat="1" applyFont="1" applyAlignment="1">
      <alignment horizontal="right"/>
    </xf>
    <xf fontId="12" fillId="0" borderId="0" numFmtId="0" xfId="0" applyFont="1"/>
    <xf fontId="6" fillId="5" borderId="0" numFmtId="0" xfId="0" applyFont="1" applyFill="1"/>
    <xf fontId="6" fillId="5" borderId="0" numFmtId="167" xfId="0" applyNumberFormat="1" applyFont="1" applyFill="1"/>
    <xf fontId="6" fillId="0" borderId="0" numFmtId="0" xfId="0" applyFont="1"/>
    <xf fontId="6" fillId="0" borderId="0" numFmtId="167" xfId="0" applyNumberFormat="1" applyFont="1"/>
    <xf fontId="1" fillId="0" borderId="0" numFmtId="10" xfId="0" applyNumberFormat="1" applyFont="1"/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left" vertical="center" wrapText="1"/>
    </xf>
    <xf fontId="1" fillId="0" borderId="0" numFmtId="0" xfId="0" applyFont="1" applyAlignment="1">
      <alignment vertical="center" wrapText="1"/>
    </xf>
    <xf fontId="1" fillId="0" borderId="0" numFmtId="164" xfId="0" applyNumberFormat="1" applyFont="1" applyAlignment="1">
      <alignment horizontal="center" vertical="center" wrapText="1"/>
    </xf>
    <xf fontId="1" fillId="0" borderId="0" numFmt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/Relationships>
</file>

<file path=xl/charts/_rels/chart2.xml.rels><?xml version="1.0" encoding="UTF-8" standalone="yes"?><Relationships xmlns="http://schemas.openxmlformats.org/package/2006/relationships"></Relationships>
</file>

<file path=xl/charts/_rels/chart3.xml.rels><?xml version="1.0" encoding="UTF-8" standalone="yes"?><Relationships xmlns="http://schemas.openxmlformats.org/package/2006/relationships"></Relationships>
</file>

<file path=xl/charts/_rels/chart4.xml.rels><?xml version="1.0" encoding="UTF-8" standalone="yes"?><Relationships xmlns="http://schemas.openxmlformats.org/package/2006/relationships"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roundedCorners val="0"/>
  <mc:AlternateContent>
    <mc:Choice Requires="c14">
      <c14:style val="102"/>
    </mc:Choice>
    <mc:Fallback>
      <c:style val="2"/>
    </mc:Fallback>
  </mc:AlternateContent>
  <c:chart>
    <c:plotArea>
      <c:layout/>
      <c:lineChart>
        <c:varyColors val="0"/>
        <c:dLbls>
          <c:showBubbleSize val="0"/>
          <c:showCatName val="0"/>
          <c:showLegendKey val="0"/>
          <c:showPercent val="0"/>
          <c:showSerName val="0"/>
          <c:showVal val="0"/>
        </c:dLbls>
        <c:smooth val="0"/>
        <c:axId val="1589461464"/>
        <c:axId val="1547283183"/>
      </c:lineChart>
      <c:catAx>
        <c:axId val="1589461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spPr bwMode="auto">
          <a:prstGeom prst="rect">
            <a:avLst/>
          </a:prstGeom>
          <a:ln>
            <a:noFill/>
          </a:ln>
        </c:spPr>
        <c:txPr>
          <a:bodyPr/>
          <a:lstStyle/>
          <a:p>
            <a:pPr lvl="0">
              <a:defRPr sz="700" b="0" i="0">
                <a:solidFill>
                  <a:srgbClr val="000000"/>
                </a:solidFill>
                <a:latin typeface="+mn-lt"/>
              </a:defRPr>
            </a:pPr>
            <a:endParaRPr/>
          </a:p>
        </c:txPr>
        <c:crossAx val="1547283183"/>
        <c:crosses val="autoZero"/>
        <c:noMultiLvlLbl val="0"/>
      </c:catAx>
      <c:valAx>
        <c:axId val="1547283183"/>
        <c:scaling>
          <c:orientation val="minMax"/>
        </c:scaling>
        <c:delete val="0"/>
        <c:axPos val="l"/>
        <c:majorTickMark val="out"/>
        <c:minorTickMark val="none"/>
        <c:tickLblPos val="nextTo"/>
        <c:spPr bwMode="auto">
          <a:prstGeom prst="rect">
            <a:avLst/>
          </a:prstGeom>
          <a:ln>
            <a:noFill/>
          </a:ln>
        </c:spPr>
        <c:crossAx val="1589461464"/>
        <c:crosses val="autoZero"/>
        <c:crossBetween val="between"/>
      </c:valAx>
    </c:plotArea>
    <c:plotVisOnly val="1"/>
    <c:showDLblsOverMax val="0"/>
  </c:chart>
  <c:spPr bwMode="auto">
    <a:xfrm rot="0">
      <a:off x="0" y="0"/>
      <a:ext cx="0" cy="0"/>
    </a:xfrm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roundedCorners val="0"/>
  <mc:AlternateContent>
    <mc:Choice Requires="c14">
      <c14:style val="102"/>
    </mc:Choice>
    <mc:Fallback>
      <c:style val="2"/>
    </mc:Fallback>
  </mc:AlternateContent>
  <c:chart>
    <c:plotArea>
      <c:layout/>
      <c:lineChart>
        <c:varyColors val="0"/>
        <c:ser>
          <c:idx val="0"/>
          <c:order val="0"/>
          <c:tx>
            <c:v>Vegetação Nativa</c:v>
          </c:tx>
          <c:spPr bwMode="auto">
            <a:prstGeom prst="rect">
              <a:avLst/>
            </a:prstGeom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'GRAFICO HISTORICO'!$B$4:$AK$4</c:f>
            </c:strRef>
          </c:cat>
          <c:val>
            <c:numRef>
              <c:f>'GRAFICO HISTORICO'!$B$5:$AK$5</c:f>
              <c:numCache/>
            </c:numRef>
          </c:val>
          <c:smooth val="0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smooth val="0"/>
        <c:axId val="1543926192"/>
        <c:axId val="709966022"/>
      </c:lineChart>
      <c:catAx>
        <c:axId val="1543926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spPr bwMode="auto">
          <a:prstGeom prst="rect">
            <a:avLst/>
          </a:prstGeom>
          <a:ln>
            <a:noFill/>
          </a:ln>
        </c:spPr>
        <c:txPr>
          <a:bodyPr/>
          <a:lstStyle/>
          <a:p>
            <a:pPr lvl="0">
              <a:defRPr sz="700" b="0" i="0">
                <a:solidFill>
                  <a:srgbClr val="000000"/>
                </a:solidFill>
                <a:latin typeface="+mn-lt"/>
              </a:defRPr>
            </a:pPr>
            <a:endParaRPr/>
          </a:p>
        </c:txPr>
        <c:crossAx val="709966022"/>
        <c:crosses val="autoZero"/>
        <c:noMultiLvlLbl val="0"/>
      </c:catAx>
      <c:valAx>
        <c:axId val="709966022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/>
          </a:p>
        </c:txPr>
        <c:crossAx val="1543926192"/>
        <c:crosses val="autoZero"/>
        <c:crossBetween val="between"/>
      </c:valAx>
    </c:plotArea>
    <c:plotVisOnly val="1"/>
    <c:showDLblsOverMax val="0"/>
  </c:chart>
  <c:spPr bwMode="auto">
    <a:xfrm rot="0">
      <a:off x="0" y="0"/>
      <a:ext cx="0" cy="0"/>
    </a:xfrm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roundedCorners val="0"/>
  <mc:AlternateContent>
    <mc:Choice Requires="c14">
      <c14:style val="102"/>
    </mc:Choice>
    <mc:Fallback>
      <c:style val="2"/>
    </mc:Fallback>
  </mc:AlternateContent>
  <c:chart>
    <c:plotArea>
      <c:layout/>
      <c:lineChart>
        <c:varyColors val="0"/>
        <c:ser>
          <c:idx val="0"/>
          <c:order val="0"/>
          <c:spPr bwMode="auto">
            <a:prstGeom prst="rect">
              <a:avLst/>
            </a:prstGeom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'GRAFICO HISTORICO'!$B$41:$AM$41</c:f>
            </c:strRef>
          </c:cat>
          <c:val>
            <c:numRef>
              <c:f>'GRAFICO HISTORICO'!$B$48:$AN$48</c:f>
              <c:numCache/>
            </c:numRef>
          </c:val>
          <c:smooth val="0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smooth val="0"/>
        <c:axId val="265668971"/>
        <c:axId val="1461214298"/>
      </c:lineChart>
      <c:catAx>
        <c:axId val="2656689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spPr bwMode="auto">
          <a:prstGeom prst="rect">
            <a:avLst/>
          </a:prstGeom>
          <a:ln>
            <a:noFill/>
          </a:ln>
        </c:spPr>
        <c:txPr>
          <a:bodyPr/>
          <a:lstStyle/>
          <a:p>
            <a:pPr lvl="0">
              <a:defRPr sz="700" b="0" i="0">
                <a:solidFill>
                  <a:srgbClr val="000000"/>
                </a:solidFill>
                <a:latin typeface="+mn-lt"/>
              </a:defRPr>
            </a:pPr>
            <a:endParaRPr/>
          </a:p>
        </c:txPr>
        <c:crossAx val="1461214298"/>
        <c:crosses val="autoZero"/>
        <c:noMultiLvlLbl val="0"/>
      </c:catAx>
      <c:valAx>
        <c:axId val="1461214298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/>
          </a:p>
        </c:txPr>
        <c:crossAx val="265668971"/>
        <c:crosses val="autoZero"/>
        <c:crossBetween val="between"/>
      </c:valAx>
    </c:plotArea>
    <c:plotVisOnly val="1"/>
    <c:showDLblsOverMax val="0"/>
  </c:chart>
  <c:spPr bwMode="auto">
    <a:xfrm rot="0">
      <a:off x="0" y="0"/>
      <a:ext cx="0" cy="0"/>
    </a:xfrm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roundedCorners val="0"/>
  <mc:AlternateContent>
    <mc:Choice Requires="c14">
      <c14:style val="102"/>
    </mc:Choice>
    <mc:Fallback>
      <c:style val="2"/>
    </mc:Fallback>
  </mc:AlternateContent>
  <c:chart>
    <c:plotArea>
      <c:layout/>
      <c:lineChart>
        <c:varyColors val="0"/>
        <c:ser>
          <c:idx val="0"/>
          <c:order val="0"/>
          <c:spPr bwMode="auto">
            <a:prstGeom prst="rect">
              <a:avLst/>
            </a:prstGeom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'GRAFICO HISTORICO'!$B$4:$AK$4</c:f>
            </c:strRef>
          </c:cat>
          <c:val>
            <c:numRef>
              <c:f>'GRAFICO HISTORICO'!$B$49:$AN$49</c:f>
              <c:numCache/>
            </c:numRef>
          </c:val>
          <c:smooth val="0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smooth val="0"/>
        <c:axId val="1373785537"/>
        <c:axId val="1875959392"/>
      </c:lineChart>
      <c:catAx>
        <c:axId val="13737855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spPr bwMode="auto">
          <a:prstGeom prst="rect">
            <a:avLst/>
          </a:prstGeom>
          <a:ln>
            <a:noFill/>
          </a:ln>
        </c:spPr>
        <c:txPr>
          <a:bodyPr/>
          <a:lstStyle/>
          <a:p>
            <a:pPr lvl="0">
              <a:defRPr sz="700" b="0" i="0">
                <a:solidFill>
                  <a:srgbClr val="000000"/>
                </a:solidFill>
                <a:latin typeface="+mn-lt"/>
              </a:defRPr>
            </a:pPr>
            <a:endParaRPr/>
          </a:p>
        </c:txPr>
        <c:crossAx val="1875959392"/>
        <c:crosses val="autoZero"/>
        <c:noMultiLvlLbl val="0"/>
      </c:catAx>
      <c:valAx>
        <c:axId val="1875959392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/>
          </a:p>
        </c:txPr>
        <c:crossAx val="1373785537"/>
        <c:crosses val="autoZero"/>
        <c:crossBetween val="between"/>
      </c:valAx>
    </c:plotArea>
    <c:plotVisOnly val="1"/>
    <c:showDLblsOverMax val="0"/>
  </c:chart>
  <c:spPr bwMode="auto">
    <a:xfrm rot="0">
      <a:off x="0" y="0"/>
      <a:ext cx="0" cy="0"/>
    </a:xfrm>
  </c:spPr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Relationship Id="rId3" Type="http://schemas.openxmlformats.org/officeDocument/2006/relationships/chart" Target="../charts/chart3.xml" /><Relationship Id="rId4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4</xdr:col>
      <xdr:colOff>781050</xdr:colOff>
      <xdr:row>64</xdr:row>
      <xdr:rowOff>76200</xdr:rowOff>
    </xdr:from>
    <xdr:ext cx="5143500" cy="2705100"/>
    <xdr:graphicFrame>
      <xdr:nvGraphicFramePr>
        <xdr:cNvPr id="1243793573" name="Chart 1" title="Gráfico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123824</xdr:colOff>
      <xdr:row>64</xdr:row>
      <xdr:rowOff>85725</xdr:rowOff>
    </xdr:from>
    <xdr:ext cx="5191124" cy="2705100"/>
    <xdr:graphicFrame>
      <xdr:nvGraphicFramePr>
        <xdr:cNvPr id="2062564105" name="Chart 2" title="Grafico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95250</xdr:colOff>
      <xdr:row>50</xdr:row>
      <xdr:rowOff>28575</xdr:rowOff>
    </xdr:from>
    <xdr:ext cx="5210174" cy="2705100"/>
    <xdr:graphicFrame>
      <xdr:nvGraphicFramePr>
        <xdr:cNvPr id="1005869158" name="Chart 3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4</xdr:col>
      <xdr:colOff>781050</xdr:colOff>
      <xdr:row>50</xdr:row>
      <xdr:rowOff>47625</xdr:rowOff>
    </xdr:from>
    <xdr:ext cx="5143500" cy="2705100"/>
    <xdr:graphicFrame>
      <xdr:nvGraphicFramePr>
        <xdr:cNvPr id="309719703" name="Chart 4" title="Gráfico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92D050"/>
    <outlinePr applyStyles="0" summaryBelow="1" summaryRight="1" showOutlineSymbols="1"/>
    <pageSetUpPr autoPageBreaks="1" fitToPage="0"/>
  </sheetPr>
  <sheetViews>
    <sheetView zoomScale="100" workbookViewId="0">
      <pane xSplit="1" ySplit="1" topLeftCell="B2" activePane="bottomRight" state="frozen"/>
      <selection activeCell="B2" activeCellId="0" sqref="B2"/>
    </sheetView>
  </sheetViews>
  <sheetFormatPr defaultColWidth="11.220000000000001" defaultRowHeight="15" customHeight="1"/>
  <cols>
    <col customWidth="1" min="1" max="1" width="26.559999999999999"/>
    <col customWidth="1" min="2" max="2" width="18.559999999999999"/>
    <col customWidth="1" min="3" max="3" width="18"/>
    <col customWidth="1" min="4" max="4" width="16.440000000000001"/>
    <col customWidth="1" min="5" max="5" width="14.56"/>
    <col customWidth="1" min="6" max="41" width="15"/>
    <col customWidth="1" min="42" max="42" width="15.67"/>
    <col customWidth="1" min="43" max="43" width="12.109999999999999"/>
    <col customWidth="1" min="44" max="44" width="15.109999999999999"/>
    <col customWidth="1" min="45" max="45" width="14.44"/>
    <col customWidth="1" min="46" max="46" width="34.109999999999999"/>
    <col customWidth="1" min="47" max="47" width="14"/>
  </cols>
  <sheetData>
    <row r="1" ht="15.75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27.75">
      <c r="A2" s="2" t="s">
        <v>0</v>
      </c>
      <c r="B2" s="1"/>
      <c r="C2" s="1"/>
      <c r="D2" s="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ht="15.75" customHeight="1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ht="15.75" customHeight="1">
      <c r="B4" s="4">
        <v>1985</v>
      </c>
      <c r="C4" s="4">
        <v>1986</v>
      </c>
      <c r="D4" s="4">
        <v>1987</v>
      </c>
      <c r="E4" s="4">
        <v>1988</v>
      </c>
      <c r="F4" s="4">
        <v>1989</v>
      </c>
      <c r="G4" s="4">
        <v>1990</v>
      </c>
      <c r="H4" s="4">
        <v>1991</v>
      </c>
      <c r="I4" s="4">
        <v>1992</v>
      </c>
      <c r="J4" s="4">
        <v>1993</v>
      </c>
      <c r="K4" s="4">
        <v>1994</v>
      </c>
      <c r="L4" s="4">
        <v>1995</v>
      </c>
      <c r="M4" s="4">
        <v>1996</v>
      </c>
      <c r="N4" s="4">
        <v>1997</v>
      </c>
      <c r="O4" s="4">
        <v>1998</v>
      </c>
      <c r="P4" s="4">
        <v>1999</v>
      </c>
      <c r="Q4" s="4">
        <v>2000</v>
      </c>
      <c r="R4" s="4">
        <v>2001</v>
      </c>
      <c r="S4" s="4">
        <v>2002</v>
      </c>
      <c r="T4" s="4">
        <v>2003</v>
      </c>
      <c r="U4" s="4">
        <v>2004</v>
      </c>
      <c r="V4" s="4">
        <v>2005</v>
      </c>
      <c r="W4" s="4">
        <v>2006</v>
      </c>
      <c r="X4" s="4">
        <v>2007</v>
      </c>
      <c r="Y4" s="4">
        <v>2008</v>
      </c>
      <c r="Z4" s="4">
        <v>2009</v>
      </c>
      <c r="AA4" s="4">
        <v>2010</v>
      </c>
      <c r="AB4" s="4">
        <v>2011</v>
      </c>
      <c r="AC4" s="4">
        <v>2012</v>
      </c>
      <c r="AD4" s="4">
        <v>2013</v>
      </c>
      <c r="AE4" s="4">
        <v>2014</v>
      </c>
      <c r="AF4" s="4">
        <v>2015</v>
      </c>
      <c r="AG4" s="4">
        <v>2016</v>
      </c>
      <c r="AH4" s="4">
        <v>2017</v>
      </c>
      <c r="AI4" s="4">
        <v>2018</v>
      </c>
      <c r="AJ4" s="4">
        <v>2019</v>
      </c>
      <c r="AK4" s="4">
        <v>2020</v>
      </c>
      <c r="AL4" s="4">
        <v>2021</v>
      </c>
      <c r="AM4" s="4">
        <v>2022</v>
      </c>
      <c r="AN4" s="4">
        <v>2023</v>
      </c>
      <c r="AO4" s="4">
        <v>2024</v>
      </c>
      <c r="AP4" s="4">
        <v>2025</v>
      </c>
      <c r="AQ4" s="5"/>
    </row>
    <row r="5" ht="15.75" customHeight="1">
      <c r="A5" s="6" t="s">
        <v>1</v>
      </c>
      <c r="B5" s="6">
        <v>62945329.111338891</v>
      </c>
      <c r="C5" s="6">
        <v>63086797.099458754</v>
      </c>
      <c r="D5" s="6">
        <v>62979770.526086926</v>
      </c>
      <c r="E5" s="6">
        <v>62570172.384348527</v>
      </c>
      <c r="F5" s="6">
        <v>62053581.880168669</v>
      </c>
      <c r="G5" s="6">
        <v>61518092.77749683</v>
      </c>
      <c r="H5" s="6">
        <v>61062421.346217126</v>
      </c>
      <c r="I5" s="6">
        <v>60605226.534604013</v>
      </c>
      <c r="J5" s="6">
        <v>60176463.866630711</v>
      </c>
      <c r="K5" s="6">
        <v>59731217.943468727</v>
      </c>
      <c r="L5" s="6">
        <v>59450926.106672965</v>
      </c>
      <c r="M5" s="6">
        <v>59255469.516876422</v>
      </c>
      <c r="N5" s="6">
        <v>59143153.665949009</v>
      </c>
      <c r="O5" s="6">
        <v>58850452.895042524</v>
      </c>
      <c r="P5" s="6">
        <v>58864893.946241096</v>
      </c>
      <c r="Q5" s="6">
        <v>58779105.4339654</v>
      </c>
      <c r="R5" s="6">
        <v>58552637.710895754</v>
      </c>
      <c r="S5" s="6">
        <v>58382415.080568902</v>
      </c>
      <c r="T5" s="6">
        <v>58186333.571409635</v>
      </c>
      <c r="U5" s="6">
        <v>57917699.396392949</v>
      </c>
      <c r="V5" s="6">
        <v>57851591.495075889</v>
      </c>
      <c r="W5" s="6">
        <v>57771404.323095068</v>
      </c>
      <c r="X5" s="6">
        <v>57703043.042452686</v>
      </c>
      <c r="Y5" s="6">
        <v>57546351.942943528</v>
      </c>
      <c r="Z5" s="6">
        <v>57424585.779345907</v>
      </c>
      <c r="AA5" s="6">
        <v>57290994.789348178</v>
      </c>
      <c r="AB5" s="6">
        <v>57103599.569167927</v>
      </c>
      <c r="AC5" s="6">
        <v>56752788.592923559</v>
      </c>
      <c r="AD5" s="6">
        <v>56496208.402496018</v>
      </c>
      <c r="AE5" s="6">
        <v>56403010.307260364</v>
      </c>
      <c r="AF5" s="6">
        <v>56231096.965750307</v>
      </c>
      <c r="AG5" s="6">
        <v>56153325.463601209</v>
      </c>
      <c r="AH5" s="6">
        <v>56113843.77805686</v>
      </c>
      <c r="AI5" s="6">
        <v>56057646.917919427</v>
      </c>
      <c r="AJ5" s="6">
        <v>55923682.072172679</v>
      </c>
      <c r="AK5" s="6">
        <v>55732443.002100497</v>
      </c>
      <c r="AL5" s="6">
        <v>55417107.653018139</v>
      </c>
      <c r="AM5" s="7">
        <v>54857721.333061062</v>
      </c>
      <c r="AN5" s="7">
        <v>54194439.227810107</v>
      </c>
      <c r="AO5" s="7">
        <v>53681340.937732287</v>
      </c>
      <c r="AP5" s="7">
        <v>52952767.90536879</v>
      </c>
      <c r="AQ5" s="8"/>
      <c r="AR5" s="9">
        <f t="shared" ref="AR5:AR36" si="0">AP5-B5</f>
        <v>-9992561.2060000002</v>
      </c>
      <c r="AS5" s="10">
        <f t="shared" ref="AS5:AS9" si="1">AR5/B5</f>
        <v>-0.15874984449999999</v>
      </c>
      <c r="AT5" s="11" t="s">
        <v>2</v>
      </c>
      <c r="AU5" s="12">
        <f>AP5/AP36</f>
        <v>0.6138661044</v>
      </c>
    </row>
    <row r="6" ht="15.75" customHeight="1">
      <c r="A6" s="13" t="s">
        <v>3</v>
      </c>
      <c r="B6" s="14">
        <v>3453121.1358042024</v>
      </c>
      <c r="C6" s="14">
        <v>3431432.4814140508</v>
      </c>
      <c r="D6" s="14">
        <v>3438602.3957507364</v>
      </c>
      <c r="E6" s="14">
        <v>3439979.3306756718</v>
      </c>
      <c r="F6" s="14">
        <v>3416875.7237940324</v>
      </c>
      <c r="G6" s="14">
        <v>3409861.5152200162</v>
      </c>
      <c r="H6" s="14">
        <v>3403538.5124880676</v>
      </c>
      <c r="I6" s="14">
        <v>3402010.0284921182</v>
      </c>
      <c r="J6" s="14">
        <v>3407675.8307848922</v>
      </c>
      <c r="K6" s="14">
        <v>3417089.1027024863</v>
      </c>
      <c r="L6" s="14">
        <v>3403730.1524622901</v>
      </c>
      <c r="M6" s="14">
        <v>3394725.3632628974</v>
      </c>
      <c r="N6" s="14">
        <v>3384557.5454506637</v>
      </c>
      <c r="O6" s="14">
        <v>3373021.082817167</v>
      </c>
      <c r="P6" s="14">
        <v>3362377.4784421469</v>
      </c>
      <c r="Q6" s="14">
        <v>3356424.2357573071</v>
      </c>
      <c r="R6" s="14">
        <v>3354658.4481116524</v>
      </c>
      <c r="S6" s="14">
        <v>3356563.0654712599</v>
      </c>
      <c r="T6" s="14">
        <v>3350850.5721118036</v>
      </c>
      <c r="U6" s="14">
        <v>3343999.9085560371</v>
      </c>
      <c r="V6" s="14">
        <v>3341171.9259254662</v>
      </c>
      <c r="W6" s="14">
        <v>3339771.0331921806</v>
      </c>
      <c r="X6" s="14">
        <v>3337399.5807486195</v>
      </c>
      <c r="Y6" s="14">
        <v>3332786.8595706727</v>
      </c>
      <c r="Z6" s="14">
        <v>3329559.9507502853</v>
      </c>
      <c r="AA6" s="14">
        <v>3326987.9707892681</v>
      </c>
      <c r="AB6" s="14">
        <v>3317437.3133288831</v>
      </c>
      <c r="AC6" s="14">
        <v>3306741.1629885351</v>
      </c>
      <c r="AD6" s="14">
        <v>3295010.9619567785</v>
      </c>
      <c r="AE6" s="14">
        <v>3286880.0634821593</v>
      </c>
      <c r="AF6" s="14">
        <v>3278434.7454574527</v>
      </c>
      <c r="AG6" s="14">
        <v>3274886.9328823942</v>
      </c>
      <c r="AH6" s="14">
        <v>3275024.7643110249</v>
      </c>
      <c r="AI6" s="14">
        <v>3274296.3117189091</v>
      </c>
      <c r="AJ6" s="14">
        <v>3267218.5392984967</v>
      </c>
      <c r="AK6" s="14">
        <v>3255842.1327753337</v>
      </c>
      <c r="AL6" s="14">
        <v>3243030.7827648586</v>
      </c>
      <c r="AM6" s="14">
        <v>3226270.1505912482</v>
      </c>
      <c r="AN6" s="14">
        <v>3206810.2420458007</v>
      </c>
      <c r="AO6" s="14">
        <v>3194820.9172803396</v>
      </c>
      <c r="AP6" s="14">
        <v>3187925.3157946528</v>
      </c>
      <c r="AQ6" s="14"/>
      <c r="AR6" s="9">
        <f t="shared" si="0"/>
        <v>-265195.82000000001</v>
      </c>
      <c r="AS6" s="10">
        <f t="shared" si="1"/>
        <v>-0.076798875449999998</v>
      </c>
      <c r="AT6" s="15" t="s">
        <v>4</v>
      </c>
      <c r="AU6" s="12">
        <f>(AP5+AP12)/AP36</f>
        <v>0.62735223760000003</v>
      </c>
    </row>
    <row r="7" ht="15.75" customHeight="1">
      <c r="A7" s="16" t="s">
        <v>5</v>
      </c>
      <c r="B7" s="14">
        <v>59467833.250651248</v>
      </c>
      <c r="C7" s="14">
        <v>59630320.799276866</v>
      </c>
      <c r="D7" s="14">
        <v>59516226.630784407</v>
      </c>
      <c r="E7" s="14">
        <v>59104929.434190184</v>
      </c>
      <c r="F7" s="14">
        <v>58611069.601529345</v>
      </c>
      <c r="G7" s="14">
        <v>58082406.471916638</v>
      </c>
      <c r="H7" s="14">
        <v>57633049.851477437</v>
      </c>
      <c r="I7" s="14">
        <v>57177344.155331805</v>
      </c>
      <c r="J7" s="14">
        <v>56742772.553360991</v>
      </c>
      <c r="K7" s="14">
        <v>56287892.630073503</v>
      </c>
      <c r="L7" s="14">
        <v>56020390.374078572</v>
      </c>
      <c r="M7" s="14">
        <v>55833465.936441794</v>
      </c>
      <c r="N7" s="14">
        <v>55731876.892895423</v>
      </c>
      <c r="O7" s="14">
        <v>55450424.433410391</v>
      </c>
      <c r="P7" s="14">
        <v>55475496.543515168</v>
      </c>
      <c r="Q7" s="14">
        <v>55395297.4033259</v>
      </c>
      <c r="R7" s="14">
        <v>55170378.035313979</v>
      </c>
      <c r="S7" s="14">
        <v>54998072.6941038</v>
      </c>
      <c r="T7" s="14">
        <v>54807642.845569007</v>
      </c>
      <c r="U7" s="14">
        <v>54545714.467216007</v>
      </c>
      <c r="V7" s="14">
        <v>54482328.77998317</v>
      </c>
      <c r="W7" s="14">
        <v>54403501.698104031</v>
      </c>
      <c r="X7" s="14">
        <v>54337489.237616181</v>
      </c>
      <c r="Y7" s="14">
        <v>54185469.973271251</v>
      </c>
      <c r="Z7" s="14">
        <v>54066745.627906084</v>
      </c>
      <c r="AA7" s="14">
        <v>53935331.587909594</v>
      </c>
      <c r="AB7" s="14">
        <v>53757212.429044798</v>
      </c>
      <c r="AC7" s="14">
        <v>53417199.941958524</v>
      </c>
      <c r="AD7" s="14">
        <v>53172134.748031124</v>
      </c>
      <c r="AE7" s="14">
        <v>53087112.525537282</v>
      </c>
      <c r="AF7" s="14">
        <v>52923889.982828423</v>
      </c>
      <c r="AG7" s="14">
        <v>52850048.5109758</v>
      </c>
      <c r="AH7" s="14">
        <v>52810804.225051925</v>
      </c>
      <c r="AI7" s="14">
        <v>52755258.025721639</v>
      </c>
      <c r="AJ7" s="14">
        <v>52628268.985904485</v>
      </c>
      <c r="AK7" s="14">
        <v>52448233.454794981</v>
      </c>
      <c r="AL7" s="14">
        <v>52145290.836721569</v>
      </c>
      <c r="AM7" s="14">
        <v>51603200.851786628</v>
      </c>
      <c r="AN7" s="14">
        <v>50958950.145389274</v>
      </c>
      <c r="AO7" s="14">
        <v>50457879.654986665</v>
      </c>
      <c r="AP7" s="14">
        <v>49735213.163729444</v>
      </c>
      <c r="AQ7" s="14"/>
      <c r="AR7" s="9">
        <f t="shared" si="0"/>
        <v>-9732620.0869999994</v>
      </c>
      <c r="AS7" s="10">
        <f t="shared" si="1"/>
        <v>-0.16366192539999999</v>
      </c>
      <c r="AT7" s="1" t="s">
        <v>6</v>
      </c>
      <c r="AU7" s="1">
        <f>AR5</f>
        <v>-9992561.2060000002</v>
      </c>
    </row>
    <row r="8" ht="15.75" customHeight="1">
      <c r="A8" s="17" t="s">
        <v>7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9">
        <f t="shared" si="0"/>
        <v>0</v>
      </c>
      <c r="AS8" s="10" t="s">
        <v>8</v>
      </c>
      <c r="AT8" s="1" t="s">
        <v>9</v>
      </c>
      <c r="AU8" s="18">
        <f>AR5+AR12</f>
        <v>-9834710.5350000001</v>
      </c>
    </row>
    <row r="9" ht="15.75" customHeight="1">
      <c r="A9" s="17" t="s">
        <v>10</v>
      </c>
      <c r="B9" s="14">
        <v>24374.72488344118</v>
      </c>
      <c r="C9" s="14">
        <v>25043.818767840501</v>
      </c>
      <c r="D9" s="14">
        <v>24941.499551782203</v>
      </c>
      <c r="E9" s="14">
        <v>25263.619482672155</v>
      </c>
      <c r="F9" s="14">
        <v>25636.46591161504</v>
      </c>
      <c r="G9" s="14">
        <v>25824.701426501462</v>
      </c>
      <c r="H9" s="14">
        <v>25832.893317944363</v>
      </c>
      <c r="I9" s="14">
        <v>25872.26184641723</v>
      </c>
      <c r="J9" s="14">
        <v>26015.393551147499</v>
      </c>
      <c r="K9" s="14">
        <v>26236.032830035481</v>
      </c>
      <c r="L9" s="14">
        <v>26805.402269397062</v>
      </c>
      <c r="M9" s="14">
        <v>27277.950378558322</v>
      </c>
      <c r="N9" s="14">
        <v>26718.960809753407</v>
      </c>
      <c r="O9" s="14">
        <v>27007.200955474811</v>
      </c>
      <c r="P9" s="14">
        <v>27019.74641665036</v>
      </c>
      <c r="Q9" s="14">
        <v>27383.61701506345</v>
      </c>
      <c r="R9" s="14">
        <v>27601.138541101034</v>
      </c>
      <c r="S9" s="14">
        <v>27779.232064819251</v>
      </c>
      <c r="T9" s="14">
        <v>27840.06479981072</v>
      </c>
      <c r="U9" s="14">
        <v>27984.931691882273</v>
      </c>
      <c r="V9" s="14">
        <v>28090.700238232395</v>
      </c>
      <c r="W9" s="14">
        <v>28131.502869836389</v>
      </c>
      <c r="X9" s="14">
        <v>28154.135158868397</v>
      </c>
      <c r="Y9" s="14">
        <v>28095.021172583067</v>
      </c>
      <c r="Z9" s="14">
        <v>28280.111760522464</v>
      </c>
      <c r="AA9" s="14">
        <v>28675.141720294134</v>
      </c>
      <c r="AB9" s="14">
        <v>28949.737865221952</v>
      </c>
      <c r="AC9" s="14">
        <v>28847.399047478993</v>
      </c>
      <c r="AD9" s="14">
        <v>29062.603579095088</v>
      </c>
      <c r="AE9" s="14">
        <v>29017.62931190151</v>
      </c>
      <c r="AF9" s="14">
        <v>28772.148535406246</v>
      </c>
      <c r="AG9" s="14">
        <v>28389.930813995084</v>
      </c>
      <c r="AH9" s="14">
        <v>28014.699764892339</v>
      </c>
      <c r="AI9" s="14">
        <v>28092.491549859351</v>
      </c>
      <c r="AJ9" s="14">
        <v>28194.458040679663</v>
      </c>
      <c r="AK9" s="14">
        <v>28367.325601159399</v>
      </c>
      <c r="AL9" s="14">
        <v>28785.944602691423</v>
      </c>
      <c r="AM9" s="14">
        <v>28250.241754168506</v>
      </c>
      <c r="AN9" s="14">
        <v>28678.751446014183</v>
      </c>
      <c r="AO9" s="14">
        <v>28640.27653626079</v>
      </c>
      <c r="AP9" s="14">
        <v>29629.336915673535</v>
      </c>
      <c r="AQ9" s="14"/>
      <c r="AR9" s="9">
        <f t="shared" si="0"/>
        <v>5254.612032</v>
      </c>
      <c r="AS9" s="10">
        <f t="shared" si="1"/>
        <v>0.2155762601</v>
      </c>
      <c r="AT9" s="19" t="s">
        <v>11</v>
      </c>
      <c r="AU9" s="15">
        <f>AU8/(B5+B12)</f>
        <v>-0.1537855575</v>
      </c>
    </row>
    <row r="10" ht="15.75" customHeight="1">
      <c r="A10" s="17" t="s">
        <v>12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9">
        <f t="shared" si="0"/>
        <v>0</v>
      </c>
      <c r="AS10" s="10" t="s">
        <v>8</v>
      </c>
      <c r="AT10" s="1" t="s">
        <v>13</v>
      </c>
      <c r="AU10" s="20">
        <f>AR20/B20</f>
        <v>0.45803321120000001</v>
      </c>
    </row>
    <row r="11" ht="15.75" customHeight="1">
      <c r="A11" s="17" t="s">
        <v>14</v>
      </c>
      <c r="B11" s="14">
        <v>0</v>
      </c>
      <c r="C11" s="14">
        <v>0</v>
      </c>
      <c r="D11" s="14">
        <v>0</v>
      </c>
      <c r="E11" s="14">
        <v>0</v>
      </c>
      <c r="F11" s="14">
        <v>0.08893367919921874</v>
      </c>
      <c r="G11" s="14">
        <v>0.08893367919921874</v>
      </c>
      <c r="H11" s="14">
        <v>0.08893367919921874</v>
      </c>
      <c r="I11" s="14">
        <v>0.08893367919921874</v>
      </c>
      <c r="J11" s="14">
        <v>0.08893367919921874</v>
      </c>
      <c r="K11" s="14">
        <v>0.1778627014160156</v>
      </c>
      <c r="L11" s="14">
        <v>0.1778627014160156</v>
      </c>
      <c r="M11" s="14">
        <v>0.26679317016601561</v>
      </c>
      <c r="N11" s="14">
        <v>0.26679317016601561</v>
      </c>
      <c r="O11" s="14">
        <v>0.1778594909667969</v>
      </c>
      <c r="P11" s="14">
        <v>0.17786712646484379</v>
      </c>
      <c r="Q11" s="14">
        <v>0.17786712646484379</v>
      </c>
      <c r="R11" s="14">
        <v>0.088929022216796869</v>
      </c>
      <c r="S11" s="14">
        <v>0.088929022216796869</v>
      </c>
      <c r="T11" s="14">
        <v>0.088929022216796869</v>
      </c>
      <c r="U11" s="14">
        <v>0.088929022216796869</v>
      </c>
      <c r="V11" s="14">
        <v>0.088929022216796869</v>
      </c>
      <c r="W11" s="14">
        <v>0.088929022216796869</v>
      </c>
      <c r="X11" s="14">
        <v>0.088929022216796869</v>
      </c>
      <c r="Y11" s="14">
        <v>0.088929022216796869</v>
      </c>
      <c r="Z11" s="14">
        <v>0.088929022216796869</v>
      </c>
      <c r="AA11" s="14">
        <v>0.088929022216796869</v>
      </c>
      <c r="AB11" s="14">
        <v>0.088929022216796869</v>
      </c>
      <c r="AC11" s="14">
        <v>0.088929022216796869</v>
      </c>
      <c r="AD11" s="14">
        <v>0.088929022216796869</v>
      </c>
      <c r="AE11" s="14">
        <v>0.088929022216796869</v>
      </c>
      <c r="AF11" s="14">
        <v>0.088929022216796869</v>
      </c>
      <c r="AG11" s="14">
        <v>0.088929022216796869</v>
      </c>
      <c r="AH11" s="14">
        <v>0.088929022216796869</v>
      </c>
      <c r="AI11" s="14">
        <v>0.088929022216796869</v>
      </c>
      <c r="AJ11" s="14">
        <v>0.088929022216796869</v>
      </c>
      <c r="AK11" s="14">
        <v>0.088929022216796869</v>
      </c>
      <c r="AL11" s="14">
        <v>0.088929022216796869</v>
      </c>
      <c r="AM11" s="14">
        <v>0.088929022216796869</v>
      </c>
      <c r="AN11" s="14">
        <v>0.088929022216796869</v>
      </c>
      <c r="AO11" s="14">
        <v>0.088929022216796869</v>
      </c>
      <c r="AP11" s="14">
        <v>0.088929022216796869</v>
      </c>
      <c r="AQ11" s="14"/>
      <c r="AR11" s="9">
        <f t="shared" si="0"/>
        <v>0.088929022220000001</v>
      </c>
      <c r="AS11" s="10" t="s">
        <v>8</v>
      </c>
      <c r="AT11" s="1"/>
      <c r="AU11" s="15"/>
    </row>
    <row r="12" ht="15.75" customHeight="1">
      <c r="A12" s="6" t="s">
        <v>15</v>
      </c>
      <c r="B12" s="6">
        <v>1005478.0639393925</v>
      </c>
      <c r="C12" s="6">
        <v>858552.66857975221</v>
      </c>
      <c r="D12" s="6">
        <v>818660.59086670273</v>
      </c>
      <c r="E12" s="6">
        <v>814100.83936189383</v>
      </c>
      <c r="F12" s="6">
        <v>815659.99113216589</v>
      </c>
      <c r="G12" s="6">
        <v>810622.90450307913</v>
      </c>
      <c r="H12" s="6">
        <v>815037.52499259042</v>
      </c>
      <c r="I12" s="6">
        <v>824059.42855017912</v>
      </c>
      <c r="J12" s="6">
        <v>825504.73037103086</v>
      </c>
      <c r="K12" s="6">
        <v>828974.2855374713</v>
      </c>
      <c r="L12" s="6">
        <v>831630.96933963289</v>
      </c>
      <c r="M12" s="6">
        <v>836617.61130182818</v>
      </c>
      <c r="N12" s="6">
        <v>850328.33454129391</v>
      </c>
      <c r="O12" s="6">
        <v>860334.62821991346</v>
      </c>
      <c r="P12" s="6">
        <v>866228.89866819815</v>
      </c>
      <c r="Q12" s="6">
        <v>880929.54628677177</v>
      </c>
      <c r="R12" s="6">
        <v>896046.18348165497</v>
      </c>
      <c r="S12" s="6">
        <v>906259.33517300733</v>
      </c>
      <c r="T12" s="6">
        <v>897496.18367410148</v>
      </c>
      <c r="U12" s="6">
        <v>912162.92990481516</v>
      </c>
      <c r="V12" s="6">
        <v>905705.97069486429</v>
      </c>
      <c r="W12" s="6">
        <v>915537.29655496241</v>
      </c>
      <c r="X12" s="6">
        <v>912998.57819358329</v>
      </c>
      <c r="Y12" s="6">
        <v>912571.51486950542</v>
      </c>
      <c r="Z12" s="6">
        <v>912499.72250932339</v>
      </c>
      <c r="AA12" s="6">
        <v>903416.96886404767</v>
      </c>
      <c r="AB12" s="6">
        <v>893704.13289256499</v>
      </c>
      <c r="AC12" s="6">
        <v>900731.45768329757</v>
      </c>
      <c r="AD12" s="6">
        <v>912113.93978751195</v>
      </c>
      <c r="AE12" s="6">
        <v>906880.97029249265</v>
      </c>
      <c r="AF12" s="6">
        <v>919974.3270588452</v>
      </c>
      <c r="AG12" s="6">
        <v>946840.49478009087</v>
      </c>
      <c r="AH12" s="6">
        <v>972936.02760006615</v>
      </c>
      <c r="AI12" s="6">
        <v>1002976.5162971683</v>
      </c>
      <c r="AJ12" s="6">
        <v>1044492.547454596</v>
      </c>
      <c r="AK12" s="6">
        <v>1080849.312017851</v>
      </c>
      <c r="AL12" s="6">
        <v>1077563.9728006122</v>
      </c>
      <c r="AM12" s="7">
        <v>1093274.4540373038</v>
      </c>
      <c r="AN12" s="7">
        <v>1094483.9271106273</v>
      </c>
      <c r="AO12" s="7">
        <v>1106501.1877613917</v>
      </c>
      <c r="AP12" s="7">
        <v>1163328.7345673132</v>
      </c>
      <c r="AQ12" s="8"/>
      <c r="AR12" s="9">
        <f t="shared" si="0"/>
        <v>157850.67060000001</v>
      </c>
      <c r="AS12" s="10">
        <f t="shared" ref="AS12:AS36" si="2">AR12/B12</f>
        <v>0.1569906657</v>
      </c>
      <c r="AT12" s="11"/>
    </row>
    <row r="13" ht="15.75" customHeight="1">
      <c r="A13" s="8" t="s">
        <v>16</v>
      </c>
      <c r="B13" s="14">
        <v>0.17769434204101561</v>
      </c>
      <c r="C13" s="14">
        <v>0.26671140747070321</v>
      </c>
      <c r="D13" s="14">
        <v>0.17767990112304691</v>
      </c>
      <c r="E13" s="14">
        <v>0.088832775878906242</v>
      </c>
      <c r="F13" s="14">
        <v>0.087553894042968747</v>
      </c>
      <c r="G13" s="14">
        <v>0</v>
      </c>
      <c r="H13" s="14">
        <v>0</v>
      </c>
      <c r="I13" s="14">
        <v>0</v>
      </c>
      <c r="J13" s="14">
        <v>0.08877771606445313</v>
      </c>
      <c r="K13" s="14">
        <v>0.17777554321289063</v>
      </c>
      <c r="L13" s="14">
        <v>0.0889978271484375</v>
      </c>
      <c r="M13" s="14">
        <v>0.0889978271484375</v>
      </c>
      <c r="N13" s="14">
        <v>0.0889978271484375</v>
      </c>
      <c r="O13" s="14">
        <v>0</v>
      </c>
      <c r="P13" s="14">
        <v>0.26667189331054691</v>
      </c>
      <c r="Q13" s="14">
        <v>0.26667189331054691</v>
      </c>
      <c r="R13" s="14">
        <v>0.17652470703125001</v>
      </c>
      <c r="S13" s="14">
        <v>0.17652482299804689</v>
      </c>
      <c r="T13" s="14">
        <v>0.088971014404296875</v>
      </c>
      <c r="U13" s="14">
        <v>0.26641492309570308</v>
      </c>
      <c r="V13" s="14">
        <v>0.35538630981445307</v>
      </c>
      <c r="W13" s="14">
        <v>0.80177702026367181</v>
      </c>
      <c r="X13" s="14">
        <v>0.80177702026367181</v>
      </c>
      <c r="Y13" s="14">
        <v>0.26547499389648432</v>
      </c>
      <c r="Z13" s="14">
        <v>0.35600497436523426</v>
      </c>
      <c r="AA13" s="14">
        <v>0.62384669799804682</v>
      </c>
      <c r="AB13" s="14">
        <v>0.98084848632812494</v>
      </c>
      <c r="AC13" s="14">
        <v>1.2483810058593749</v>
      </c>
      <c r="AD13" s="14">
        <v>1.6913573486328126</v>
      </c>
      <c r="AE13" s="14">
        <v>1.3360912719726565</v>
      </c>
      <c r="AF13" s="14">
        <v>1.3360912719726565</v>
      </c>
      <c r="AG13" s="14">
        <v>0.89280600585937508</v>
      </c>
      <c r="AH13" s="14">
        <v>0.98177702026367197</v>
      </c>
      <c r="AI13" s="14">
        <v>0.98177686157226574</v>
      </c>
      <c r="AJ13" s="14">
        <v>0.71394275512695315</v>
      </c>
      <c r="AK13" s="14">
        <v>0.53538161010742191</v>
      </c>
      <c r="AL13" s="14">
        <v>0.4457913513183594</v>
      </c>
      <c r="AM13" s="14">
        <v>0.4457913513183594</v>
      </c>
      <c r="AN13" s="14">
        <v>0.88807825927734385</v>
      </c>
      <c r="AO13" s="14">
        <v>0.7994254150390625</v>
      </c>
      <c r="AP13" s="14">
        <v>0.53448585205078125</v>
      </c>
      <c r="AQ13" s="14"/>
      <c r="AR13" s="9">
        <f t="shared" si="0"/>
        <v>0.35679150999999998</v>
      </c>
      <c r="AS13" s="10">
        <f t="shared" si="2"/>
        <v>2.0078946009999998</v>
      </c>
    </row>
    <row r="14" ht="15.75" customHeight="1">
      <c r="A14" s="8" t="s">
        <v>17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9">
        <f t="shared" si="0"/>
        <v>0</v>
      </c>
      <c r="AS14" s="10" t="s">
        <v>8</v>
      </c>
    </row>
    <row r="15" ht="15.75" customHeight="1">
      <c r="A15" s="8" t="s">
        <v>18</v>
      </c>
      <c r="B15" s="14">
        <v>483057.12911659165</v>
      </c>
      <c r="C15" s="14">
        <v>325812.60621404665</v>
      </c>
      <c r="D15" s="14">
        <v>266985.9889229344</v>
      </c>
      <c r="E15" s="14">
        <v>253546.9111189587</v>
      </c>
      <c r="F15" s="14">
        <v>247426.54313423095</v>
      </c>
      <c r="G15" s="14">
        <v>241686.94378365052</v>
      </c>
      <c r="H15" s="14">
        <v>242156.39743456393</v>
      </c>
      <c r="I15" s="14">
        <v>243980.19024582519</v>
      </c>
      <c r="J15" s="14">
        <v>243439.09837975373</v>
      </c>
      <c r="K15" s="14">
        <v>245384.43895682803</v>
      </c>
      <c r="L15" s="14">
        <v>245736.52170955917</v>
      </c>
      <c r="M15" s="14">
        <v>247933.70418341758</v>
      </c>
      <c r="N15" s="14">
        <v>255152.63876795274</v>
      </c>
      <c r="O15" s="14">
        <v>257533.38412951329</v>
      </c>
      <c r="P15" s="14">
        <v>267525.13181133789</v>
      </c>
      <c r="Q15" s="14">
        <v>284324.4042415978</v>
      </c>
      <c r="R15" s="14">
        <v>292114.73914752051</v>
      </c>
      <c r="S15" s="14">
        <v>293034.88222504192</v>
      </c>
      <c r="T15" s="14">
        <v>287451.70636923739</v>
      </c>
      <c r="U15" s="14">
        <v>283954.02463671018</v>
      </c>
      <c r="V15" s="14">
        <v>279637.27173253067</v>
      </c>
      <c r="W15" s="14">
        <v>286554.51525097387</v>
      </c>
      <c r="X15" s="14">
        <v>289455.13881157484</v>
      </c>
      <c r="Y15" s="14">
        <v>286164.67863967648</v>
      </c>
      <c r="Z15" s="14">
        <v>284136.12936096266</v>
      </c>
      <c r="AA15" s="14">
        <v>278383.36340881826</v>
      </c>
      <c r="AB15" s="14">
        <v>274302.84604122071</v>
      </c>
      <c r="AC15" s="14">
        <v>272435.27625067014</v>
      </c>
      <c r="AD15" s="14">
        <v>286334.19515327812</v>
      </c>
      <c r="AE15" s="14">
        <v>298219.11941880634</v>
      </c>
      <c r="AF15" s="14">
        <v>303490.36213165027</v>
      </c>
      <c r="AG15" s="14">
        <v>317709.58948567737</v>
      </c>
      <c r="AH15" s="14">
        <v>330371.61851883278</v>
      </c>
      <c r="AI15" s="14">
        <v>344647.09651571861</v>
      </c>
      <c r="AJ15" s="14">
        <v>358445.04441826249</v>
      </c>
      <c r="AK15" s="14">
        <v>370698.46977415256</v>
      </c>
      <c r="AL15" s="14">
        <v>369174.63232564286</v>
      </c>
      <c r="AM15" s="14">
        <v>368505.64182609506</v>
      </c>
      <c r="AN15" s="14">
        <v>359507.74368783913</v>
      </c>
      <c r="AO15" s="14">
        <v>359801.1665322191</v>
      </c>
      <c r="AP15" s="14">
        <v>373798.78874207311</v>
      </c>
      <c r="AQ15" s="14"/>
      <c r="AR15" s="9">
        <f t="shared" si="0"/>
        <v>-109258.3404</v>
      </c>
      <c r="AS15" s="10">
        <f t="shared" si="2"/>
        <v>-0.2261809914</v>
      </c>
    </row>
    <row r="16" ht="15.75" customHeight="1">
      <c r="A16" s="8" t="s">
        <v>19</v>
      </c>
      <c r="B16" s="14">
        <v>370790.99615080486</v>
      </c>
      <c r="C16" s="14">
        <v>390648.42436464457</v>
      </c>
      <c r="D16" s="14">
        <v>410311.29106428905</v>
      </c>
      <c r="E16" s="14">
        <v>418977.89860608289</v>
      </c>
      <c r="F16" s="14">
        <v>426261.51772833109</v>
      </c>
      <c r="G16" s="14">
        <v>426762.21145084396</v>
      </c>
      <c r="H16" s="14">
        <v>430635.00839397713</v>
      </c>
      <c r="I16" s="14">
        <v>438509.04822081595</v>
      </c>
      <c r="J16" s="14">
        <v>440730.89480900869</v>
      </c>
      <c r="K16" s="14">
        <v>443041.42859639745</v>
      </c>
      <c r="L16" s="14">
        <v>446973.08828587923</v>
      </c>
      <c r="M16" s="14">
        <v>450622.56998929154</v>
      </c>
      <c r="N16" s="14">
        <v>457200.70839307446</v>
      </c>
      <c r="O16" s="14">
        <v>464338.07370276639</v>
      </c>
      <c r="P16" s="14">
        <v>457565.7759398385</v>
      </c>
      <c r="Q16" s="14">
        <v>454166.30599273322</v>
      </c>
      <c r="R16" s="14">
        <v>461241.00631560496</v>
      </c>
      <c r="S16" s="14">
        <v>470334.23972179438</v>
      </c>
      <c r="T16" s="14">
        <v>467458.66871253692</v>
      </c>
      <c r="U16" s="14">
        <v>484727.76012496016</v>
      </c>
      <c r="V16" s="14">
        <v>482360.29121014918</v>
      </c>
      <c r="W16" s="14">
        <v>485829.89155901887</v>
      </c>
      <c r="X16" s="14">
        <v>480714.21052866452</v>
      </c>
      <c r="Y16" s="14">
        <v>483314.25235383498</v>
      </c>
      <c r="Z16" s="14">
        <v>484919.59227977012</v>
      </c>
      <c r="AA16" s="14">
        <v>482747.18696331116</v>
      </c>
      <c r="AB16" s="14">
        <v>478499.11245717393</v>
      </c>
      <c r="AC16" s="14">
        <v>487939.90292570705</v>
      </c>
      <c r="AD16" s="14">
        <v>484980.67632679455</v>
      </c>
      <c r="AE16" s="14">
        <v>466176.8073942074</v>
      </c>
      <c r="AF16" s="14">
        <v>473776.4785850693</v>
      </c>
      <c r="AG16" s="14">
        <v>487050.10591447051</v>
      </c>
      <c r="AH16" s="14">
        <v>499426.94239228166</v>
      </c>
      <c r="AI16" s="14">
        <v>515181.10630906909</v>
      </c>
      <c r="AJ16" s="14">
        <v>542645.44910594483</v>
      </c>
      <c r="AK16" s="14">
        <v>566418.40058834036</v>
      </c>
      <c r="AL16" s="14">
        <v>564619.64411591273</v>
      </c>
      <c r="AM16" s="14">
        <v>580145.22236625117</v>
      </c>
      <c r="AN16" s="14">
        <v>588020.31784783176</v>
      </c>
      <c r="AO16" s="14">
        <v>596135.12516325538</v>
      </c>
      <c r="AP16" s="14">
        <v>629110.73819519207</v>
      </c>
      <c r="AQ16" s="14"/>
      <c r="AR16" s="9">
        <f t="shared" si="0"/>
        <v>258319.742</v>
      </c>
      <c r="AS16" s="10">
        <f t="shared" si="2"/>
        <v>0.69667210030000004</v>
      </c>
    </row>
    <row r="17" ht="15.75" customHeight="1">
      <c r="A17" s="13" t="s">
        <v>20</v>
      </c>
      <c r="B17" s="14">
        <v>13699.556455840982</v>
      </c>
      <c r="C17" s="14">
        <v>13698.698180230647</v>
      </c>
      <c r="D17" s="14">
        <v>13636.338884313895</v>
      </c>
      <c r="E17" s="14">
        <v>14027.143102581736</v>
      </c>
      <c r="F17" s="14">
        <v>13812.124469903541</v>
      </c>
      <c r="G17" s="14">
        <v>13543.264183270241</v>
      </c>
      <c r="H17" s="14">
        <v>13347.688797534114</v>
      </c>
      <c r="I17" s="14">
        <v>13015.299413732831</v>
      </c>
      <c r="J17" s="14">
        <v>12826.551674395734</v>
      </c>
      <c r="K17" s="14">
        <v>12657.473044000204</v>
      </c>
      <c r="L17" s="14">
        <v>12556.988247912543</v>
      </c>
      <c r="M17" s="14">
        <v>12248.700290710392</v>
      </c>
      <c r="N17" s="14">
        <v>12300.140884478706</v>
      </c>
      <c r="O17" s="14">
        <v>12614.628516821285</v>
      </c>
      <c r="P17" s="14">
        <v>13121.848061566114</v>
      </c>
      <c r="Q17" s="14">
        <v>13599.937875543135</v>
      </c>
      <c r="R17" s="14">
        <v>13402.531539623935</v>
      </c>
      <c r="S17" s="14">
        <v>12895.110424255363</v>
      </c>
      <c r="T17" s="14">
        <v>12577.53125933232</v>
      </c>
      <c r="U17" s="14">
        <v>12866.217699359124</v>
      </c>
      <c r="V17" s="14">
        <v>13036.902928894018</v>
      </c>
      <c r="W17" s="14">
        <v>13013.99404719242</v>
      </c>
      <c r="X17" s="14">
        <v>12830.654589965823</v>
      </c>
      <c r="Y17" s="14">
        <v>12604.415470269789</v>
      </c>
      <c r="Z17" s="14">
        <v>12595.662037805225</v>
      </c>
      <c r="AA17" s="14">
        <v>12350.181031909178</v>
      </c>
      <c r="AB17" s="14">
        <v>12067.466988256891</v>
      </c>
      <c r="AC17" s="14">
        <v>11855.666142474409</v>
      </c>
      <c r="AD17" s="14">
        <v>12061.43993702397</v>
      </c>
      <c r="AE17" s="14">
        <v>11964.225595459009</v>
      </c>
      <c r="AF17" s="14">
        <v>11803.866902246102</v>
      </c>
      <c r="AG17" s="14">
        <v>11759.315603973428</v>
      </c>
      <c r="AH17" s="14">
        <v>11808.857568353302</v>
      </c>
      <c r="AI17" s="14">
        <v>11769.939945666487</v>
      </c>
      <c r="AJ17" s="14">
        <v>11507.892319134553</v>
      </c>
      <c r="AK17" s="14">
        <v>11334.088329962184</v>
      </c>
      <c r="AL17" s="14">
        <v>11246.901605712914</v>
      </c>
      <c r="AM17" s="14">
        <v>10923.587992925959</v>
      </c>
      <c r="AN17" s="14">
        <v>10576.953599841303</v>
      </c>
      <c r="AO17" s="14">
        <v>10311.297562915055</v>
      </c>
      <c r="AP17" s="14">
        <v>9407.176056707769</v>
      </c>
      <c r="AQ17" s="14"/>
      <c r="AR17" s="9">
        <f t="shared" si="0"/>
        <v>-4292.3803989999997</v>
      </c>
      <c r="AS17" s="10">
        <f t="shared" si="2"/>
        <v>-0.31332258190000001</v>
      </c>
    </row>
    <row r="18" ht="15.75" customHeight="1">
      <c r="A18" s="8" t="s">
        <v>21</v>
      </c>
      <c r="B18" s="14">
        <v>128202.00202924697</v>
      </c>
      <c r="C18" s="14">
        <v>117147.36637534086</v>
      </c>
      <c r="D18" s="14">
        <v>115940.20013179242</v>
      </c>
      <c r="E18" s="14">
        <v>115653.98964313885</v>
      </c>
      <c r="F18" s="14">
        <v>116532.6034235406</v>
      </c>
      <c r="G18" s="14">
        <v>116841.34199756406</v>
      </c>
      <c r="H18" s="14">
        <v>116903.25033140175</v>
      </c>
      <c r="I18" s="14">
        <v>116905.09646577685</v>
      </c>
      <c r="J18" s="14">
        <v>116790.76099562291</v>
      </c>
      <c r="K18" s="14">
        <v>116233.14001061907</v>
      </c>
      <c r="L18" s="14">
        <v>115052.26548468533</v>
      </c>
      <c r="M18" s="14">
        <v>114922.55015516267</v>
      </c>
      <c r="N18" s="14">
        <v>115191.75396148623</v>
      </c>
      <c r="O18" s="14">
        <v>115532.09445319767</v>
      </c>
      <c r="P18" s="14">
        <v>116346.5392811331</v>
      </c>
      <c r="Q18" s="14">
        <v>116844.14069263845</v>
      </c>
      <c r="R18" s="14">
        <v>117143.68891893837</v>
      </c>
      <c r="S18" s="14">
        <v>117819.44514572655</v>
      </c>
      <c r="T18" s="14">
        <v>117923.02672219761</v>
      </c>
      <c r="U18" s="14">
        <v>118468.58676861475</v>
      </c>
      <c r="V18" s="14">
        <v>118518.35533905568</v>
      </c>
      <c r="W18" s="14">
        <v>117959.00104893689</v>
      </c>
      <c r="X18" s="14">
        <v>117229.49332023221</v>
      </c>
      <c r="Y18" s="14">
        <v>116460.14648256733</v>
      </c>
      <c r="Z18" s="14">
        <v>116571.94559360875</v>
      </c>
      <c r="AA18" s="14">
        <v>116212.67343931185</v>
      </c>
      <c r="AB18" s="14">
        <v>115894.67316014921</v>
      </c>
      <c r="AC18" s="14">
        <v>116191.07110093272</v>
      </c>
      <c r="AD18" s="14">
        <v>117203.34784396856</v>
      </c>
      <c r="AE18" s="14">
        <v>119025.62578027228</v>
      </c>
      <c r="AF18" s="14">
        <v>119303.8173397451</v>
      </c>
      <c r="AG18" s="14">
        <v>118543.16975240977</v>
      </c>
      <c r="AH18" s="14">
        <v>119165.2449457875</v>
      </c>
      <c r="AI18" s="14">
        <v>118823.76120292243</v>
      </c>
      <c r="AJ18" s="14">
        <v>119288.73264141749</v>
      </c>
      <c r="AK18" s="14">
        <v>120120.69924354754</v>
      </c>
      <c r="AL18" s="14">
        <v>120360.26341656395</v>
      </c>
      <c r="AM18" s="14">
        <v>121525.32278878061</v>
      </c>
      <c r="AN18" s="14">
        <v>123894.63962242943</v>
      </c>
      <c r="AO18" s="14">
        <v>127881.86871443412</v>
      </c>
      <c r="AP18" s="14">
        <v>138990.38516580212</v>
      </c>
      <c r="AQ18" s="14"/>
      <c r="AR18" s="9">
        <f t="shared" si="0"/>
        <v>10788.38314</v>
      </c>
      <c r="AS18" s="10">
        <f t="shared" si="2"/>
        <v>0.084151440430000002</v>
      </c>
    </row>
    <row r="19" ht="15.75" customHeight="1">
      <c r="A19" s="8" t="s">
        <v>22</v>
      </c>
      <c r="B19" s="14">
        <v>9728.2024925659643</v>
      </c>
      <c r="C19" s="14">
        <v>11245.306734082074</v>
      </c>
      <c r="D19" s="14">
        <v>11786.594183471754</v>
      </c>
      <c r="E19" s="14">
        <v>11894.80805835578</v>
      </c>
      <c r="F19" s="14">
        <v>11627.114822265659</v>
      </c>
      <c r="G19" s="14">
        <v>11789.143087750277</v>
      </c>
      <c r="H19" s="14">
        <v>11995.18003511359</v>
      </c>
      <c r="I19" s="14">
        <v>11649.794204028374</v>
      </c>
      <c r="J19" s="14">
        <v>11717.335734533763</v>
      </c>
      <c r="K19" s="14">
        <v>11657.627154083286</v>
      </c>
      <c r="L19" s="14">
        <v>11312.016613769594</v>
      </c>
      <c r="M19" s="14">
        <v>10889.997685418777</v>
      </c>
      <c r="N19" s="14">
        <v>10483.003536474689</v>
      </c>
      <c r="O19" s="14">
        <v>10316.447417614831</v>
      </c>
      <c r="P19" s="14">
        <v>11669.336902429282</v>
      </c>
      <c r="Q19" s="14">
        <v>11994.490812365835</v>
      </c>
      <c r="R19" s="14">
        <v>12144.041035260067</v>
      </c>
      <c r="S19" s="14">
        <v>12175.481131366112</v>
      </c>
      <c r="T19" s="14">
        <v>12085.161639782866</v>
      </c>
      <c r="U19" s="14">
        <v>12146.074260247926</v>
      </c>
      <c r="V19" s="14">
        <v>12152.794097924934</v>
      </c>
      <c r="W19" s="14">
        <v>12179.09287182017</v>
      </c>
      <c r="X19" s="14">
        <v>12768.279166125601</v>
      </c>
      <c r="Y19" s="14">
        <v>14027.756448163018</v>
      </c>
      <c r="Z19" s="14">
        <v>14276.037232202294</v>
      </c>
      <c r="AA19" s="14">
        <v>13722.940173999181</v>
      </c>
      <c r="AB19" s="14">
        <v>12939.053397278005</v>
      </c>
      <c r="AC19" s="14">
        <v>12308.29288250746</v>
      </c>
      <c r="AD19" s="14">
        <v>11532.589169098057</v>
      </c>
      <c r="AE19" s="14">
        <v>11493.856012475706</v>
      </c>
      <c r="AF19" s="14">
        <v>11598.466008862428</v>
      </c>
      <c r="AG19" s="14">
        <v>11777.421217553876</v>
      </c>
      <c r="AH19" s="14">
        <v>12162.382397790687</v>
      </c>
      <c r="AI19" s="14">
        <v>12553.630546930093</v>
      </c>
      <c r="AJ19" s="14">
        <v>12604.71502708142</v>
      </c>
      <c r="AK19" s="14">
        <v>12277.118700238145</v>
      </c>
      <c r="AL19" s="14">
        <v>12162.085545428614</v>
      </c>
      <c r="AM19" s="14">
        <v>12174.233271899569</v>
      </c>
      <c r="AN19" s="14">
        <v>12483.384274426397</v>
      </c>
      <c r="AO19" s="14">
        <v>12370.930363153218</v>
      </c>
      <c r="AP19" s="14">
        <v>12021.111921685957</v>
      </c>
      <c r="AQ19" s="14"/>
      <c r="AR19" s="9">
        <f t="shared" si="0"/>
        <v>2292.9094289999998</v>
      </c>
      <c r="AS19" s="10">
        <f t="shared" si="2"/>
        <v>0.23569713219999999</v>
      </c>
    </row>
    <row r="20" ht="15.75" customHeight="1">
      <c r="A20" s="7" t="s">
        <v>23</v>
      </c>
      <c r="B20" s="6">
        <v>20676690.324440837</v>
      </c>
      <c r="C20" s="6">
        <v>20691916.051727906</v>
      </c>
      <c r="D20" s="6">
        <v>20897987.990255844</v>
      </c>
      <c r="E20" s="6">
        <v>21285116.990189873</v>
      </c>
      <c r="F20" s="6">
        <v>21744760.156991586</v>
      </c>
      <c r="G20" s="6">
        <v>22273907.280757401</v>
      </c>
      <c r="H20" s="6">
        <v>22743164.121570949</v>
      </c>
      <c r="I20" s="6">
        <v>23190531.827338334</v>
      </c>
      <c r="J20" s="6">
        <v>23673959.860712036</v>
      </c>
      <c r="K20" s="6">
        <v>24091188.138784606</v>
      </c>
      <c r="L20" s="6">
        <v>24402346.421786461</v>
      </c>
      <c r="M20" s="6">
        <v>24589426.76294852</v>
      </c>
      <c r="N20" s="6">
        <v>24624627.348939002</v>
      </c>
      <c r="O20" s="6">
        <v>24997011.692503259</v>
      </c>
      <c r="P20" s="6">
        <v>24960487.882988937</v>
      </c>
      <c r="Q20" s="6">
        <v>25042147.775776632</v>
      </c>
      <c r="R20" s="6">
        <v>25297221.165441167</v>
      </c>
      <c r="S20" s="6">
        <v>25348706.354314931</v>
      </c>
      <c r="T20" s="6">
        <v>25553190.311716042</v>
      </c>
      <c r="U20" s="6">
        <v>25539910.279298645</v>
      </c>
      <c r="V20" s="6">
        <v>25668975.068797048</v>
      </c>
      <c r="W20" s="6">
        <v>25739988.515185669</v>
      </c>
      <c r="X20" s="6">
        <v>25811809.500108458</v>
      </c>
      <c r="Y20" s="6">
        <v>25957296.717714362</v>
      </c>
      <c r="Z20" s="6">
        <v>26029138.557503086</v>
      </c>
      <c r="AA20" s="6">
        <v>26224182.183831692</v>
      </c>
      <c r="AB20" s="6">
        <v>26432897.360791501</v>
      </c>
      <c r="AC20" s="6">
        <v>26854183.136488091</v>
      </c>
      <c r="AD20" s="6">
        <v>27236567.606732827</v>
      </c>
      <c r="AE20" s="6">
        <v>27358377.552558303</v>
      </c>
      <c r="AF20" s="6">
        <v>27610729.471004754</v>
      </c>
      <c r="AG20" s="6">
        <v>27650631.205848381</v>
      </c>
      <c r="AH20" s="6">
        <v>27659256.553200651</v>
      </c>
      <c r="AI20" s="6">
        <v>27603426.692163132</v>
      </c>
      <c r="AJ20" s="6">
        <v>27638978.907335531</v>
      </c>
      <c r="AK20" s="6">
        <v>27631087.702488083</v>
      </c>
      <c r="AL20" s="6">
        <v>27988434.020244163</v>
      </c>
      <c r="AM20" s="7">
        <v>28408678.924571391</v>
      </c>
      <c r="AN20" s="7">
        <v>29032706.327449031</v>
      </c>
      <c r="AO20" s="7">
        <v>29499176.144028045</v>
      </c>
      <c r="AP20" s="7">
        <v>30147301.189978424</v>
      </c>
      <c r="AQ20" s="8"/>
      <c r="AR20" s="9">
        <f t="shared" si="0"/>
        <v>9470610.8660000004</v>
      </c>
      <c r="AS20" s="10">
        <f t="shared" si="2"/>
        <v>0.45803321120000001</v>
      </c>
      <c r="AT20" s="11"/>
    </row>
    <row r="21" ht="15.75" customHeight="1">
      <c r="A21" s="13" t="s">
        <v>24</v>
      </c>
      <c r="B21" s="14">
        <v>14830741.074779592</v>
      </c>
      <c r="C21" s="14">
        <v>16538276.085002949</v>
      </c>
      <c r="D21" s="14">
        <v>17543102.200098522</v>
      </c>
      <c r="E21" s="14">
        <v>18233991.408862147</v>
      </c>
      <c r="F21" s="14">
        <v>18905868.032576617</v>
      </c>
      <c r="G21" s="14">
        <v>19555166.044151887</v>
      </c>
      <c r="H21" s="14">
        <v>20060758.845901154</v>
      </c>
      <c r="I21" s="14">
        <v>20460452.430773497</v>
      </c>
      <c r="J21" s="14">
        <v>20822180.852471314</v>
      </c>
      <c r="K21" s="14">
        <v>20865623.865993075</v>
      </c>
      <c r="L21" s="14">
        <v>20962368.507769544</v>
      </c>
      <c r="M21" s="14">
        <v>21153251.097380541</v>
      </c>
      <c r="N21" s="14">
        <v>21346384.073192988</v>
      </c>
      <c r="O21" s="14">
        <v>21853414.537421759</v>
      </c>
      <c r="P21" s="14">
        <v>21951148.135845955</v>
      </c>
      <c r="Q21" s="14">
        <v>22016244.145498019</v>
      </c>
      <c r="R21" s="14">
        <v>22161354.052853499</v>
      </c>
      <c r="S21" s="14">
        <v>22151139.647646885</v>
      </c>
      <c r="T21" s="14">
        <v>22304358.255856335</v>
      </c>
      <c r="U21" s="14">
        <v>22296881.93900238</v>
      </c>
      <c r="V21" s="14">
        <v>22419791.925143987</v>
      </c>
      <c r="W21" s="14">
        <v>22431326.582662456</v>
      </c>
      <c r="X21" s="14">
        <v>22470766.989101447</v>
      </c>
      <c r="Y21" s="14">
        <v>22577799.46487391</v>
      </c>
      <c r="Z21" s="14">
        <v>22656452.947282903</v>
      </c>
      <c r="AA21" s="14">
        <v>22806190.710808814</v>
      </c>
      <c r="AB21" s="14">
        <v>22937792.251756348</v>
      </c>
      <c r="AC21" s="14">
        <v>23353912.401944235</v>
      </c>
      <c r="AD21" s="14">
        <v>23684366.084688738</v>
      </c>
      <c r="AE21" s="14">
        <v>23767096.023757391</v>
      </c>
      <c r="AF21" s="14">
        <v>23791547.367368314</v>
      </c>
      <c r="AG21" s="14">
        <v>23707710.754141338</v>
      </c>
      <c r="AH21" s="14">
        <v>23545155.749454383</v>
      </c>
      <c r="AI21" s="14">
        <v>23420284.911333945</v>
      </c>
      <c r="AJ21" s="14">
        <v>23420817.875886034</v>
      </c>
      <c r="AK21" s="14">
        <v>23415962.39984734</v>
      </c>
      <c r="AL21" s="14">
        <v>23716678.140998527</v>
      </c>
      <c r="AM21" s="14">
        <v>24190675.068820886</v>
      </c>
      <c r="AN21" s="14">
        <v>24591580.520442873</v>
      </c>
      <c r="AO21" s="14">
        <v>24827705.425840292</v>
      </c>
      <c r="AP21" s="14">
        <v>25103861.946313169</v>
      </c>
      <c r="AQ21" s="14"/>
      <c r="AR21" s="9">
        <f t="shared" si="0"/>
        <v>10273120.869999999</v>
      </c>
      <c r="AS21" s="10">
        <f t="shared" si="2"/>
        <v>0.69269100039999998</v>
      </c>
      <c r="AT21" s="1"/>
      <c r="AU21" s="21"/>
    </row>
    <row r="22" ht="15.75" customHeight="1">
      <c r="A22" s="8" t="s">
        <v>25</v>
      </c>
      <c r="B22" s="14">
        <v>108553.05788879986</v>
      </c>
      <c r="C22" s="14">
        <v>105392.81251414768</v>
      </c>
      <c r="D22" s="14">
        <v>102034.60201923233</v>
      </c>
      <c r="E22" s="14">
        <v>108295.37734865097</v>
      </c>
      <c r="F22" s="14">
        <v>121678.25974505015</v>
      </c>
      <c r="G22" s="14">
        <v>132045.32678500446</v>
      </c>
      <c r="H22" s="14">
        <v>144796.94630001389</v>
      </c>
      <c r="I22" s="14">
        <v>163530.87034033562</v>
      </c>
      <c r="J22" s="14">
        <v>184727.11305394722</v>
      </c>
      <c r="K22" s="14">
        <v>241512.33845851908</v>
      </c>
      <c r="L22" s="14">
        <v>291321.15774381941</v>
      </c>
      <c r="M22" s="14">
        <v>329607.01219562558</v>
      </c>
      <c r="N22" s="14">
        <v>358726.62982949405</v>
      </c>
      <c r="O22" s="14">
        <v>393815.0010052264</v>
      </c>
      <c r="P22" s="14">
        <v>517632.05581453454</v>
      </c>
      <c r="Q22" s="14">
        <v>613094.47815995256</v>
      </c>
      <c r="R22" s="14">
        <v>683257.20579893258</v>
      </c>
      <c r="S22" s="14">
        <v>733162.58685800957</v>
      </c>
      <c r="T22" s="14">
        <v>765054.23177976231</v>
      </c>
      <c r="U22" s="14">
        <v>787947.37909628334</v>
      </c>
      <c r="V22" s="14">
        <v>833665.36352407536</v>
      </c>
      <c r="W22" s="14">
        <v>920126.77186739107</v>
      </c>
      <c r="X22" s="14">
        <v>998812.14337109716</v>
      </c>
      <c r="Y22" s="14">
        <v>1067181.1184910554</v>
      </c>
      <c r="Z22" s="14">
        <v>1139374.3795718479</v>
      </c>
      <c r="AA22" s="14">
        <v>1195691.3100644182</v>
      </c>
      <c r="AB22" s="14">
        <v>1251656.6566599002</v>
      </c>
      <c r="AC22" s="14">
        <v>1274417.4110126749</v>
      </c>
      <c r="AD22" s="14">
        <v>1326970.4384832266</v>
      </c>
      <c r="AE22" s="14">
        <v>1392320.6038030013</v>
      </c>
      <c r="AF22" s="14">
        <v>1563168.5353053771</v>
      </c>
      <c r="AG22" s="14">
        <v>1674867.8428700909</v>
      </c>
      <c r="AH22" s="14">
        <v>1794692.5127169315</v>
      </c>
      <c r="AI22" s="14">
        <v>1789760.6550602503</v>
      </c>
      <c r="AJ22" s="14">
        <v>1803386.0802528011</v>
      </c>
      <c r="AK22" s="14">
        <v>1835163.9033043652</v>
      </c>
      <c r="AL22" s="14">
        <v>1847637.5828630922</v>
      </c>
      <c r="AM22" s="14">
        <v>1853538.2810957162</v>
      </c>
      <c r="AN22" s="14">
        <v>1861353.942661958</v>
      </c>
      <c r="AO22" s="14">
        <v>1869261.3360124966</v>
      </c>
      <c r="AP22" s="14">
        <v>1878082.48590357</v>
      </c>
      <c r="AQ22" s="14"/>
      <c r="AR22" s="9">
        <f t="shared" si="0"/>
        <v>1769529.4280000001</v>
      </c>
      <c r="AS22" s="10">
        <f t="shared" si="2"/>
        <v>16.301055560000002</v>
      </c>
    </row>
    <row r="23" ht="15.75" customHeight="1">
      <c r="A23" s="8" t="s">
        <v>26</v>
      </c>
      <c r="B23" s="14">
        <v>195.08725386962874</v>
      </c>
      <c r="C23" s="14">
        <v>882.65954210204632</v>
      </c>
      <c r="D23" s="14">
        <v>1117.0269401672322</v>
      </c>
      <c r="E23" s="14">
        <v>1355.5413087402269</v>
      </c>
      <c r="F23" s="14">
        <v>1621.6092147888148</v>
      </c>
      <c r="G23" s="14">
        <v>1542.9856654418954</v>
      </c>
      <c r="H23" s="14">
        <v>1646.4833389099199</v>
      </c>
      <c r="I23" s="14">
        <v>1879.0544054992679</v>
      </c>
      <c r="J23" s="14">
        <v>2143.9463316528409</v>
      </c>
      <c r="K23" s="14">
        <v>2109.0221165161311</v>
      </c>
      <c r="L23" s="14">
        <v>2918.043359844989</v>
      </c>
      <c r="M23" s="14">
        <v>3112.423107281516</v>
      </c>
      <c r="N23" s="14">
        <v>3344.3083607971362</v>
      </c>
      <c r="O23" s="14">
        <v>3640.9753595154039</v>
      </c>
      <c r="P23" s="14">
        <v>3820.1044288818616</v>
      </c>
      <c r="Q23" s="14">
        <v>3991.8588841797082</v>
      </c>
      <c r="R23" s="14">
        <v>4182.7818101989797</v>
      </c>
      <c r="S23" s="14">
        <v>5571.9909395263549</v>
      </c>
      <c r="T23" s="14">
        <v>5908.6187304870382</v>
      </c>
      <c r="U23" s="14">
        <v>6234.1025882507092</v>
      </c>
      <c r="V23" s="14">
        <v>6570.7490086913831</v>
      </c>
      <c r="W23" s="14">
        <v>6973.068503179903</v>
      </c>
      <c r="X23" s="14">
        <v>7286.3622443603035</v>
      </c>
      <c r="Y23" s="14">
        <v>8032.5415420653117</v>
      </c>
      <c r="Z23" s="14">
        <v>8882.4771510679657</v>
      </c>
      <c r="AA23" s="14">
        <v>10269.386132971107</v>
      </c>
      <c r="AB23" s="14">
        <v>11625.62247745979</v>
      </c>
      <c r="AC23" s="14">
        <v>12704.773477502575</v>
      </c>
      <c r="AD23" s="14">
        <v>14641.252674615505</v>
      </c>
      <c r="AE23" s="14">
        <v>14708.24963605954</v>
      </c>
      <c r="AF23" s="14">
        <v>14445.472699981718</v>
      </c>
      <c r="AG23" s="14">
        <v>13745.348022125341</v>
      </c>
      <c r="AH23" s="14">
        <v>13527.513975170896</v>
      </c>
      <c r="AI23" s="14">
        <v>12998.483512951654</v>
      </c>
      <c r="AJ23" s="14">
        <v>13130.250306268321</v>
      </c>
      <c r="AK23" s="14">
        <v>13331.922075030514</v>
      </c>
      <c r="AL23" s="14">
        <v>14342.773968499674</v>
      </c>
      <c r="AM23" s="14">
        <v>14935.94299345696</v>
      </c>
      <c r="AN23" s="14">
        <v>14909.266396453781</v>
      </c>
      <c r="AO23" s="14">
        <v>14529.677427715966</v>
      </c>
      <c r="AP23" s="14">
        <v>13805.602060742058</v>
      </c>
      <c r="AQ23" s="14"/>
      <c r="AR23" s="9">
        <f t="shared" si="0"/>
        <v>13610.514810000001</v>
      </c>
      <c r="AS23" s="10">
        <f t="shared" si="2"/>
        <v>69.766294500000001</v>
      </c>
      <c r="AT23" s="1"/>
    </row>
    <row r="24" ht="15.75" customHeight="1">
      <c r="A24" s="13" t="s">
        <v>27</v>
      </c>
      <c r="B24" s="14">
        <v>5737201.1045185737</v>
      </c>
      <c r="C24" s="14">
        <v>4047364.4946687086</v>
      </c>
      <c r="D24" s="14">
        <v>3251734.1611979217</v>
      </c>
      <c r="E24" s="14">
        <v>2941474.6626703343</v>
      </c>
      <c r="F24" s="14">
        <v>2715592.2554551284</v>
      </c>
      <c r="G24" s="14">
        <v>2585152.9241550686</v>
      </c>
      <c r="H24" s="14">
        <v>2535961.8460308691</v>
      </c>
      <c r="I24" s="14">
        <v>2564669.4718190017</v>
      </c>
      <c r="J24" s="14">
        <v>2664907.9488551221</v>
      </c>
      <c r="K24" s="14">
        <v>2981942.9122164943</v>
      </c>
      <c r="L24" s="14">
        <v>3145738.7129132524</v>
      </c>
      <c r="M24" s="14">
        <v>3103456.2302650725</v>
      </c>
      <c r="N24" s="14">
        <v>2916172.3375557242</v>
      </c>
      <c r="O24" s="14">
        <v>2746141.1787167615</v>
      </c>
      <c r="P24" s="14">
        <v>2487887.5868995618</v>
      </c>
      <c r="Q24" s="14">
        <v>2408817.2932344843</v>
      </c>
      <c r="R24" s="14">
        <v>2448427.1249785386</v>
      </c>
      <c r="S24" s="14">
        <v>2458832.1288705114</v>
      </c>
      <c r="T24" s="14">
        <v>2477869.2053494593</v>
      </c>
      <c r="U24" s="14">
        <v>2448846.8586117276</v>
      </c>
      <c r="V24" s="14">
        <v>2408947.0311202942</v>
      </c>
      <c r="W24" s="14">
        <v>2381562.0921526426</v>
      </c>
      <c r="X24" s="14">
        <v>2334944.0053915521</v>
      </c>
      <c r="Y24" s="14">
        <v>2304283.5928073335</v>
      </c>
      <c r="Z24" s="14">
        <v>2224428.7534972662</v>
      </c>
      <c r="AA24" s="14">
        <v>2212030.7768254885</v>
      </c>
      <c r="AB24" s="14">
        <v>2231822.8298977907</v>
      </c>
      <c r="AC24" s="14">
        <v>2213148.5500536794</v>
      </c>
      <c r="AD24" s="14">
        <v>2210589.8308862462</v>
      </c>
      <c r="AE24" s="14">
        <v>2184252.675361854</v>
      </c>
      <c r="AF24" s="14">
        <v>2241568.0956310802</v>
      </c>
      <c r="AG24" s="14">
        <v>2254307.2608148288</v>
      </c>
      <c r="AH24" s="14">
        <v>2305880.7770541683</v>
      </c>
      <c r="AI24" s="14">
        <v>2380382.6422559847</v>
      </c>
      <c r="AJ24" s="14">
        <v>2401644.7008904302</v>
      </c>
      <c r="AK24" s="14">
        <v>2366629.477261351</v>
      </c>
      <c r="AL24" s="14">
        <v>2409775.5224140431</v>
      </c>
      <c r="AM24" s="14">
        <v>2349529.6316613294</v>
      </c>
      <c r="AN24" s="14">
        <v>2564862.5979477414</v>
      </c>
      <c r="AO24" s="14">
        <v>2787679.7047475399</v>
      </c>
      <c r="AP24" s="14">
        <v>3151551.1557009458</v>
      </c>
      <c r="AQ24" s="14"/>
      <c r="AR24" s="9">
        <f t="shared" si="0"/>
        <v>-2585649.949</v>
      </c>
      <c r="AS24" s="10">
        <f t="shared" si="2"/>
        <v>-0.4506814214</v>
      </c>
    </row>
    <row r="25" ht="15.75" customHeight="1">
      <c r="A25" s="7" t="s">
        <v>28</v>
      </c>
      <c r="B25" s="6">
        <v>535933.89569994691</v>
      </c>
      <c r="C25" s="6">
        <v>516443.25981575449</v>
      </c>
      <c r="D25" s="6">
        <v>518295.28897041699</v>
      </c>
      <c r="E25" s="6">
        <v>529554.86882689828</v>
      </c>
      <c r="F25" s="6">
        <v>535782.03910157247</v>
      </c>
      <c r="G25" s="6">
        <v>541071.4776935071</v>
      </c>
      <c r="H25" s="6">
        <v>549607.07807478681</v>
      </c>
      <c r="I25" s="6">
        <v>560969.12533535436</v>
      </c>
      <c r="J25" s="6">
        <v>570918.5395975291</v>
      </c>
      <c r="K25" s="6">
        <v>579701.37941910548</v>
      </c>
      <c r="L25" s="6">
        <v>601586.72770704911</v>
      </c>
      <c r="M25" s="6">
        <v>613580.36548695352</v>
      </c>
      <c r="N25" s="6">
        <v>620703.42193206283</v>
      </c>
      <c r="O25" s="6">
        <v>636022.4782628403</v>
      </c>
      <c r="P25" s="6">
        <v>646949.01239229389</v>
      </c>
      <c r="Q25" s="6">
        <v>658552.25351484236</v>
      </c>
      <c r="R25" s="6">
        <v>663724.59174784925</v>
      </c>
      <c r="S25" s="6">
        <v>668953.19114723185</v>
      </c>
      <c r="T25" s="6">
        <v>671552.16601306805</v>
      </c>
      <c r="U25" s="6">
        <v>671838.22876983485</v>
      </c>
      <c r="V25" s="6">
        <v>676458.80541777192</v>
      </c>
      <c r="W25" s="6">
        <v>681253.89470749232</v>
      </c>
      <c r="X25" s="6">
        <v>682448.04709635302</v>
      </c>
      <c r="Y25" s="6">
        <v>683577.03941136098</v>
      </c>
      <c r="Z25" s="6">
        <v>692420.24387689366</v>
      </c>
      <c r="AA25" s="6">
        <v>706236.88627313473</v>
      </c>
      <c r="AB25" s="6">
        <v>724110.10084709595</v>
      </c>
      <c r="AC25" s="6">
        <v>746046.32060333295</v>
      </c>
      <c r="AD25" s="6">
        <v>773560.88598157489</v>
      </c>
      <c r="AE25" s="6">
        <v>792174.83896247996</v>
      </c>
      <c r="AF25" s="6">
        <v>805035.15689920809</v>
      </c>
      <c r="AG25" s="6">
        <v>819664.4034119373</v>
      </c>
      <c r="AH25" s="6">
        <v>824053.01408578281</v>
      </c>
      <c r="AI25" s="6">
        <v>834161.35849416535</v>
      </c>
      <c r="AJ25" s="6">
        <v>839968.17170625366</v>
      </c>
      <c r="AK25" s="6">
        <v>842687.67311352352</v>
      </c>
      <c r="AL25" s="6">
        <v>852128.21736651543</v>
      </c>
      <c r="AM25" s="7">
        <v>860357.99123651884</v>
      </c>
      <c r="AN25" s="7">
        <v>880679.66764515312</v>
      </c>
      <c r="AO25" s="7">
        <v>929506.73937635589</v>
      </c>
      <c r="AP25" s="7">
        <v>966746.11832704814</v>
      </c>
      <c r="AQ25" s="8"/>
      <c r="AR25" s="9">
        <f t="shared" si="0"/>
        <v>430812.22259999998</v>
      </c>
      <c r="AS25" s="10">
        <f t="shared" si="2"/>
        <v>0.80385328499999997</v>
      </c>
      <c r="AT25" s="11"/>
    </row>
    <row r="26" ht="15.75" customHeight="1">
      <c r="A26" s="13" t="s">
        <v>29</v>
      </c>
      <c r="B26" s="14">
        <v>156098.83796445045</v>
      </c>
      <c r="C26" s="14">
        <v>154053.5056216403</v>
      </c>
      <c r="D26" s="14">
        <v>160544.51757458839</v>
      </c>
      <c r="E26" s="14">
        <v>162188.22718096059</v>
      </c>
      <c r="F26" s="14">
        <v>162228.24327336176</v>
      </c>
      <c r="G26" s="14">
        <v>161615.44123345049</v>
      </c>
      <c r="H26" s="14">
        <v>161558.14854816045</v>
      </c>
      <c r="I26" s="14">
        <v>163689.80890808621</v>
      </c>
      <c r="J26" s="14">
        <v>164028.66635538096</v>
      </c>
      <c r="K26" s="14">
        <v>165619.71296542225</v>
      </c>
      <c r="L26" s="14">
        <v>173099.06836660567</v>
      </c>
      <c r="M26" s="14">
        <v>177276.71052860591</v>
      </c>
      <c r="N26" s="14">
        <v>175370.09334495701</v>
      </c>
      <c r="O26" s="14">
        <v>177005.05197253264</v>
      </c>
      <c r="P26" s="14">
        <v>178171.6061490702</v>
      </c>
      <c r="Q26" s="14">
        <v>177959.44190925686</v>
      </c>
      <c r="R26" s="14">
        <v>176596.76153499138</v>
      </c>
      <c r="S26" s="14">
        <v>177454.28602596326</v>
      </c>
      <c r="T26" s="14">
        <v>175008.76002201409</v>
      </c>
      <c r="U26" s="14">
        <v>171492.88670418467</v>
      </c>
      <c r="V26" s="14">
        <v>167839.1718966336</v>
      </c>
      <c r="W26" s="14">
        <v>168483.63423163164</v>
      </c>
      <c r="X26" s="14">
        <v>164660.83839217862</v>
      </c>
      <c r="Y26" s="14">
        <v>158174.21011774632</v>
      </c>
      <c r="Z26" s="14">
        <v>158276.58900039445</v>
      </c>
      <c r="AA26" s="14">
        <v>161308.99495743134</v>
      </c>
      <c r="AB26" s="14">
        <v>168606.52441523803</v>
      </c>
      <c r="AC26" s="14">
        <v>177287.56574473629</v>
      </c>
      <c r="AD26" s="14">
        <v>184483.44953168184</v>
      </c>
      <c r="AE26" s="14">
        <v>187402.83122909462</v>
      </c>
      <c r="AF26" s="14">
        <v>185996.81048562459</v>
      </c>
      <c r="AG26" s="14">
        <v>186713.68336039787</v>
      </c>
      <c r="AH26" s="14">
        <v>183901.56049136136</v>
      </c>
      <c r="AI26" s="14">
        <v>184845.36559305823</v>
      </c>
      <c r="AJ26" s="14">
        <v>179856.62696021475</v>
      </c>
      <c r="AK26" s="14">
        <v>176874.05328429973</v>
      </c>
      <c r="AL26" s="14">
        <v>171886.44542575552</v>
      </c>
      <c r="AM26" s="14">
        <v>167240.76136437251</v>
      </c>
      <c r="AN26" s="14">
        <v>164620.39860149278</v>
      </c>
      <c r="AO26" s="14">
        <v>165515.56524950932</v>
      </c>
      <c r="AP26" s="14">
        <v>164245.34931673948</v>
      </c>
      <c r="AQ26" s="14"/>
      <c r="AR26" s="9">
        <f t="shared" si="0"/>
        <v>8146.5113520000004</v>
      </c>
      <c r="AS26" s="10">
        <f t="shared" si="2"/>
        <v>0.052188161410000003</v>
      </c>
    </row>
    <row r="27" ht="15.75" customHeight="1">
      <c r="A27" s="13" t="s">
        <v>30</v>
      </c>
      <c r="B27" s="14">
        <v>189826.57694752014</v>
      </c>
      <c r="C27" s="14">
        <v>200847.57044434009</v>
      </c>
      <c r="D27" s="14">
        <v>206838.25823580686</v>
      </c>
      <c r="E27" s="14">
        <v>215454.63440039358</v>
      </c>
      <c r="F27" s="14">
        <v>223745.76487811355</v>
      </c>
      <c r="G27" s="14">
        <v>232229.28091652671</v>
      </c>
      <c r="H27" s="14">
        <v>243671.51636977852</v>
      </c>
      <c r="I27" s="14">
        <v>253620.84376204011</v>
      </c>
      <c r="J27" s="14">
        <v>264269.023251865</v>
      </c>
      <c r="K27" s="14">
        <v>275016.74367308023</v>
      </c>
      <c r="L27" s="14">
        <v>286098.04977091827</v>
      </c>
      <c r="M27" s="14">
        <v>294453.04524513968</v>
      </c>
      <c r="N27" s="14">
        <v>303169.01808492688</v>
      </c>
      <c r="O27" s="14">
        <v>312519.55963692639</v>
      </c>
      <c r="P27" s="14">
        <v>321284.31247624976</v>
      </c>
      <c r="Q27" s="14">
        <v>329555.45843705517</v>
      </c>
      <c r="R27" s="14">
        <v>337144.66613951809</v>
      </c>
      <c r="S27" s="14">
        <v>344347.68475595483</v>
      </c>
      <c r="T27" s="14">
        <v>351223.77831153106</v>
      </c>
      <c r="U27" s="14">
        <v>357360.35842759471</v>
      </c>
      <c r="V27" s="14">
        <v>363597.58059275697</v>
      </c>
      <c r="W27" s="14">
        <v>369335.1840413087</v>
      </c>
      <c r="X27" s="14">
        <v>376023.46468196984</v>
      </c>
      <c r="Y27" s="14">
        <v>383441.3679903677</v>
      </c>
      <c r="Z27" s="14">
        <v>391000.93283046037</v>
      </c>
      <c r="AA27" s="14">
        <v>399875.49948441051</v>
      </c>
      <c r="AB27" s="14">
        <v>409011.53423476906</v>
      </c>
      <c r="AC27" s="14">
        <v>419194.67420852953</v>
      </c>
      <c r="AD27" s="14">
        <v>429148.76052360522</v>
      </c>
      <c r="AE27" s="14">
        <v>439570.39220000518</v>
      </c>
      <c r="AF27" s="14">
        <v>448293.67204392428</v>
      </c>
      <c r="AG27" s="14">
        <v>457559.72464914096</v>
      </c>
      <c r="AH27" s="14">
        <v>465630.45303729258</v>
      </c>
      <c r="AI27" s="14">
        <v>473483.21482342173</v>
      </c>
      <c r="AJ27" s="14">
        <v>480575.00408766494</v>
      </c>
      <c r="AK27" s="14">
        <v>488396.49191286031</v>
      </c>
      <c r="AL27" s="14">
        <v>495409.52875904005</v>
      </c>
      <c r="AM27" s="14">
        <v>502412.19033297373</v>
      </c>
      <c r="AN27" s="14">
        <v>510169.42372456181</v>
      </c>
      <c r="AO27" s="14">
        <v>522704.42807198811</v>
      </c>
      <c r="AP27" s="14">
        <v>538245.43026732747</v>
      </c>
      <c r="AQ27" s="14"/>
      <c r="AR27" s="9">
        <f t="shared" si="0"/>
        <v>348418.85330000002</v>
      </c>
      <c r="AS27" s="10">
        <f t="shared" si="2"/>
        <v>1.835458759</v>
      </c>
    </row>
    <row r="28" ht="15.75" customHeight="1">
      <c r="A28" s="8" t="s">
        <v>31</v>
      </c>
      <c r="B28" s="14">
        <v>1611.6639658935494</v>
      </c>
      <c r="C28" s="14">
        <v>2178.4519565734636</v>
      </c>
      <c r="D28" s="14">
        <v>2445.2344363036582</v>
      </c>
      <c r="E28" s="14">
        <v>2725.5482289977213</v>
      </c>
      <c r="F28" s="14">
        <v>2972.0830100463272</v>
      </c>
      <c r="G28" s="14">
        <v>3140.9637010619845</v>
      </c>
      <c r="H28" s="14">
        <v>3343.4144148010519</v>
      </c>
      <c r="I28" s="14">
        <v>3640.8419901795187</v>
      </c>
      <c r="J28" s="14">
        <v>3877.4065870484283</v>
      </c>
      <c r="K28" s="14">
        <v>4070.6824307496208</v>
      </c>
      <c r="L28" s="14">
        <v>4195.8168385743229</v>
      </c>
      <c r="M28" s="14">
        <v>4220.1943057313074</v>
      </c>
      <c r="N28" s="14">
        <v>4385.0103350709251</v>
      </c>
      <c r="O28" s="14">
        <v>4897.5610228761143</v>
      </c>
      <c r="P28" s="14">
        <v>4939.9535738770946</v>
      </c>
      <c r="Q28" s="14">
        <v>4865.8635149476395</v>
      </c>
      <c r="R28" s="14">
        <v>4914.87457783217</v>
      </c>
      <c r="S28" s="14">
        <v>4991.1667541932547</v>
      </c>
      <c r="T28" s="14">
        <v>5152.2535243348584</v>
      </c>
      <c r="U28" s="14">
        <v>5370.5140210145682</v>
      </c>
      <c r="V28" s="14">
        <v>5399.7859207887414</v>
      </c>
      <c r="W28" s="14">
        <v>5277.99007872331</v>
      </c>
      <c r="X28" s="14">
        <v>5315.7315604860232</v>
      </c>
      <c r="Y28" s="14">
        <v>5460.0788174684685</v>
      </c>
      <c r="Z28" s="14">
        <v>5570.5159614137838</v>
      </c>
      <c r="AA28" s="14">
        <v>5707.0378329164814</v>
      </c>
      <c r="AB28" s="14">
        <v>5980.8719884401689</v>
      </c>
      <c r="AC28" s="14">
        <v>6535.6131960390567</v>
      </c>
      <c r="AD28" s="14">
        <v>6833.9165914186933</v>
      </c>
      <c r="AE28" s="14">
        <v>6901.8030994692417</v>
      </c>
      <c r="AF28" s="14">
        <v>7149.5573915346868</v>
      </c>
      <c r="AG28" s="14">
        <v>7431.1845065554562</v>
      </c>
      <c r="AH28" s="14">
        <v>7571.7714522158622</v>
      </c>
      <c r="AI28" s="14">
        <v>7619.2867469607445</v>
      </c>
      <c r="AJ28" s="14">
        <v>7663.9123013735434</v>
      </c>
      <c r="AK28" s="14">
        <v>7683.3165648928125</v>
      </c>
      <c r="AL28" s="14">
        <v>7803.1358313662085</v>
      </c>
      <c r="AM28" s="14">
        <v>8201.7352160463815</v>
      </c>
      <c r="AN28" s="14">
        <v>8596.2254282900412</v>
      </c>
      <c r="AO28" s="14">
        <v>9011.9996591005929</v>
      </c>
      <c r="AP28" s="14">
        <v>9504.728952099862</v>
      </c>
      <c r="AQ28" s="14"/>
      <c r="AR28" s="9">
        <f t="shared" si="0"/>
        <v>7893.0649860000003</v>
      </c>
      <c r="AS28" s="10">
        <f t="shared" si="2"/>
        <v>4.8974632140000001</v>
      </c>
    </row>
    <row r="29" ht="15.75" customHeight="1">
      <c r="A29" s="8" t="s">
        <v>32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555.14351727294934</v>
      </c>
      <c r="AH29" s="14">
        <v>1101.3662918945322</v>
      </c>
      <c r="AI29" s="14">
        <v>2445.3182217956578</v>
      </c>
      <c r="AJ29" s="14">
        <v>2844.44287698364</v>
      </c>
      <c r="AK29" s="14">
        <v>3477.3788107543737</v>
      </c>
      <c r="AL29" s="14">
        <v>5786.6335457519463</v>
      </c>
      <c r="AM29" s="14">
        <v>11532.372750567678</v>
      </c>
      <c r="AN29" s="14">
        <v>17371.116705706903</v>
      </c>
      <c r="AO29" s="14">
        <v>23730.438895031788</v>
      </c>
      <c r="AP29" s="14">
        <v>27175.962088861241</v>
      </c>
      <c r="AQ29" s="14"/>
      <c r="AR29" s="9">
        <f t="shared" si="0"/>
        <v>27175.962090000001</v>
      </c>
      <c r="AS29" s="10" t="s">
        <v>8</v>
      </c>
    </row>
    <row r="30" ht="15.75" customHeight="1">
      <c r="A30" s="8" t="s">
        <v>33</v>
      </c>
      <c r="B30" s="14">
        <v>0</v>
      </c>
      <c r="C30" s="14">
        <v>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3605.41640176391</v>
      </c>
      <c r="AH30" s="14">
        <v>5564.5083999938897</v>
      </c>
      <c r="AI30" s="14">
        <v>6830.7045636413504</v>
      </c>
      <c r="AJ30" s="14">
        <v>11975.821479718001</v>
      </c>
      <c r="AK30" s="14">
        <v>14310.2655918823</v>
      </c>
      <c r="AL30" s="14">
        <v>16908.0725190552</v>
      </c>
      <c r="AM30" s="14">
        <v>19540.400691003499</v>
      </c>
      <c r="AN30" s="14">
        <v>21742.037401232999</v>
      </c>
      <c r="AO30" s="14">
        <v>23415.628734466602</v>
      </c>
      <c r="AP30" s="14">
        <v>24445.320101757799</v>
      </c>
      <c r="AQ30" s="14"/>
      <c r="AR30" s="9">
        <f t="shared" si="0"/>
        <v>24445.320101757799</v>
      </c>
      <c r="AS30" s="10" t="s">
        <v>8</v>
      </c>
    </row>
    <row r="31" ht="15.75" customHeight="1">
      <c r="A31" s="13" t="s">
        <v>34</v>
      </c>
      <c r="B31" s="14">
        <v>188396.81682208279</v>
      </c>
      <c r="C31" s="14">
        <v>159363.73179320068</v>
      </c>
      <c r="D31" s="14">
        <v>148467.2787237181</v>
      </c>
      <c r="E31" s="14">
        <v>149186.4590165464</v>
      </c>
      <c r="F31" s="14">
        <v>146835.9479400508</v>
      </c>
      <c r="G31" s="14">
        <v>144085.79184246794</v>
      </c>
      <c r="H31" s="14">
        <v>141033.99874204671</v>
      </c>
      <c r="I31" s="14">
        <v>140017.63067504857</v>
      </c>
      <c r="J31" s="14">
        <v>138743.44340323471</v>
      </c>
      <c r="K31" s="14">
        <v>134994.24034985335</v>
      </c>
      <c r="L31" s="14">
        <v>138193.7927309509</v>
      </c>
      <c r="M31" s="14">
        <v>137630.4154074766</v>
      </c>
      <c r="N31" s="14">
        <v>137779.30016710807</v>
      </c>
      <c r="O31" s="14">
        <v>141600.3056305052</v>
      </c>
      <c r="P31" s="14">
        <v>142553.14019309677</v>
      </c>
      <c r="Q31" s="14">
        <v>146171.48965358263</v>
      </c>
      <c r="R31" s="14">
        <v>145068.28949550763</v>
      </c>
      <c r="S31" s="14">
        <v>142160.05361112053</v>
      </c>
      <c r="T31" s="14">
        <v>140167.37415518795</v>
      </c>
      <c r="U31" s="14">
        <v>137614.46961704089</v>
      </c>
      <c r="V31" s="14">
        <v>139622.26700759263</v>
      </c>
      <c r="W31" s="14">
        <v>138157.08635582865</v>
      </c>
      <c r="X31" s="14">
        <v>136448.01246171846</v>
      </c>
      <c r="Y31" s="14">
        <v>136501.38248577857</v>
      </c>
      <c r="Z31" s="14">
        <v>137572.20608462513</v>
      </c>
      <c r="AA31" s="14">
        <v>139345.35399837638</v>
      </c>
      <c r="AB31" s="14">
        <v>140511.17020864869</v>
      </c>
      <c r="AC31" s="14">
        <v>143028.46745402811</v>
      </c>
      <c r="AD31" s="14">
        <v>153094.75933486928</v>
      </c>
      <c r="AE31" s="14">
        <v>158299.81243391096</v>
      </c>
      <c r="AF31" s="14">
        <v>163595.11697812451</v>
      </c>
      <c r="AG31" s="14">
        <v>163799.25097680613</v>
      </c>
      <c r="AH31" s="14">
        <v>160283.35441302464</v>
      </c>
      <c r="AI31" s="14">
        <v>158937.4685452877</v>
      </c>
      <c r="AJ31" s="14">
        <v>157052.36400029872</v>
      </c>
      <c r="AK31" s="14">
        <v>151946.16694883408</v>
      </c>
      <c r="AL31" s="14">
        <v>154334.40128554666</v>
      </c>
      <c r="AM31" s="14">
        <v>151430.5308815552</v>
      </c>
      <c r="AN31" s="14">
        <v>158180.46578386851</v>
      </c>
      <c r="AO31" s="14">
        <v>185128.67876625946</v>
      </c>
      <c r="AP31" s="14">
        <v>203129.32760026207</v>
      </c>
      <c r="AQ31" s="14"/>
      <c r="AR31" s="9">
        <f t="shared" si="0"/>
        <v>14732.510780000001</v>
      </c>
      <c r="AS31" s="10">
        <f t="shared" si="2"/>
        <v>0.078199361470000006</v>
      </c>
    </row>
    <row r="32" ht="15.75" customHeight="1">
      <c r="A32" s="7" t="s">
        <v>35</v>
      </c>
      <c r="B32" s="6">
        <v>1097672.6499798086</v>
      </c>
      <c r="C32" s="6">
        <v>1107394.9658161891</v>
      </c>
      <c r="D32" s="6">
        <v>1046389.6492189931</v>
      </c>
      <c r="E32" s="6">
        <v>1062158.96267238</v>
      </c>
      <c r="F32" s="6">
        <v>1111319.9780051624</v>
      </c>
      <c r="G32" s="6">
        <v>1117409.60494898</v>
      </c>
      <c r="H32" s="6">
        <v>1090873.9745449449</v>
      </c>
      <c r="I32" s="6">
        <v>1080317.1295724674</v>
      </c>
      <c r="J32" s="6">
        <v>1014257.0480894637</v>
      </c>
      <c r="K32" s="6">
        <v>1030022.298190651</v>
      </c>
      <c r="L32" s="6">
        <v>974613.81989474059</v>
      </c>
      <c r="M32" s="6">
        <v>966009.78878737416</v>
      </c>
      <c r="N32" s="6">
        <v>1022291.2740391211</v>
      </c>
      <c r="O32" s="6">
        <v>917282.35137205606</v>
      </c>
      <c r="P32" s="6">
        <v>922544.30511030997</v>
      </c>
      <c r="Q32" s="6">
        <v>900369.03585702507</v>
      </c>
      <c r="R32" s="6">
        <v>851474.39383418532</v>
      </c>
      <c r="S32" s="6">
        <v>954770.08419703913</v>
      </c>
      <c r="T32" s="6">
        <v>952531.81258835283</v>
      </c>
      <c r="U32" s="6">
        <v>1219493.2110338868</v>
      </c>
      <c r="V32" s="6">
        <v>1158372.7054146656</v>
      </c>
      <c r="W32" s="6">
        <v>1152920.0158576637</v>
      </c>
      <c r="X32" s="6">
        <v>1150804.877549025</v>
      </c>
      <c r="Y32" s="6">
        <v>1161306.830461639</v>
      </c>
      <c r="Z32" s="6">
        <v>1202459.7421653382</v>
      </c>
      <c r="AA32" s="6">
        <v>1136273.2170831133</v>
      </c>
      <c r="AB32" s="6">
        <v>1106792.881700557</v>
      </c>
      <c r="AC32" s="6">
        <v>1007354.5377018496</v>
      </c>
      <c r="AD32" s="6">
        <v>842653.210401861</v>
      </c>
      <c r="AE32" s="6">
        <v>800660.37632661569</v>
      </c>
      <c r="AF32" s="6">
        <v>694268.12468772079</v>
      </c>
      <c r="AG32" s="6">
        <v>690642.47775913705</v>
      </c>
      <c r="AH32" s="6">
        <v>691014.67245734984</v>
      </c>
      <c r="AI32" s="6">
        <v>762892.56052798219</v>
      </c>
      <c r="AJ32" s="6">
        <v>813982.34673209267</v>
      </c>
      <c r="AK32" s="6">
        <v>974036.35568037513</v>
      </c>
      <c r="AL32" s="6">
        <v>925870.18197153404</v>
      </c>
      <c r="AM32" s="7">
        <v>1041071.3424943807</v>
      </c>
      <c r="AN32" s="7">
        <v>1058794.895386291</v>
      </c>
      <c r="AO32" s="7">
        <v>1044579.0365041196</v>
      </c>
      <c r="AP32" s="7">
        <v>1030960.0971602013</v>
      </c>
      <c r="AQ32" s="8"/>
      <c r="AR32" s="9">
        <f t="shared" si="0"/>
        <v>-66712.552819999997</v>
      </c>
      <c r="AS32" s="10">
        <f t="shared" si="2"/>
        <v>-0.060776364270000001</v>
      </c>
    </row>
    <row r="33" ht="15.75" customHeight="1">
      <c r="A33" s="22" t="s">
        <v>36</v>
      </c>
      <c r="B33" s="14">
        <v>1078814.8810394458</v>
      </c>
      <c r="C33" s="14">
        <v>1086702.3419075704</v>
      </c>
      <c r="D33" s="14">
        <v>1023017.9277507123</v>
      </c>
      <c r="E33" s="14">
        <v>1037321.119448588</v>
      </c>
      <c r="F33" s="14">
        <v>1085889.1219806559</v>
      </c>
      <c r="G33" s="14">
        <v>1091366.2656446085</v>
      </c>
      <c r="H33" s="14">
        <v>1064510.6612418734</v>
      </c>
      <c r="I33" s="14">
        <v>1053840.1801686394</v>
      </c>
      <c r="J33" s="14">
        <v>987877.31962083466</v>
      </c>
      <c r="K33" s="14">
        <v>1003349.2542123169</v>
      </c>
      <c r="L33" s="14">
        <v>947544.80730333331</v>
      </c>
      <c r="M33" s="14">
        <v>939373.57139159029</v>
      </c>
      <c r="N33" s="14">
        <v>995712.59562271344</v>
      </c>
      <c r="O33" s="14">
        <v>890751.66908185696</v>
      </c>
      <c r="P33" s="14">
        <v>895826.595127612</v>
      </c>
      <c r="Q33" s="14">
        <v>871958.69200259901</v>
      </c>
      <c r="R33" s="14">
        <v>820299.7224387608</v>
      </c>
      <c r="S33" s="14">
        <v>922291.71058884053</v>
      </c>
      <c r="T33" s="14">
        <v>918127.29621514597</v>
      </c>
      <c r="U33" s="14">
        <v>1184532.7937012315</v>
      </c>
      <c r="V33" s="14">
        <v>1123226.5266570165</v>
      </c>
      <c r="W33" s="14">
        <v>1117292.1951069967</v>
      </c>
      <c r="X33" s="14">
        <v>1114769.9526836188</v>
      </c>
      <c r="Y33" s="14">
        <v>1123544.5810482164</v>
      </c>
      <c r="Z33" s="14">
        <v>1162415.2403595871</v>
      </c>
      <c r="AA33" s="14">
        <v>1094295.9915399482</v>
      </c>
      <c r="AB33" s="14">
        <v>1063568.9028552617</v>
      </c>
      <c r="AC33" s="14">
        <v>963943.2038311935</v>
      </c>
      <c r="AD33" s="14">
        <v>799167.91543953051</v>
      </c>
      <c r="AE33" s="14">
        <v>757353.68130619824</v>
      </c>
      <c r="AF33" s="14">
        <v>650524.03932772786</v>
      </c>
      <c r="AG33" s="14">
        <v>645490.36230187851</v>
      </c>
      <c r="AH33" s="14">
        <v>645176.78186304343</v>
      </c>
      <c r="AI33" s="14">
        <v>716396.80605912732</v>
      </c>
      <c r="AJ33" s="14">
        <v>766876.16626696091</v>
      </c>
      <c r="AK33" s="14">
        <v>926600.73330047273</v>
      </c>
      <c r="AL33" s="14">
        <v>878251.8955901427</v>
      </c>
      <c r="AM33" s="14">
        <v>993411.03836585791</v>
      </c>
      <c r="AN33" s="14">
        <v>1010017.9950131328</v>
      </c>
      <c r="AO33" s="14">
        <v>995614.33291743626</v>
      </c>
      <c r="AP33" s="14">
        <v>979715.96918223996</v>
      </c>
      <c r="AQ33" s="14"/>
      <c r="AR33" s="9">
        <f t="shared" si="0"/>
        <v>-99098.911859999993</v>
      </c>
      <c r="AS33" s="10">
        <f t="shared" si="2"/>
        <v>-0.091859051629999994</v>
      </c>
    </row>
    <row r="34" ht="15.75" customHeight="1">
      <c r="A34" s="22" t="s">
        <v>37</v>
      </c>
      <c r="B34" s="14">
        <v>18857.768940362857</v>
      </c>
      <c r="C34" s="14">
        <v>20692.623908618767</v>
      </c>
      <c r="D34" s="14">
        <v>23371.721468280924</v>
      </c>
      <c r="E34" s="14">
        <v>24837.843223792061</v>
      </c>
      <c r="F34" s="14">
        <v>25430.856024506553</v>
      </c>
      <c r="G34" s="14">
        <v>26043.339304371446</v>
      </c>
      <c r="H34" s="14">
        <v>26363.313303071565</v>
      </c>
      <c r="I34" s="14">
        <v>26476.949403828068</v>
      </c>
      <c r="J34" s="14">
        <v>26379.728468629008</v>
      </c>
      <c r="K34" s="14">
        <v>26673.043978334041</v>
      </c>
      <c r="L34" s="14">
        <v>27069.01259140734</v>
      </c>
      <c r="M34" s="14">
        <v>26636.217395783839</v>
      </c>
      <c r="N34" s="14">
        <v>26578.678416407653</v>
      </c>
      <c r="O34" s="14">
        <v>26530.682290199125</v>
      </c>
      <c r="P34" s="14">
        <v>26717.709982697961</v>
      </c>
      <c r="Q34" s="14">
        <v>28410.343854426079</v>
      </c>
      <c r="R34" s="14">
        <v>31174.67139542455</v>
      </c>
      <c r="S34" s="14">
        <v>32478.373608198621</v>
      </c>
      <c r="T34" s="14">
        <v>34404.516373206898</v>
      </c>
      <c r="U34" s="14">
        <v>34960.417332655343</v>
      </c>
      <c r="V34" s="14">
        <v>35146.178757649192</v>
      </c>
      <c r="W34" s="14">
        <v>35627.820750667102</v>
      </c>
      <c r="X34" s="14">
        <v>36034.924865406349</v>
      </c>
      <c r="Y34" s="14">
        <v>37762.249413422651</v>
      </c>
      <c r="Z34" s="14">
        <v>40044.501805751053</v>
      </c>
      <c r="AA34" s="14">
        <v>41977.225543165121</v>
      </c>
      <c r="AB34" s="14">
        <v>43223.978845295169</v>
      </c>
      <c r="AC34" s="14">
        <v>43411.333870656046</v>
      </c>
      <c r="AD34" s="14">
        <v>43485.294962330525</v>
      </c>
      <c r="AE34" s="14">
        <v>43306.695020417501</v>
      </c>
      <c r="AF34" s="14">
        <v>43744.085359992947</v>
      </c>
      <c r="AG34" s="14">
        <v>45152.115457258486</v>
      </c>
      <c r="AH34" s="14">
        <v>45837.890594306446</v>
      </c>
      <c r="AI34" s="14">
        <v>46495.754468854902</v>
      </c>
      <c r="AJ34" s="14">
        <v>47106.18046513178</v>
      </c>
      <c r="AK34" s="14">
        <v>47435.622379902401</v>
      </c>
      <c r="AL34" s="14">
        <v>47618.286381391328</v>
      </c>
      <c r="AM34" s="14">
        <v>47660.304128522694</v>
      </c>
      <c r="AN34" s="14">
        <v>48776.900373158052</v>
      </c>
      <c r="AO34" s="14">
        <v>48964.703586683325</v>
      </c>
      <c r="AP34" s="14">
        <v>51244.127977961332</v>
      </c>
      <c r="AQ34" s="14"/>
      <c r="AR34" s="9">
        <f t="shared" si="0"/>
        <v>32386.359039999999</v>
      </c>
      <c r="AS34" s="10">
        <f t="shared" si="2"/>
        <v>1.717401414</v>
      </c>
    </row>
    <row r="35" ht="15.75" customHeight="1">
      <c r="A35" s="6" t="s">
        <v>38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8"/>
      <c r="AR35" s="9">
        <f t="shared" si="0"/>
        <v>0</v>
      </c>
      <c r="AS35" s="10" t="s">
        <v>8</v>
      </c>
    </row>
    <row r="36" ht="15.75" customHeight="1">
      <c r="A36" s="23" t="s">
        <v>39</v>
      </c>
      <c r="B36" s="24">
        <f t="shared" ref="B36:AP36" si="3">SUM(B5,B12,B20,B25,B32,B35)</f>
        <v>86261104.049999997</v>
      </c>
      <c r="C36" s="24">
        <f t="shared" si="3"/>
        <v>86261104.049999997</v>
      </c>
      <c r="D36" s="24">
        <f t="shared" si="3"/>
        <v>86261104.049999997</v>
      </c>
      <c r="E36" s="24">
        <f t="shared" si="3"/>
        <v>86261104.049999997</v>
      </c>
      <c r="F36" s="24">
        <f t="shared" si="3"/>
        <v>86261104.049999997</v>
      </c>
      <c r="G36" s="24">
        <f t="shared" si="3"/>
        <v>86261104.049999997</v>
      </c>
      <c r="H36" s="24">
        <f t="shared" si="3"/>
        <v>86261104.049999997</v>
      </c>
      <c r="I36" s="24">
        <f t="shared" si="3"/>
        <v>86261104.049999997</v>
      </c>
      <c r="J36" s="24">
        <f t="shared" si="3"/>
        <v>86261104.049999997</v>
      </c>
      <c r="K36" s="24">
        <f t="shared" si="3"/>
        <v>86261104.049999997</v>
      </c>
      <c r="L36" s="24">
        <f t="shared" si="3"/>
        <v>86261104.049999997</v>
      </c>
      <c r="M36" s="24">
        <f t="shared" si="3"/>
        <v>86261104.049999997</v>
      </c>
      <c r="N36" s="24">
        <f t="shared" si="3"/>
        <v>86261104.049999997</v>
      </c>
      <c r="O36" s="24">
        <f t="shared" si="3"/>
        <v>86261104.049999997</v>
      </c>
      <c r="P36" s="24">
        <f t="shared" si="3"/>
        <v>86261104.049999997</v>
      </c>
      <c r="Q36" s="24">
        <f t="shared" si="3"/>
        <v>86261104.049999997</v>
      </c>
      <c r="R36" s="24">
        <f t="shared" si="3"/>
        <v>86261104.049999997</v>
      </c>
      <c r="S36" s="24">
        <f t="shared" si="3"/>
        <v>86261104.049999997</v>
      </c>
      <c r="T36" s="24">
        <f t="shared" si="3"/>
        <v>86261104.049999997</v>
      </c>
      <c r="U36" s="24">
        <f t="shared" si="3"/>
        <v>86261104.049999997</v>
      </c>
      <c r="V36" s="24">
        <f t="shared" si="3"/>
        <v>86261104.049999997</v>
      </c>
      <c r="W36" s="24">
        <f t="shared" si="3"/>
        <v>86261104.049999997</v>
      </c>
      <c r="X36" s="24">
        <f t="shared" si="3"/>
        <v>86261104.049999997</v>
      </c>
      <c r="Y36" s="24">
        <f t="shared" si="3"/>
        <v>86261104.049999997</v>
      </c>
      <c r="Z36" s="24">
        <f t="shared" si="3"/>
        <v>86261104.049999997</v>
      </c>
      <c r="AA36" s="24">
        <f t="shared" si="3"/>
        <v>86261104.049999997</v>
      </c>
      <c r="AB36" s="24">
        <f t="shared" si="3"/>
        <v>86261104.049999997</v>
      </c>
      <c r="AC36" s="24">
        <f t="shared" si="3"/>
        <v>86261104.049999997</v>
      </c>
      <c r="AD36" s="24">
        <f t="shared" si="3"/>
        <v>86261104.049999997</v>
      </c>
      <c r="AE36" s="24">
        <f t="shared" si="3"/>
        <v>86261104.049999997</v>
      </c>
      <c r="AF36" s="24">
        <f t="shared" si="3"/>
        <v>86261104.049999997</v>
      </c>
      <c r="AG36" s="24">
        <f t="shared" si="3"/>
        <v>86261104.049999997</v>
      </c>
      <c r="AH36" s="24">
        <f t="shared" si="3"/>
        <v>86261104.049999997</v>
      </c>
      <c r="AI36" s="24">
        <f t="shared" si="3"/>
        <v>86261104.049999997</v>
      </c>
      <c r="AJ36" s="24">
        <f t="shared" si="3"/>
        <v>86261104.049999997</v>
      </c>
      <c r="AK36" s="24">
        <f t="shared" si="3"/>
        <v>86261104.049999997</v>
      </c>
      <c r="AL36" s="24">
        <f t="shared" si="3"/>
        <v>86261104.049999997</v>
      </c>
      <c r="AM36" s="24">
        <f t="shared" si="3"/>
        <v>86261104.049999997</v>
      </c>
      <c r="AN36" s="24">
        <f t="shared" si="3"/>
        <v>86261104.049999997</v>
      </c>
      <c r="AO36" s="24">
        <f t="shared" si="3"/>
        <v>86261104.049999997</v>
      </c>
      <c r="AP36" s="24">
        <f t="shared" si="3"/>
        <v>86261104.049999997</v>
      </c>
      <c r="AR36" s="9">
        <f t="shared" si="0"/>
        <v>2.905726433e-06</v>
      </c>
      <c r="AS36" s="10">
        <f t="shared" si="2"/>
        <v>0</v>
      </c>
    </row>
    <row r="37" ht="15.75" customHeight="1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ht="15.75" customHeight="1">
      <c r="B38" s="25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R38" s="1"/>
    </row>
    <row r="39" ht="15.75" customHeight="1">
      <c r="B39" s="27"/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</row>
    <row r="40" ht="15.75" customHeight="1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R40" s="1"/>
    </row>
    <row r="41" ht="15.75" customHeight="1">
      <c r="B41" s="4">
        <v>1985</v>
      </c>
      <c r="C41" s="4">
        <v>1986</v>
      </c>
      <c r="D41" s="4">
        <v>1987</v>
      </c>
      <c r="E41" s="4">
        <v>1988</v>
      </c>
      <c r="F41" s="4">
        <v>1989</v>
      </c>
      <c r="G41" s="4">
        <v>1990</v>
      </c>
      <c r="H41" s="4">
        <v>1991</v>
      </c>
      <c r="I41" s="4">
        <v>1992</v>
      </c>
      <c r="J41" s="4">
        <v>1993</v>
      </c>
      <c r="K41" s="4">
        <v>1994</v>
      </c>
      <c r="L41" s="4">
        <v>1995</v>
      </c>
      <c r="M41" s="4">
        <v>1996</v>
      </c>
      <c r="N41" s="4">
        <v>1997</v>
      </c>
      <c r="O41" s="4">
        <v>1998</v>
      </c>
      <c r="P41" s="4">
        <v>1999</v>
      </c>
      <c r="Q41" s="4">
        <v>2000</v>
      </c>
      <c r="R41" s="4">
        <v>2001</v>
      </c>
      <c r="S41" s="4">
        <v>2002</v>
      </c>
      <c r="T41" s="4">
        <v>2003</v>
      </c>
      <c r="U41" s="4">
        <v>2004</v>
      </c>
      <c r="V41" s="4">
        <v>2005</v>
      </c>
      <c r="W41" s="4">
        <v>2006</v>
      </c>
      <c r="X41" s="4">
        <v>2007</v>
      </c>
      <c r="Y41" s="4">
        <v>2008</v>
      </c>
      <c r="Z41" s="4">
        <v>2009</v>
      </c>
      <c r="AA41" s="4">
        <v>2010</v>
      </c>
      <c r="AB41" s="4">
        <v>2011</v>
      </c>
      <c r="AC41" s="4">
        <v>2012</v>
      </c>
      <c r="AD41" s="4">
        <v>2013</v>
      </c>
      <c r="AE41" s="4">
        <v>2014</v>
      </c>
      <c r="AF41" s="4">
        <v>2015</v>
      </c>
      <c r="AG41" s="4">
        <v>2016</v>
      </c>
      <c r="AH41" s="4">
        <v>2017</v>
      </c>
      <c r="AI41" s="4">
        <v>2018</v>
      </c>
      <c r="AJ41" s="4">
        <v>2019</v>
      </c>
      <c r="AK41" s="4">
        <v>2020</v>
      </c>
      <c r="AL41" s="4">
        <v>2021</v>
      </c>
      <c r="AM41" s="4">
        <v>2022</v>
      </c>
      <c r="AN41" s="4">
        <v>2023</v>
      </c>
      <c r="AO41" s="4">
        <v>2024</v>
      </c>
      <c r="AP41" s="4">
        <v>2025</v>
      </c>
    </row>
    <row r="42" ht="15.75" customHeight="1">
      <c r="A42" s="21" t="s">
        <v>40</v>
      </c>
      <c r="B42" s="1">
        <f t="shared" ref="B42:AP42" si="4">B5</f>
        <v>62945329.109999999</v>
      </c>
      <c r="C42" s="1">
        <f t="shared" si="4"/>
        <v>63086797.100000001</v>
      </c>
      <c r="D42" s="1">
        <f t="shared" si="4"/>
        <v>62979770.530000001</v>
      </c>
      <c r="E42" s="1">
        <f t="shared" si="4"/>
        <v>62570172.380000003</v>
      </c>
      <c r="F42" s="1">
        <f t="shared" si="4"/>
        <v>62053581.880000003</v>
      </c>
      <c r="G42" s="1">
        <f t="shared" si="4"/>
        <v>61518092.780000001</v>
      </c>
      <c r="H42" s="1">
        <f t="shared" si="4"/>
        <v>61062421.350000001</v>
      </c>
      <c r="I42" s="1">
        <f t="shared" si="4"/>
        <v>60605226.530000001</v>
      </c>
      <c r="J42" s="1">
        <f t="shared" si="4"/>
        <v>60176463.869999997</v>
      </c>
      <c r="K42" s="1">
        <f t="shared" si="4"/>
        <v>59731217.939999998</v>
      </c>
      <c r="L42" s="1">
        <f t="shared" si="4"/>
        <v>59450926.109999999</v>
      </c>
      <c r="M42" s="1">
        <f t="shared" si="4"/>
        <v>59255469.520000003</v>
      </c>
      <c r="N42" s="1">
        <f t="shared" si="4"/>
        <v>59143153.670000002</v>
      </c>
      <c r="O42" s="1">
        <f t="shared" si="4"/>
        <v>58850452.899999999</v>
      </c>
      <c r="P42" s="1">
        <f t="shared" si="4"/>
        <v>58864893.950000003</v>
      </c>
      <c r="Q42" s="1">
        <f t="shared" si="4"/>
        <v>58779105.43</v>
      </c>
      <c r="R42" s="1">
        <f t="shared" si="4"/>
        <v>58552637.710000001</v>
      </c>
      <c r="S42" s="1">
        <f t="shared" si="4"/>
        <v>58382415.079999998</v>
      </c>
      <c r="T42" s="1">
        <f t="shared" si="4"/>
        <v>58186333.57</v>
      </c>
      <c r="U42" s="1">
        <f t="shared" si="4"/>
        <v>57917699.399999999</v>
      </c>
      <c r="V42" s="1">
        <f t="shared" si="4"/>
        <v>57851591.5</v>
      </c>
      <c r="W42" s="1">
        <f t="shared" si="4"/>
        <v>57771404.32</v>
      </c>
      <c r="X42" s="1">
        <f t="shared" si="4"/>
        <v>57703043.039999999</v>
      </c>
      <c r="Y42" s="1">
        <f t="shared" si="4"/>
        <v>57546351.939999998</v>
      </c>
      <c r="Z42" s="1">
        <f t="shared" si="4"/>
        <v>57424585.780000001</v>
      </c>
      <c r="AA42" s="1">
        <f t="shared" si="4"/>
        <v>57290994.789999999</v>
      </c>
      <c r="AB42" s="1">
        <f t="shared" si="4"/>
        <v>57103599.57</v>
      </c>
      <c r="AC42" s="1">
        <f t="shared" si="4"/>
        <v>56752788.590000004</v>
      </c>
      <c r="AD42" s="1">
        <f t="shared" si="4"/>
        <v>56496208.399999999</v>
      </c>
      <c r="AE42" s="1">
        <f t="shared" si="4"/>
        <v>56403010.310000002</v>
      </c>
      <c r="AF42" s="1">
        <f t="shared" si="4"/>
        <v>56231096.969999999</v>
      </c>
      <c r="AG42" s="1">
        <f t="shared" si="4"/>
        <v>56153325.460000001</v>
      </c>
      <c r="AH42" s="1">
        <f t="shared" si="4"/>
        <v>56113843.780000001</v>
      </c>
      <c r="AI42" s="1">
        <f t="shared" si="4"/>
        <v>56057646.920000002</v>
      </c>
      <c r="AJ42" s="1">
        <f t="shared" si="4"/>
        <v>55923682.07</v>
      </c>
      <c r="AK42" s="1">
        <f t="shared" si="4"/>
        <v>55732443</v>
      </c>
      <c r="AL42" s="1">
        <f t="shared" si="4"/>
        <v>55417107.649999999</v>
      </c>
      <c r="AM42" s="1">
        <f t="shared" si="4"/>
        <v>54857721.329999998</v>
      </c>
      <c r="AN42" s="1">
        <f t="shared" si="4"/>
        <v>54194439.229999997</v>
      </c>
      <c r="AO42" s="1">
        <f t="shared" si="4"/>
        <v>53681340.939999998</v>
      </c>
      <c r="AP42" s="1">
        <f t="shared" si="4"/>
        <v>52952767.909999996</v>
      </c>
    </row>
    <row r="43" ht="15.75" customHeight="1">
      <c r="A43" s="1" t="s">
        <v>41</v>
      </c>
      <c r="B43" s="1">
        <f t="shared" ref="B43:AP43" si="5">B12</f>
        <v>1005478.064</v>
      </c>
      <c r="C43" s="1">
        <f t="shared" si="5"/>
        <v>858552.66859999998</v>
      </c>
      <c r="D43" s="1">
        <f t="shared" si="5"/>
        <v>818660.59089999995</v>
      </c>
      <c r="E43" s="1">
        <f t="shared" si="5"/>
        <v>814100.83940000006</v>
      </c>
      <c r="F43" s="1">
        <f t="shared" si="5"/>
        <v>815659.99109999998</v>
      </c>
      <c r="G43" s="1">
        <f t="shared" si="5"/>
        <v>810622.90449999995</v>
      </c>
      <c r="H43" s="1">
        <f t="shared" si="5"/>
        <v>815037.52500000002</v>
      </c>
      <c r="I43" s="1">
        <f t="shared" si="5"/>
        <v>824059.42859999998</v>
      </c>
      <c r="J43" s="1">
        <f t="shared" si="5"/>
        <v>825504.7304</v>
      </c>
      <c r="K43" s="1">
        <f t="shared" si="5"/>
        <v>828974.2855</v>
      </c>
      <c r="L43" s="1">
        <f t="shared" si="5"/>
        <v>831630.9693</v>
      </c>
      <c r="M43" s="1">
        <f t="shared" si="5"/>
        <v>836617.61129999999</v>
      </c>
      <c r="N43" s="1">
        <f t="shared" si="5"/>
        <v>850328.3345</v>
      </c>
      <c r="O43" s="1">
        <f t="shared" si="5"/>
        <v>860334.62820000004</v>
      </c>
      <c r="P43" s="1">
        <f t="shared" si="5"/>
        <v>866228.89870000002</v>
      </c>
      <c r="Q43" s="1">
        <f t="shared" si="5"/>
        <v>880929.54630000005</v>
      </c>
      <c r="R43" s="1">
        <f t="shared" si="5"/>
        <v>896046.18350000004</v>
      </c>
      <c r="S43" s="1">
        <f t="shared" si="5"/>
        <v>906259.33519999997</v>
      </c>
      <c r="T43" s="1">
        <f t="shared" si="5"/>
        <v>897496.18370000005</v>
      </c>
      <c r="U43" s="1">
        <f t="shared" si="5"/>
        <v>912162.92989999999</v>
      </c>
      <c r="V43" s="1">
        <f t="shared" si="5"/>
        <v>905705.97069999995</v>
      </c>
      <c r="W43" s="1">
        <f t="shared" si="5"/>
        <v>915537.2966</v>
      </c>
      <c r="X43" s="1">
        <f t="shared" si="5"/>
        <v>912998.57819999999</v>
      </c>
      <c r="Y43" s="1">
        <f t="shared" si="5"/>
        <v>912571.51489999995</v>
      </c>
      <c r="Z43" s="1">
        <f t="shared" si="5"/>
        <v>912499.72250000003</v>
      </c>
      <c r="AA43" s="1">
        <f t="shared" si="5"/>
        <v>903416.96889999998</v>
      </c>
      <c r="AB43" s="1">
        <f t="shared" si="5"/>
        <v>893704.13289999997</v>
      </c>
      <c r="AC43" s="1">
        <f t="shared" si="5"/>
        <v>900731.45770000003</v>
      </c>
      <c r="AD43" s="1">
        <f t="shared" si="5"/>
        <v>912113.93980000005</v>
      </c>
      <c r="AE43" s="1">
        <f t="shared" si="5"/>
        <v>906880.97030000004</v>
      </c>
      <c r="AF43" s="1">
        <f t="shared" si="5"/>
        <v>919974.32709999999</v>
      </c>
      <c r="AG43" s="1">
        <f t="shared" si="5"/>
        <v>946840.49479999999</v>
      </c>
      <c r="AH43" s="1">
        <f t="shared" si="5"/>
        <v>972936.02760000003</v>
      </c>
      <c r="AI43" s="1">
        <f t="shared" si="5"/>
        <v>1002976.5159999999</v>
      </c>
      <c r="AJ43" s="1">
        <f t="shared" si="5"/>
        <v>1044492.547</v>
      </c>
      <c r="AK43" s="1">
        <f t="shared" si="5"/>
        <v>1080849.3119999999</v>
      </c>
      <c r="AL43" s="1">
        <f t="shared" si="5"/>
        <v>1077563.973</v>
      </c>
      <c r="AM43" s="1">
        <f t="shared" si="5"/>
        <v>1093274.4539999999</v>
      </c>
      <c r="AN43" s="1">
        <f t="shared" si="5"/>
        <v>1094483.9269999999</v>
      </c>
      <c r="AO43" s="1">
        <f t="shared" si="5"/>
        <v>1106501.1880000001</v>
      </c>
      <c r="AP43" s="1">
        <f t="shared" si="5"/>
        <v>1163328.7350000001</v>
      </c>
    </row>
    <row r="44" ht="15.75" customHeight="1">
      <c r="A44" s="1" t="s">
        <v>42</v>
      </c>
      <c r="B44" s="1">
        <f t="shared" ref="B44:AP44" si="6">B20</f>
        <v>20676690.32</v>
      </c>
      <c r="C44" s="1">
        <f t="shared" si="6"/>
        <v>20691916.050000001</v>
      </c>
      <c r="D44" s="1">
        <f t="shared" si="6"/>
        <v>20897987.989999998</v>
      </c>
      <c r="E44" s="1">
        <f t="shared" si="6"/>
        <v>21285116.989999998</v>
      </c>
      <c r="F44" s="1">
        <f t="shared" si="6"/>
        <v>21744760.16</v>
      </c>
      <c r="G44" s="1">
        <f t="shared" si="6"/>
        <v>22273907.280000001</v>
      </c>
      <c r="H44" s="1">
        <f t="shared" si="6"/>
        <v>22743164.120000001</v>
      </c>
      <c r="I44" s="1">
        <f t="shared" si="6"/>
        <v>23190531.829999998</v>
      </c>
      <c r="J44" s="1">
        <f t="shared" si="6"/>
        <v>23673959.859999999</v>
      </c>
      <c r="K44" s="1">
        <f t="shared" si="6"/>
        <v>24091188.140000001</v>
      </c>
      <c r="L44" s="1">
        <f t="shared" si="6"/>
        <v>24402346.420000002</v>
      </c>
      <c r="M44" s="1">
        <f t="shared" si="6"/>
        <v>24589426.760000002</v>
      </c>
      <c r="N44" s="1">
        <f t="shared" si="6"/>
        <v>24624627.350000001</v>
      </c>
      <c r="O44" s="1">
        <f t="shared" si="6"/>
        <v>24997011.690000001</v>
      </c>
      <c r="P44" s="1">
        <f t="shared" si="6"/>
        <v>24960487.879999999</v>
      </c>
      <c r="Q44" s="1">
        <f t="shared" si="6"/>
        <v>25042147.780000001</v>
      </c>
      <c r="R44" s="1">
        <f t="shared" si="6"/>
        <v>25297221.170000002</v>
      </c>
      <c r="S44" s="1">
        <f t="shared" si="6"/>
        <v>25348706.350000001</v>
      </c>
      <c r="T44" s="1">
        <f t="shared" si="6"/>
        <v>25553190.309999999</v>
      </c>
      <c r="U44" s="1">
        <f t="shared" si="6"/>
        <v>25539910.280000001</v>
      </c>
      <c r="V44" s="1">
        <f t="shared" si="6"/>
        <v>25668975.07</v>
      </c>
      <c r="W44" s="1">
        <f t="shared" si="6"/>
        <v>25739988.52</v>
      </c>
      <c r="X44" s="1">
        <f t="shared" si="6"/>
        <v>25811809.5</v>
      </c>
      <c r="Y44" s="1">
        <f t="shared" si="6"/>
        <v>25957296.719999999</v>
      </c>
      <c r="Z44" s="1">
        <f t="shared" si="6"/>
        <v>26029138.559999999</v>
      </c>
      <c r="AA44" s="1">
        <f t="shared" si="6"/>
        <v>26224182.18</v>
      </c>
      <c r="AB44" s="1">
        <f t="shared" si="6"/>
        <v>26432897.359999999</v>
      </c>
      <c r="AC44" s="1">
        <f t="shared" si="6"/>
        <v>26854183.140000001</v>
      </c>
      <c r="AD44" s="1">
        <f t="shared" si="6"/>
        <v>27236567.609999999</v>
      </c>
      <c r="AE44" s="1">
        <f t="shared" si="6"/>
        <v>27358377.550000001</v>
      </c>
      <c r="AF44" s="1">
        <f t="shared" si="6"/>
        <v>27610729.469999999</v>
      </c>
      <c r="AG44" s="1">
        <f t="shared" si="6"/>
        <v>27650631.210000001</v>
      </c>
      <c r="AH44" s="1">
        <f t="shared" si="6"/>
        <v>27659256.550000001</v>
      </c>
      <c r="AI44" s="1">
        <f t="shared" si="6"/>
        <v>27603426.690000001</v>
      </c>
      <c r="AJ44" s="1">
        <f t="shared" si="6"/>
        <v>27638978.91</v>
      </c>
      <c r="AK44" s="1">
        <f t="shared" si="6"/>
        <v>27631087.699999999</v>
      </c>
      <c r="AL44" s="1">
        <f t="shared" si="6"/>
        <v>27988434.02</v>
      </c>
      <c r="AM44" s="1">
        <f t="shared" si="6"/>
        <v>28408678.920000002</v>
      </c>
      <c r="AN44" s="1">
        <f t="shared" si="6"/>
        <v>29032706.329999998</v>
      </c>
      <c r="AO44" s="1">
        <f t="shared" si="6"/>
        <v>29499176.140000001</v>
      </c>
      <c r="AP44" s="1">
        <f t="shared" si="6"/>
        <v>30147301.190000001</v>
      </c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ht="15.75" customHeight="1">
      <c r="A46" s="28" t="s">
        <v>43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ht="15.75" customHeight="1">
      <c r="A47" s="29" t="s">
        <v>44</v>
      </c>
      <c r="B47" s="30">
        <f t="shared" ref="B47:AP49" si="7">B42/1000000</f>
        <v>62.945329110000003</v>
      </c>
      <c r="C47" s="30">
        <f t="shared" si="7"/>
        <v>63.086797099999998</v>
      </c>
      <c r="D47" s="30">
        <f t="shared" si="7"/>
        <v>62.979770530000003</v>
      </c>
      <c r="E47" s="30">
        <f t="shared" si="7"/>
        <v>62.570172380000002</v>
      </c>
      <c r="F47" s="30">
        <f t="shared" si="7"/>
        <v>62.053581880000003</v>
      </c>
      <c r="G47" s="30">
        <f t="shared" si="7"/>
        <v>61.518092780000003</v>
      </c>
      <c r="H47" s="30">
        <f t="shared" si="7"/>
        <v>61.062421350000001</v>
      </c>
      <c r="I47" s="30">
        <f t="shared" si="7"/>
        <v>60.605226530000003</v>
      </c>
      <c r="J47" s="30">
        <f t="shared" si="7"/>
        <v>60.176463869999999</v>
      </c>
      <c r="K47" s="30">
        <f t="shared" si="7"/>
        <v>59.731217940000001</v>
      </c>
      <c r="L47" s="30">
        <f t="shared" si="7"/>
        <v>59.450926109999997</v>
      </c>
      <c r="M47" s="30">
        <f t="shared" si="7"/>
        <v>59.255469519999998</v>
      </c>
      <c r="N47" s="30">
        <f t="shared" si="7"/>
        <v>59.143153669999997</v>
      </c>
      <c r="O47" s="30">
        <f t="shared" si="7"/>
        <v>58.850452900000001</v>
      </c>
      <c r="P47" s="30">
        <f t="shared" si="7"/>
        <v>58.864893950000003</v>
      </c>
      <c r="Q47" s="30">
        <f t="shared" si="7"/>
        <v>58.779105430000001</v>
      </c>
      <c r="R47" s="30">
        <f t="shared" si="7"/>
        <v>58.552637709999999</v>
      </c>
      <c r="S47" s="30">
        <f t="shared" si="7"/>
        <v>58.382415080000001</v>
      </c>
      <c r="T47" s="30">
        <f t="shared" si="7"/>
        <v>58.186333570000002</v>
      </c>
      <c r="U47" s="30">
        <f t="shared" si="7"/>
        <v>57.917699399999997</v>
      </c>
      <c r="V47" s="30">
        <f t="shared" si="7"/>
        <v>57.851591499999998</v>
      </c>
      <c r="W47" s="30">
        <f t="shared" si="7"/>
        <v>57.771404320000002</v>
      </c>
      <c r="X47" s="30">
        <f t="shared" si="7"/>
        <v>57.703043039999997</v>
      </c>
      <c r="Y47" s="30">
        <f t="shared" si="7"/>
        <v>57.546351940000001</v>
      </c>
      <c r="Z47" s="30">
        <f t="shared" si="7"/>
        <v>57.424585780000001</v>
      </c>
      <c r="AA47" s="30">
        <f t="shared" si="7"/>
        <v>57.290994789999999</v>
      </c>
      <c r="AB47" s="30">
        <f t="shared" si="7"/>
        <v>57.10359957</v>
      </c>
      <c r="AC47" s="30">
        <f t="shared" si="7"/>
        <v>56.752788590000002</v>
      </c>
      <c r="AD47" s="30">
        <f t="shared" si="7"/>
        <v>56.4962084</v>
      </c>
      <c r="AE47" s="30">
        <f t="shared" si="7"/>
        <v>56.403010309999999</v>
      </c>
      <c r="AF47" s="30">
        <f t="shared" si="7"/>
        <v>56.231096970000003</v>
      </c>
      <c r="AG47" s="30">
        <f t="shared" si="7"/>
        <v>56.153325459999998</v>
      </c>
      <c r="AH47" s="30">
        <f t="shared" si="7"/>
        <v>56.113843780000003</v>
      </c>
      <c r="AI47" s="30">
        <f t="shared" si="7"/>
        <v>56.057646920000003</v>
      </c>
      <c r="AJ47" s="30">
        <f t="shared" si="7"/>
        <v>55.923682069999998</v>
      </c>
      <c r="AK47" s="30">
        <f t="shared" si="7"/>
        <v>55.732443000000004</v>
      </c>
      <c r="AL47" s="30">
        <f t="shared" si="7"/>
        <v>55.417107649999998</v>
      </c>
      <c r="AM47" s="30">
        <f t="shared" si="7"/>
        <v>54.857721329999997</v>
      </c>
      <c r="AN47" s="30">
        <f t="shared" si="7"/>
        <v>54.19443923</v>
      </c>
      <c r="AO47" s="30">
        <f t="shared" si="7"/>
        <v>53.681340939999998</v>
      </c>
      <c r="AP47" s="30">
        <f t="shared" si="7"/>
        <v>52.952767909999999</v>
      </c>
      <c r="AQ47" s="31"/>
      <c r="AR47" s="32"/>
      <c r="AS47" s="31"/>
      <c r="AT47" s="31"/>
    </row>
    <row r="48" ht="15.75" customHeight="1">
      <c r="A48" s="29" t="s">
        <v>45</v>
      </c>
      <c r="B48" s="30">
        <f t="shared" si="7"/>
        <v>1.0054780640000001</v>
      </c>
      <c r="C48" s="30">
        <f t="shared" si="7"/>
        <v>0.85855266860000001</v>
      </c>
      <c r="D48" s="30">
        <f t="shared" si="7"/>
        <v>0.81866059089999998</v>
      </c>
      <c r="E48" s="30">
        <f t="shared" si="7"/>
        <v>0.8141008394</v>
      </c>
      <c r="F48" s="30">
        <f t="shared" si="7"/>
        <v>0.81565999109999998</v>
      </c>
      <c r="G48" s="30">
        <f t="shared" si="7"/>
        <v>0.81062290449999996</v>
      </c>
      <c r="H48" s="30">
        <f t="shared" si="7"/>
        <v>0.81503752500000004</v>
      </c>
      <c r="I48" s="30">
        <f t="shared" si="7"/>
        <v>0.82405942860000003</v>
      </c>
      <c r="J48" s="30">
        <f t="shared" si="7"/>
        <v>0.82550473040000005</v>
      </c>
      <c r="K48" s="30">
        <f t="shared" si="7"/>
        <v>0.82897428549999996</v>
      </c>
      <c r="L48" s="30">
        <f t="shared" si="7"/>
        <v>0.83163096930000002</v>
      </c>
      <c r="M48" s="30">
        <f t="shared" si="7"/>
        <v>0.83661761130000001</v>
      </c>
      <c r="N48" s="30">
        <f t="shared" si="7"/>
        <v>0.8503283345</v>
      </c>
      <c r="O48" s="30">
        <f t="shared" si="7"/>
        <v>0.86033462819999995</v>
      </c>
      <c r="P48" s="30">
        <f t="shared" si="7"/>
        <v>0.86622889869999997</v>
      </c>
      <c r="Q48" s="30">
        <f t="shared" si="7"/>
        <v>0.88092954629999998</v>
      </c>
      <c r="R48" s="30">
        <f t="shared" si="7"/>
        <v>0.89604618349999998</v>
      </c>
      <c r="S48" s="30">
        <f t="shared" si="7"/>
        <v>0.90625933520000002</v>
      </c>
      <c r="T48" s="30">
        <f t="shared" si="7"/>
        <v>0.89749618369999995</v>
      </c>
      <c r="U48" s="30">
        <f t="shared" si="7"/>
        <v>0.91216292990000003</v>
      </c>
      <c r="V48" s="30">
        <f t="shared" si="7"/>
        <v>0.90570597070000003</v>
      </c>
      <c r="W48" s="30">
        <f t="shared" si="7"/>
        <v>0.91553729660000005</v>
      </c>
      <c r="X48" s="30">
        <f t="shared" si="7"/>
        <v>0.91299857819999997</v>
      </c>
      <c r="Y48" s="30">
        <f t="shared" si="7"/>
        <v>0.91257151489999999</v>
      </c>
      <c r="Z48" s="30">
        <f t="shared" si="7"/>
        <v>0.9124997225</v>
      </c>
      <c r="AA48" s="30">
        <f t="shared" si="7"/>
        <v>0.90341696890000001</v>
      </c>
      <c r="AB48" s="30">
        <f t="shared" si="7"/>
        <v>0.89370413289999995</v>
      </c>
      <c r="AC48" s="30">
        <f t="shared" si="7"/>
        <v>0.90073145769999996</v>
      </c>
      <c r="AD48" s="30">
        <f t="shared" si="7"/>
        <v>0.9121139398</v>
      </c>
      <c r="AE48" s="30">
        <f t="shared" si="7"/>
        <v>0.90688097030000003</v>
      </c>
      <c r="AF48" s="30">
        <f t="shared" si="7"/>
        <v>0.91997432710000004</v>
      </c>
      <c r="AG48" s="30">
        <f t="shared" si="7"/>
        <v>0.94684049479999999</v>
      </c>
      <c r="AH48" s="30">
        <f t="shared" si="7"/>
        <v>0.97293602759999998</v>
      </c>
      <c r="AI48" s="30">
        <f t="shared" si="7"/>
        <v>1.0029765159999999</v>
      </c>
      <c r="AJ48" s="30">
        <f t="shared" si="7"/>
        <v>1.0444925469999999</v>
      </c>
      <c r="AK48" s="30">
        <f t="shared" si="7"/>
        <v>1.080849312</v>
      </c>
      <c r="AL48" s="30">
        <f t="shared" si="7"/>
        <v>1.077563973</v>
      </c>
      <c r="AM48" s="30">
        <f t="shared" si="7"/>
        <v>1.0932744539999999</v>
      </c>
      <c r="AN48" s="30">
        <f t="shared" si="7"/>
        <v>1.094483927</v>
      </c>
      <c r="AO48" s="30">
        <f t="shared" si="7"/>
        <v>1.106501188</v>
      </c>
      <c r="AP48" s="30">
        <f t="shared" si="7"/>
        <v>1.1633287349999999</v>
      </c>
      <c r="AQ48" s="31"/>
      <c r="AR48" s="31"/>
      <c r="AS48" s="31"/>
      <c r="AT48" s="31"/>
    </row>
    <row r="49" ht="15.75" customHeight="1">
      <c r="A49" s="29" t="s">
        <v>46</v>
      </c>
      <c r="B49" s="30">
        <f t="shared" si="7"/>
        <v>20.676690319999999</v>
      </c>
      <c r="C49" s="30">
        <f t="shared" si="7"/>
        <v>20.69191605</v>
      </c>
      <c r="D49" s="30">
        <f t="shared" si="7"/>
        <v>20.897987990000001</v>
      </c>
      <c r="E49" s="30">
        <f t="shared" si="7"/>
        <v>21.285116989999999</v>
      </c>
      <c r="F49" s="30">
        <f t="shared" si="7"/>
        <v>21.744760159999998</v>
      </c>
      <c r="G49" s="30">
        <f t="shared" si="7"/>
        <v>22.27390728</v>
      </c>
      <c r="H49" s="30">
        <f t="shared" si="7"/>
        <v>22.743164119999999</v>
      </c>
      <c r="I49" s="30">
        <f t="shared" si="7"/>
        <v>23.190531830000001</v>
      </c>
      <c r="J49" s="30">
        <f t="shared" si="7"/>
        <v>23.67395986</v>
      </c>
      <c r="K49" s="30">
        <f t="shared" si="7"/>
        <v>24.09118814</v>
      </c>
      <c r="L49" s="30">
        <f t="shared" si="7"/>
        <v>24.402346420000001</v>
      </c>
      <c r="M49" s="30">
        <f t="shared" si="7"/>
        <v>24.589426759999998</v>
      </c>
      <c r="N49" s="30">
        <f t="shared" si="7"/>
        <v>24.624627350000001</v>
      </c>
      <c r="O49" s="30">
        <f t="shared" si="7"/>
        <v>24.997011690000001</v>
      </c>
      <c r="P49" s="30">
        <f t="shared" si="7"/>
        <v>24.960487879999999</v>
      </c>
      <c r="Q49" s="30">
        <f t="shared" si="7"/>
        <v>25.042147780000001</v>
      </c>
      <c r="R49" s="30">
        <f t="shared" si="7"/>
        <v>25.29722117</v>
      </c>
      <c r="S49" s="30">
        <f t="shared" si="7"/>
        <v>25.34870635</v>
      </c>
      <c r="T49" s="30">
        <f t="shared" si="7"/>
        <v>25.553190310000002</v>
      </c>
      <c r="U49" s="30">
        <f t="shared" si="7"/>
        <v>25.539910280000001</v>
      </c>
      <c r="V49" s="30">
        <f t="shared" si="7"/>
        <v>25.668975069999998</v>
      </c>
      <c r="W49" s="30">
        <f t="shared" si="7"/>
        <v>25.739988520000001</v>
      </c>
      <c r="X49" s="30">
        <f t="shared" si="7"/>
        <v>25.811809499999999</v>
      </c>
      <c r="Y49" s="30">
        <f t="shared" si="7"/>
        <v>25.957296719999999</v>
      </c>
      <c r="Z49" s="30">
        <f t="shared" si="7"/>
        <v>26.02913856</v>
      </c>
      <c r="AA49" s="30">
        <f t="shared" si="7"/>
        <v>26.22418218</v>
      </c>
      <c r="AB49" s="30">
        <f t="shared" si="7"/>
        <v>26.432897359999998</v>
      </c>
      <c r="AC49" s="30">
        <f t="shared" si="7"/>
        <v>26.85418314</v>
      </c>
      <c r="AD49" s="30">
        <f t="shared" si="7"/>
        <v>27.236567610000002</v>
      </c>
      <c r="AE49" s="30">
        <f t="shared" si="7"/>
        <v>27.35837755</v>
      </c>
      <c r="AF49" s="30">
        <f t="shared" si="7"/>
        <v>27.610729469999999</v>
      </c>
      <c r="AG49" s="30">
        <f t="shared" si="7"/>
        <v>27.65063121</v>
      </c>
      <c r="AH49" s="30">
        <f t="shared" si="7"/>
        <v>27.659256549999998</v>
      </c>
      <c r="AI49" s="30">
        <f t="shared" si="7"/>
        <v>27.603426689999999</v>
      </c>
      <c r="AJ49" s="30">
        <f t="shared" si="7"/>
        <v>27.638978909999999</v>
      </c>
      <c r="AK49" s="30">
        <f t="shared" si="7"/>
        <v>27.631087699999998</v>
      </c>
      <c r="AL49" s="30">
        <f t="shared" si="7"/>
        <v>27.98843402</v>
      </c>
      <c r="AM49" s="30">
        <f t="shared" si="7"/>
        <v>28.40867892</v>
      </c>
      <c r="AN49" s="30">
        <f t="shared" si="7"/>
        <v>29.03270633</v>
      </c>
      <c r="AO49" s="30">
        <f t="shared" si="7"/>
        <v>29.499176139999999</v>
      </c>
      <c r="AP49" s="30">
        <f t="shared" si="7"/>
        <v>30.14730119</v>
      </c>
      <c r="AQ49" s="31"/>
      <c r="AR49" s="31"/>
      <c r="AS49" s="31"/>
      <c r="AT49" s="31"/>
    </row>
    <row r="50" ht="15.75" customHeight="1">
      <c r="B50" s="33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</row>
    <row r="51" ht="15.75" customHeight="1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 ht="15.75" customHeight="1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ht="15.75" customHeight="1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ht="15.75" customHeight="1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ht="15.75" customHeight="1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ht="15.75" customHeight="1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ht="15.75" customHeight="1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ht="15.75" customHeight="1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ht="15.75" customHeight="1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ht="15.75" customHeight="1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ht="15.75" customHeight="1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ht="15.75" customHeight="1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ht="15.75" customHeight="1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ht="15.75" customHeight="1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ht="15.75" customHeight="1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ht="15.75" customHeight="1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ht="15.75" customHeight="1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ht="15.75" customHeight="1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ht="15.75" customHeight="1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ht="15.75" customHeight="1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ht="15.75" customHeight="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ht="15.75" customHeight="1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 ht="15.75" customHeight="1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 ht="15.75" customHeight="1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 ht="15.75" customHeight="1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 ht="15.75" customHeight="1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 ht="15.75" customHeight="1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ht="15.75" customHeight="1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ht="15.75" customHeight="1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ht="15.75" customHeight="1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ht="15.75" customHeight="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ht="15.75" customHeight="1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ht="15.75" customHeight="1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ht="15.75" customHeight="1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ht="15.75" customHeight="1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ht="15.75" customHeight="1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ht="15.75" customHeight="1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ht="15.75" customHeight="1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ht="15.75" customHeight="1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ht="15.75" customHeight="1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ht="15.75" customHeight="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ht="15.75" customHeight="1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ht="15.75" customHeight="1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ht="15.75" customHeight="1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ht="15.75" customHeight="1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ht="15.75" customHeight="1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ht="15.75" customHeight="1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ht="15.75" customHeight="1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ht="15.75" customHeight="1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ht="15.75" customHeight="1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ht="15.75" customHeight="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ht="15.75" customHeight="1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ht="15.75" customHeight="1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ht="15.75" customHeight="1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ht="15.75" customHeight="1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ht="15.75" customHeight="1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ht="15.75" customHeight="1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ht="15.75" customHeight="1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ht="15.75" customHeight="1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ht="15.75" customHeight="1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ht="15.75" customHeight="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ht="15.75" customHeight="1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ht="15.75" customHeight="1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ht="15.75" customHeight="1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ht="15.75" customHeight="1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ht="15.75" customHeight="1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ht="15.75" customHeight="1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ht="15.75" customHeight="1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ht="15.75" customHeight="1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ht="15.75" customHeight="1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ht="15.75" customHeight="1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ht="15.75" customHeight="1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ht="15.75" customHeight="1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ht="15.75" customHeight="1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ht="15.75" customHeight="1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ht="15.75" customHeight="1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ht="15.75" customHeight="1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ht="15.75" customHeight="1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ht="15.75" customHeight="1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ht="15.75" customHeight="1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ht="15.75" customHeight="1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ht="15.75" customHeight="1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ht="15.75" customHeight="1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ht="15.75" customHeight="1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ht="15.75" customHeight="1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ht="15.75" customHeight="1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ht="15.75" customHeight="1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ht="15.75" customHeight="1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ht="15.75" customHeight="1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ht="15.75" customHeight="1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ht="15.75" customHeight="1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ht="15.75" customHeight="1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ht="15.75" customHeight="1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ht="15.75" customHeight="1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ht="15.75" customHeight="1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ht="15.75" customHeight="1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ht="15.75" customHeight="1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ht="15.75" customHeight="1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ht="15.75" customHeight="1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ht="15.75" customHeight="1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ht="15.75" customHeight="1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ht="15.75" customHeight="1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ht="15.75" customHeight="1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ht="15.75" customHeight="1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ht="15.75" customHeight="1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ht="15.75" customHeight="1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ht="15.75" customHeight="1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ht="15.75" customHeight="1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ht="15.75" customHeight="1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ht="15.75" customHeight="1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ht="15.75" customHeight="1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ht="15.75" customHeight="1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ht="15.75" customHeight="1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ht="15.75" customHeight="1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ht="15.75" customHeight="1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ht="15.75" customHeight="1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ht="15.75" customHeight="1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ht="15.75" customHeight="1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ht="15.75" customHeight="1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ht="15.75" customHeight="1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ht="15.75" customHeight="1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ht="15.75" customHeight="1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ht="15.75" customHeight="1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ht="15.75" customHeight="1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ht="15.75" customHeight="1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ht="15.75" customHeight="1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ht="15.75" customHeight="1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ht="15.75" customHeight="1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ht="15.75" customHeight="1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ht="15.75" customHeight="1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ht="15.75" customHeight="1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ht="15.75" customHeight="1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ht="15.75" customHeight="1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ht="15.75" customHeight="1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ht="15.75" customHeight="1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ht="15.75" customHeight="1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ht="15.75" customHeight="1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ht="15.75" customHeight="1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ht="15.75" customHeight="1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ht="15.75" customHeight="1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ht="15.75" customHeight="1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ht="15.75" customHeight="1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ht="15.75" customHeight="1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ht="15.75" customHeight="1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ht="15.75" customHeight="1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ht="15.75" customHeight="1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ht="15.75" customHeight="1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ht="15.75" customHeight="1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ht="15.75" customHeight="1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ht="15.75" customHeight="1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ht="15.75" customHeight="1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ht="15.75" customHeight="1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ht="15.75" customHeight="1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ht="15.75" customHeight="1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ht="15.75" customHeight="1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ht="15.75" customHeight="1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ht="15.75" customHeight="1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ht="15.75" customHeight="1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 ht="15.75" customHeight="1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ht="15.75" customHeight="1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ht="15.75" customHeight="1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ht="15.75" customHeight="1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ht="15.75" customHeight="1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ht="15.75" customHeight="1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ht="15.75" customHeight="1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ht="15.75" customHeight="1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ht="15.75" customHeight="1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ht="15.75" customHeight="1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ht="15.75" customHeight="1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ht="15.75" customHeight="1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ht="15.75" customHeight="1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ht="15.75" customHeight="1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 ht="15.75" customHeight="1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ht="15.75" customHeight="1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ht="15.75" customHeight="1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ht="15.75" customHeight="1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ht="15.75" customHeight="1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ht="15.75" customHeight="1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ht="15.75" customHeight="1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ht="15.75" customHeight="1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ht="15.75" customHeight="1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ht="15.75" customHeight="1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ht="15.75" customHeight="1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ht="15.75" customHeight="1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ht="15.75" customHeight="1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ht="15.75" customHeight="1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ht="15.75" customHeight="1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ht="15.75" customHeight="1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ht="15.75" customHeight="1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ht="15.75" customHeight="1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ht="15.75" customHeight="1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ht="15.75" customHeight="1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ht="15.75" customHeight="1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ht="15.75" customHeight="1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ht="15.75" customHeight="1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ht="15.75" customHeight="1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ht="15.75" customHeight="1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ht="15.75" customHeight="1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ht="15.75" customHeight="1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ht="15.75" customHeight="1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ht="15.75" customHeight="1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 ht="15.75" customHeight="1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 ht="15.75" customHeight="1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ht="15.75" customHeight="1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ht="15.75" customHeight="1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ht="15.75" customHeight="1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ht="15.75" customHeight="1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 ht="15.75" customHeight="1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 ht="15.75" customHeight="1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 ht="15.75" customHeight="1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 ht="15.75" customHeight="1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 ht="15.75" customHeight="1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 ht="15.75" customHeight="1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 ht="15.75" customHeight="1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 ht="15.75" customHeight="1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 ht="15.75" customHeight="1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 ht="15.75" customHeight="1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 ht="15.75" customHeight="1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 ht="15.75" customHeight="1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 ht="15.75" customHeight="1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 ht="15.75" customHeight="1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 ht="15.75" customHeight="1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 ht="15.75" customHeight="1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 ht="15.75" customHeight="1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 ht="15.75" customHeight="1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 ht="15.75" customHeight="1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 ht="15.75" customHeight="1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 ht="15.75" customHeight="1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 ht="15.75" customHeight="1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 ht="15.75" customHeight="1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 ht="15.75" customHeight="1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 ht="15.75" customHeight="1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 ht="15.75" customHeight="1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 ht="15.75" customHeight="1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 ht="15.75" customHeight="1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 ht="15.75" customHeight="1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 ht="15.75" customHeight="1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 ht="15.75" customHeight="1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 ht="15.75" customHeight="1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 ht="15.75" customHeight="1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 ht="15.75" customHeight="1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 ht="15.75" customHeight="1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 ht="15.75" customHeight="1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 ht="15.75" customHeight="1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 ht="15.75" customHeight="1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 ht="15.75" customHeight="1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 ht="15.75" customHeight="1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 ht="15.75" customHeight="1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 ht="15.75" customHeight="1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 ht="15.75" customHeight="1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 ht="15.75" customHeight="1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 ht="15.75" customHeight="1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 ht="15.75" customHeight="1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 ht="15.75" customHeight="1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 ht="15.75" customHeight="1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 ht="15.75" customHeight="1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 ht="15.75" customHeight="1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 ht="15.75" customHeight="1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 ht="15.75" customHeight="1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 ht="15.75" customHeight="1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 ht="15.75" customHeight="1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 ht="15.75" customHeight="1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 ht="15.75" customHeight="1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 ht="15.75" customHeight="1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 ht="15.75" customHeight="1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 ht="15.75" customHeight="1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 ht="15.75" customHeight="1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 ht="15.75" customHeight="1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 ht="15.75" customHeight="1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 ht="15.75" customHeight="1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 ht="15.75" customHeight="1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 ht="15.75" customHeight="1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 ht="15.75" customHeight="1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 ht="15.75" customHeight="1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 ht="15.75" customHeight="1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 ht="15.75" customHeight="1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 ht="15.75" customHeight="1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 ht="15.75" customHeight="1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 ht="15.75" customHeight="1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 ht="15.75" customHeight="1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 ht="15.75" customHeight="1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 ht="15.75" customHeight="1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 ht="15.75" customHeight="1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 ht="15.75" customHeight="1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 ht="15.75" customHeight="1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 ht="15.75" customHeight="1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 ht="15.75" customHeight="1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 ht="15.75" customHeight="1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 ht="15.75" customHeight="1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 ht="15.75" customHeight="1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 ht="15.75" customHeight="1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 ht="15.75" customHeight="1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 ht="15.75" customHeight="1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 ht="15.75" customHeight="1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 ht="15.75" customHeight="1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 ht="15.75" customHeight="1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 ht="15.75" customHeight="1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 ht="15.75" customHeight="1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 ht="15.75" customHeight="1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 ht="15.75" customHeight="1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 ht="15.75" customHeight="1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ht="15.75" customHeight="1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 ht="15.75" customHeight="1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 ht="15.75" customHeight="1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 ht="15.75" customHeight="1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 ht="15.75" customHeight="1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 ht="15.75" customHeight="1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 ht="15.75" customHeight="1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 ht="15.75" customHeight="1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 ht="15.75" customHeight="1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 ht="15.75" customHeight="1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 ht="15.75" customHeight="1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 ht="15.75" customHeight="1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 ht="15.75" customHeight="1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 ht="15.75" customHeight="1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 ht="15.75" customHeight="1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 ht="15.75" customHeight="1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 ht="15.75" customHeight="1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ht="15.75" customHeight="1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ht="15.75" customHeight="1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 ht="15.75" customHeight="1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 ht="15.75" customHeight="1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 ht="15.75" customHeight="1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 ht="15.75" customHeight="1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 ht="15.75" customHeight="1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 ht="15.75" customHeight="1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 ht="15.75" customHeight="1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 ht="15.75" customHeight="1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 ht="15.75" customHeight="1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 ht="15.75" customHeight="1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 ht="15.75" customHeight="1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 ht="15.75" customHeight="1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 ht="15.75" customHeight="1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 ht="15.75" customHeight="1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 ht="15.75" customHeight="1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 ht="15.75" customHeight="1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 ht="15.75" customHeight="1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 ht="15.75" customHeight="1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 ht="15.75" customHeight="1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 ht="15.75" customHeight="1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 ht="15.75" customHeight="1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 ht="15.75" customHeight="1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 ht="15.75" customHeight="1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 ht="15.75" customHeight="1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 ht="15.75" customHeight="1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 ht="15.75" customHeight="1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 ht="15.75" customHeight="1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 ht="15.75" customHeight="1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 ht="15.75" customHeight="1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 ht="15.75" customHeight="1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 ht="15.75" customHeight="1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 ht="15.75" customHeight="1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 ht="15.75" customHeight="1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 ht="15.75" customHeight="1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 ht="15.75" customHeight="1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 ht="15.75" customHeight="1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 ht="15.75" customHeight="1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 ht="15.75" customHeight="1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 ht="15.75" customHeight="1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 ht="15.75" customHeight="1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</row>
    <row r="411" ht="15.75" customHeight="1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 ht="15.75" customHeight="1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 ht="15.75" customHeight="1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 ht="15.75" customHeight="1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 ht="15.75" customHeight="1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</row>
    <row r="416" ht="15.75" customHeight="1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</row>
    <row r="417" ht="15.75" customHeight="1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 ht="15.75" customHeight="1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 ht="15.75" customHeight="1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 ht="15.75" customHeight="1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</row>
    <row r="421" ht="15.75" customHeight="1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 ht="15.75" customHeight="1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 ht="15.75" customHeight="1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</row>
    <row r="424" ht="15.75" customHeight="1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 ht="15.75" customHeight="1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</row>
    <row r="426" ht="15.75" customHeight="1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 ht="15.75" customHeight="1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 ht="15.75" customHeight="1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 ht="15.75" customHeight="1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</row>
    <row r="430" ht="15.75" customHeight="1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 ht="15.75" customHeight="1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</row>
    <row r="432" ht="15.75" customHeight="1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 ht="15.75" customHeight="1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 ht="15.75" customHeight="1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</row>
    <row r="435" ht="15.75" customHeight="1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</row>
    <row r="436" ht="15.75" customHeight="1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 ht="15.75" customHeight="1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 ht="15.75" customHeight="1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 ht="15.75" customHeight="1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 ht="15.75" customHeight="1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 ht="15.75" customHeight="1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</row>
    <row r="442" ht="15.75" customHeight="1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 ht="15.75" customHeight="1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 ht="15.75" customHeight="1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</row>
    <row r="445" ht="15.75" customHeight="1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 ht="15.75" customHeight="1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</row>
    <row r="447" ht="15.75" customHeight="1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 ht="15.75" customHeight="1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 ht="15.75" customHeight="1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 ht="15.75" customHeight="1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 ht="15.75" customHeight="1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</row>
    <row r="452" ht="15.75" customHeight="1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 ht="15.75" customHeight="1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</row>
    <row r="454" ht="15.75" customHeight="1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 ht="15.75" customHeight="1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 ht="15.75" customHeight="1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</row>
    <row r="457" ht="15.75" customHeight="1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</row>
    <row r="458" ht="15.75" customHeight="1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</row>
    <row r="459" ht="15.75" customHeight="1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</row>
    <row r="460" ht="15.75" customHeight="1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</row>
    <row r="461" ht="15.75" customHeight="1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</row>
    <row r="462" ht="15.75" customHeight="1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</row>
    <row r="463" ht="15.75" customHeight="1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</row>
    <row r="464" ht="15.75" customHeight="1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</row>
    <row r="465" ht="15.75" customHeight="1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</row>
    <row r="466" ht="15.75" customHeight="1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 ht="15.75" customHeight="1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</row>
    <row r="468" ht="15.75" customHeight="1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</row>
    <row r="469" ht="15.75" customHeight="1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 ht="15.75" customHeight="1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 ht="15.75" customHeight="1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</row>
    <row r="472" ht="15.75" customHeight="1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</row>
    <row r="473" ht="15.75" customHeight="1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</row>
    <row r="474" ht="15.75" customHeight="1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</row>
    <row r="475" ht="15.75" customHeight="1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</row>
    <row r="476" ht="15.75" customHeight="1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</row>
    <row r="477" ht="15.75" customHeight="1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</row>
    <row r="478" ht="15.75" customHeight="1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</row>
    <row r="479" ht="15.75" customHeight="1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</row>
    <row r="480" ht="15.75" customHeight="1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</row>
    <row r="481" ht="15.75" customHeight="1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</row>
    <row r="482" ht="15.75" customHeight="1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 ht="15.75" customHeight="1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 ht="15.75" customHeight="1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</row>
    <row r="485" ht="15.75" customHeight="1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</row>
    <row r="486" ht="15.75" customHeight="1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</row>
    <row r="487" ht="15.75" customHeight="1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</row>
    <row r="488" ht="15.75" customHeight="1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</row>
    <row r="489" ht="15.75" customHeight="1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</row>
    <row r="490" ht="15.75" customHeight="1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</row>
    <row r="491" ht="15.75" customHeight="1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  <row r="492" ht="15.75" customHeight="1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</row>
    <row r="493" ht="15.75" customHeight="1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</row>
    <row r="494" ht="15.75" customHeight="1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</row>
    <row r="495" ht="15.75" customHeight="1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</row>
    <row r="496" ht="15.75" customHeight="1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</row>
    <row r="497" ht="15.75" customHeight="1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</row>
    <row r="498" ht="15.75" customHeight="1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</row>
    <row r="499" ht="15.75" customHeight="1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</row>
    <row r="500" ht="15.75" customHeight="1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</row>
    <row r="501" ht="15.75" customHeight="1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</row>
    <row r="502" ht="15.75" customHeight="1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</row>
    <row r="503" ht="15.75" customHeight="1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</row>
    <row r="504" ht="15.75" customHeight="1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</row>
    <row r="505" ht="15.75" customHeight="1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</row>
    <row r="506" ht="15.75" customHeight="1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</row>
    <row r="507" ht="15.75" customHeight="1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</row>
    <row r="508" ht="15.75" customHeight="1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</row>
    <row r="509" ht="15.75" customHeight="1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</row>
    <row r="510" ht="15.75" customHeight="1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</row>
    <row r="511" ht="15.75" customHeight="1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</row>
    <row r="512" ht="15.75" customHeight="1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</row>
    <row r="513" ht="15.75" customHeight="1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</row>
    <row r="514" ht="15.75" customHeight="1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</row>
    <row r="515" ht="15.75" customHeight="1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</row>
    <row r="516" ht="15.75" customHeight="1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</row>
    <row r="517" ht="15.75" customHeight="1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</row>
    <row r="518" ht="15.75" customHeight="1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</row>
    <row r="519" ht="15.75" customHeight="1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</row>
    <row r="520" ht="15.75" customHeight="1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</row>
    <row r="521" ht="15.75" customHeight="1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</row>
    <row r="522" ht="15.75" customHeight="1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</row>
    <row r="523" ht="15.75" customHeight="1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</row>
    <row r="524" ht="15.75" customHeight="1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</row>
    <row r="525" ht="15.75" customHeight="1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</row>
    <row r="526" ht="15.75" customHeight="1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</row>
    <row r="527" ht="15.75" customHeight="1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</row>
    <row r="528" ht="15.75" customHeight="1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</row>
    <row r="529" ht="15.75" customHeight="1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</row>
    <row r="530" ht="15.75" customHeight="1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</row>
    <row r="531" ht="15.75" customHeight="1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</row>
    <row r="532" ht="15.75" customHeight="1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</row>
    <row r="533" ht="15.75" customHeight="1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</row>
    <row r="534" ht="15.75" customHeight="1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</row>
    <row r="535" ht="15.75" customHeight="1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</row>
    <row r="536" ht="15.75" customHeight="1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</row>
    <row r="537" ht="15.75" customHeight="1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</row>
    <row r="538" ht="15.75" customHeight="1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</row>
    <row r="539" ht="15.75" customHeight="1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</row>
    <row r="540" ht="15.75" customHeight="1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</row>
    <row r="541" ht="15.75" customHeight="1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</row>
    <row r="542" ht="15.75" customHeight="1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</row>
    <row r="543" ht="15.75" customHeight="1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</row>
    <row r="544" ht="15.75" customHeight="1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</row>
    <row r="545" ht="15.75" customHeight="1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</row>
    <row r="546" ht="15.75" customHeight="1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</row>
    <row r="547" ht="15.75" customHeight="1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</row>
    <row r="548" ht="15.75" customHeight="1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</row>
    <row r="549" ht="15.75" customHeight="1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</row>
    <row r="550" ht="15.75" customHeight="1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</row>
    <row r="551" ht="15.75" customHeight="1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</row>
    <row r="552" ht="15.75" customHeight="1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</row>
    <row r="553" ht="15.75" customHeight="1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</row>
    <row r="554" ht="15.75" customHeight="1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</row>
    <row r="555" ht="15.75" customHeight="1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</row>
    <row r="556" ht="15.75" customHeight="1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</row>
    <row r="557" ht="15.75" customHeight="1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</row>
    <row r="558" ht="15.75" customHeight="1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</row>
    <row r="559" ht="15.75" customHeight="1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</row>
    <row r="560" ht="15.75" customHeight="1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</row>
    <row r="561" ht="15.75" customHeight="1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</row>
    <row r="562" ht="15.75" customHeight="1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</row>
    <row r="563" ht="15.75" customHeight="1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</row>
    <row r="564" ht="15.75" customHeight="1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</row>
    <row r="565" ht="15.75" customHeight="1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</row>
    <row r="566" ht="15.75" customHeight="1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</row>
    <row r="567" ht="15.75" customHeight="1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</row>
    <row r="568" ht="15.75" customHeight="1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</row>
    <row r="569" ht="15.75" customHeight="1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</row>
    <row r="570" ht="15.75" customHeight="1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</row>
    <row r="571" ht="15.75" customHeight="1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</row>
    <row r="572" ht="15.75" customHeight="1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</row>
    <row r="573" ht="15.75" customHeight="1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</row>
    <row r="574" ht="15.75" customHeight="1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</row>
    <row r="575" ht="15.75" customHeight="1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</row>
    <row r="576" ht="15.75" customHeight="1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</row>
    <row r="577" ht="15.75" customHeight="1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</row>
    <row r="578" ht="15.75" customHeight="1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</row>
    <row r="579" ht="15.75" customHeight="1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</row>
    <row r="580" ht="15.75" customHeight="1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</row>
    <row r="581" ht="15.75" customHeight="1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</row>
    <row r="582" ht="15.75" customHeight="1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</row>
    <row r="583" ht="15.75" customHeight="1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</row>
    <row r="584" ht="15.75" customHeight="1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</row>
    <row r="585" ht="15.75" customHeight="1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</row>
    <row r="586" ht="15.75" customHeight="1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</row>
    <row r="587" ht="15.75" customHeight="1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</row>
    <row r="588" ht="15.75" customHeight="1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</row>
    <row r="589" ht="15.75" customHeight="1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</row>
    <row r="590" ht="15.75" customHeight="1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</row>
    <row r="591" ht="15.75" customHeight="1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</row>
    <row r="592" ht="15.75" customHeight="1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</row>
    <row r="593" ht="15.75" customHeight="1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</row>
    <row r="594" ht="15.75" customHeight="1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</row>
    <row r="595" ht="15.75" customHeight="1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</row>
    <row r="596" ht="15.75" customHeight="1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</row>
    <row r="597" ht="15.75" customHeight="1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</row>
    <row r="598" ht="15.75" customHeight="1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</row>
    <row r="599" ht="15.75" customHeight="1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</row>
    <row r="600" ht="15.75" customHeight="1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</row>
    <row r="601" ht="15.75" customHeight="1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</row>
    <row r="602" ht="15.75" customHeight="1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</row>
    <row r="603" ht="15.75" customHeight="1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</row>
    <row r="604" ht="15.75" customHeight="1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</row>
    <row r="605" ht="15.75" customHeight="1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</row>
    <row r="606" ht="15.75" customHeight="1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</row>
    <row r="607" ht="15.75" customHeight="1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</row>
    <row r="608" ht="15.75" customHeight="1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</row>
    <row r="609" ht="15.75" customHeight="1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</row>
    <row r="610" ht="15.75" customHeight="1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</row>
    <row r="611" ht="15.75" customHeight="1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</row>
    <row r="612" ht="15.75" customHeight="1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</row>
    <row r="613" ht="15.75" customHeight="1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</row>
    <row r="614" ht="15.75" customHeight="1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</row>
    <row r="615" ht="15.75" customHeight="1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</row>
    <row r="616" ht="15.75" customHeight="1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</row>
    <row r="617" ht="15.75" customHeight="1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</row>
    <row r="618" ht="15.75" customHeight="1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</row>
    <row r="619" ht="15.75" customHeight="1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</row>
    <row r="620" ht="15.75" customHeight="1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</row>
    <row r="621" ht="15.75" customHeight="1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</row>
    <row r="622" ht="15.75" customHeight="1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</row>
    <row r="623" ht="15.75" customHeight="1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</row>
    <row r="624" ht="15.75" customHeight="1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</row>
    <row r="625" ht="15.75" customHeight="1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</row>
    <row r="626" ht="15.75" customHeight="1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</row>
    <row r="627" ht="15.75" customHeight="1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</row>
    <row r="628" ht="15.75" customHeight="1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</row>
    <row r="629" ht="15.75" customHeight="1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</row>
    <row r="630" ht="15.75" customHeight="1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</row>
    <row r="631" ht="15.75" customHeight="1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</row>
    <row r="632" ht="15.75" customHeight="1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</row>
    <row r="633" ht="15.75" customHeight="1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</row>
    <row r="634" ht="15.75" customHeight="1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</row>
    <row r="635" ht="15.75" customHeight="1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</row>
    <row r="636" ht="15.75" customHeight="1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</row>
    <row r="637" ht="15.75" customHeight="1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</row>
    <row r="638" ht="15.75" customHeight="1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</row>
    <row r="639" ht="15.75" customHeight="1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</row>
    <row r="640" ht="15.75" customHeight="1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</row>
    <row r="641" ht="15.75" customHeight="1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</row>
    <row r="642" ht="15.75" customHeight="1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</row>
    <row r="643" ht="15.75" customHeight="1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</row>
    <row r="644" ht="15.75" customHeight="1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</row>
    <row r="645" ht="15.75" customHeight="1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</row>
    <row r="646" ht="15.75" customHeight="1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</row>
    <row r="647" ht="15.75" customHeight="1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</row>
    <row r="648" ht="15.75" customHeight="1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</row>
    <row r="649" ht="15.75" customHeight="1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</row>
    <row r="650" ht="15.75" customHeight="1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</row>
    <row r="651" ht="15.75" customHeight="1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</row>
    <row r="652" ht="15.75" customHeight="1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</row>
    <row r="653" ht="15.75" customHeight="1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</row>
    <row r="654" ht="15.75" customHeight="1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</row>
    <row r="655" ht="15.75" customHeight="1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</row>
    <row r="656" ht="15.75" customHeight="1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</row>
    <row r="657" ht="15.75" customHeight="1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</row>
    <row r="658" ht="15.75" customHeight="1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</row>
    <row r="659" ht="15.75" customHeight="1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</row>
    <row r="660" ht="15.75" customHeight="1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</row>
    <row r="661" ht="15.75" customHeight="1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</row>
    <row r="662" ht="15.75" customHeight="1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</row>
    <row r="663" ht="15.75" customHeight="1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</row>
    <row r="664" ht="15.75" customHeight="1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</row>
    <row r="665" ht="15.75" customHeight="1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</row>
    <row r="666" ht="15.75" customHeight="1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</row>
    <row r="667" ht="15.75" customHeight="1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</row>
    <row r="668" ht="15.75" customHeight="1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</row>
    <row r="669" ht="15.75" customHeight="1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</row>
    <row r="670" ht="15.75" customHeight="1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</row>
    <row r="671" ht="15.75" customHeight="1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</row>
    <row r="672" ht="15.75" customHeight="1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</row>
    <row r="673" ht="15.75" customHeight="1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</row>
    <row r="674" ht="15.75" customHeight="1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</row>
    <row r="675" ht="15.75" customHeight="1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</row>
    <row r="676" ht="15.75" customHeight="1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</row>
    <row r="677" ht="15.75" customHeight="1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</row>
    <row r="678" ht="15.75" customHeight="1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</row>
    <row r="679" ht="15.75" customHeight="1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</row>
    <row r="680" ht="15.75" customHeight="1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</row>
    <row r="681" ht="15.75" customHeight="1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</row>
    <row r="682" ht="15.75" customHeight="1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</row>
    <row r="683" ht="15.75" customHeight="1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</row>
    <row r="684" ht="15.75" customHeight="1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</row>
    <row r="685" ht="15.75" customHeight="1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</row>
    <row r="686" ht="15.75" customHeight="1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</row>
    <row r="687" ht="15.75" customHeight="1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</row>
    <row r="688" ht="15.75" customHeight="1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</row>
    <row r="689" ht="15.75" customHeight="1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</row>
    <row r="690" ht="15.75" customHeight="1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</row>
    <row r="691" ht="15.75" customHeight="1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</row>
    <row r="692" ht="15.75" customHeight="1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</row>
    <row r="693" ht="15.75" customHeight="1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</row>
    <row r="694" ht="15.75" customHeight="1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</row>
    <row r="695" ht="15.75" customHeight="1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</row>
    <row r="696" ht="15.75" customHeight="1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</row>
    <row r="697" ht="15.75" customHeight="1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</row>
    <row r="698" ht="15.75" customHeight="1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</row>
    <row r="699" ht="15.75" customHeight="1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</row>
    <row r="700" ht="15.75" customHeight="1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</row>
    <row r="701" ht="15.75" customHeight="1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</row>
    <row r="702" ht="15.75" customHeight="1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</row>
    <row r="703" ht="15.75" customHeight="1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</row>
    <row r="704" ht="15.75" customHeight="1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</row>
    <row r="705" ht="15.75" customHeight="1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</row>
    <row r="706" ht="15.75" customHeight="1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</row>
    <row r="707" ht="15.75" customHeight="1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</row>
    <row r="708" ht="15.75" customHeight="1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</row>
    <row r="709" ht="15.75" customHeight="1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</row>
    <row r="710" ht="15.75" customHeight="1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</row>
    <row r="711" ht="15.75" customHeight="1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</row>
    <row r="712" ht="15.75" customHeight="1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</row>
    <row r="713" ht="15.75" customHeight="1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</row>
    <row r="714" ht="15.75" customHeight="1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</row>
    <row r="715" ht="15.75" customHeight="1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</row>
    <row r="716" ht="15.75" customHeight="1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</row>
    <row r="717" ht="15.75" customHeight="1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</row>
    <row r="718" ht="15.75" customHeight="1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</row>
    <row r="719" ht="15.75" customHeight="1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</row>
    <row r="720" ht="15.75" customHeight="1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</row>
    <row r="721" ht="15.75" customHeight="1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</row>
    <row r="722" ht="15.75" customHeight="1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</row>
    <row r="723" ht="15.75" customHeight="1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</row>
    <row r="724" ht="15.75" customHeight="1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</row>
    <row r="725" ht="15.75" customHeight="1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</row>
    <row r="726" ht="15.75" customHeight="1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</row>
    <row r="727" ht="15.75" customHeight="1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</row>
    <row r="728" ht="15.75" customHeight="1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</row>
    <row r="729" ht="15.75" customHeight="1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</row>
    <row r="730" ht="15.75" customHeight="1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</row>
    <row r="731" ht="15.75" customHeight="1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</row>
    <row r="732" ht="15.75" customHeight="1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</row>
    <row r="733" ht="15.75" customHeight="1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</row>
    <row r="734" ht="15.75" customHeight="1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</row>
    <row r="735" ht="15.75" customHeight="1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</row>
    <row r="736" ht="15.75" customHeight="1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</row>
    <row r="737" ht="15.75" customHeight="1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</row>
    <row r="738" ht="15.75" customHeight="1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</row>
    <row r="739" ht="15.75" customHeight="1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</row>
    <row r="740" ht="15.75" customHeight="1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</row>
    <row r="741" ht="15.75" customHeight="1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</row>
    <row r="742" ht="15.75" customHeight="1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</row>
    <row r="743" ht="15.75" customHeight="1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</row>
    <row r="744" ht="15.75" customHeight="1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</row>
    <row r="745" ht="15.75" customHeight="1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</row>
    <row r="746" ht="15.75" customHeight="1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</row>
    <row r="747" ht="15.75" customHeight="1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</row>
    <row r="748" ht="15.75" customHeight="1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</row>
    <row r="749" ht="15.75" customHeight="1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</row>
    <row r="750" ht="15.75" customHeight="1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</row>
    <row r="751" ht="15.75" customHeight="1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</row>
    <row r="752" ht="15.75" customHeight="1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</row>
    <row r="753" ht="15.75" customHeight="1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</row>
    <row r="754" ht="15.75" customHeight="1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</row>
    <row r="755" ht="15.75" customHeight="1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</row>
    <row r="756" ht="15.75" customHeight="1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</row>
    <row r="757" ht="15.75" customHeight="1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</row>
    <row r="758" ht="15.75" customHeight="1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</row>
    <row r="759" ht="15.75" customHeight="1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</row>
    <row r="760" ht="15.75" customHeight="1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</row>
    <row r="761" ht="15.75" customHeight="1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</row>
    <row r="762" ht="15.75" customHeight="1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</row>
    <row r="763" ht="15.75" customHeight="1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</row>
    <row r="764" ht="15.75" customHeight="1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</row>
    <row r="765" ht="15.75" customHeight="1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</row>
    <row r="766" ht="15.75" customHeight="1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</row>
    <row r="767" ht="15.75" customHeight="1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</row>
    <row r="768" ht="15.75" customHeight="1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</row>
    <row r="769" ht="15.75" customHeight="1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</row>
    <row r="770" ht="15.75" customHeight="1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</row>
    <row r="771" ht="15.75" customHeight="1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</row>
    <row r="772" ht="15.75" customHeight="1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</row>
    <row r="773" ht="15.75" customHeight="1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</row>
    <row r="774" ht="15.75" customHeight="1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</row>
    <row r="775" ht="15.75" customHeight="1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</row>
    <row r="776" ht="15.75" customHeight="1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</row>
    <row r="777" ht="15.75" customHeight="1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</row>
    <row r="778" ht="15.75" customHeight="1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</row>
    <row r="779" ht="15.75" customHeight="1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</row>
    <row r="780" ht="15.75" customHeight="1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</row>
    <row r="781" ht="15.75" customHeight="1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</row>
    <row r="782" ht="15.75" customHeight="1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</row>
    <row r="783" ht="15.75" customHeight="1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</row>
    <row r="784" ht="15.75" customHeight="1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</row>
    <row r="785" ht="15.75" customHeight="1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</row>
    <row r="786" ht="15.75" customHeight="1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</row>
    <row r="787" ht="15.75" customHeight="1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</row>
    <row r="788" ht="15.75" customHeight="1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</row>
    <row r="789" ht="15.75" customHeight="1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</row>
    <row r="790" ht="15.75" customHeight="1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</row>
    <row r="791" ht="15.75" customHeight="1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</row>
    <row r="792" ht="15.75" customHeight="1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</row>
    <row r="793" ht="15.75" customHeight="1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</row>
    <row r="794" ht="15.75" customHeight="1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</row>
    <row r="795" ht="15.75" customHeight="1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</row>
    <row r="796" ht="15.75" customHeight="1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</row>
    <row r="797" ht="15.75" customHeight="1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</row>
    <row r="798" ht="15.75" customHeight="1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</row>
    <row r="799" ht="15.75" customHeight="1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</row>
    <row r="800" ht="15.75" customHeight="1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</row>
    <row r="801" ht="15.75" customHeight="1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</row>
    <row r="802" ht="15.75" customHeight="1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</row>
    <row r="803" ht="15.75" customHeight="1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</row>
    <row r="804" ht="15.75" customHeight="1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</row>
    <row r="805" ht="15.75" customHeight="1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</row>
    <row r="806" ht="15.75" customHeight="1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</row>
    <row r="807" ht="15.75" customHeight="1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</row>
    <row r="808" ht="15.75" customHeight="1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</row>
    <row r="809" ht="15.75" customHeight="1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</row>
    <row r="810" ht="15.75" customHeight="1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</row>
    <row r="811" ht="15.75" customHeight="1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</row>
    <row r="812" ht="15.75" customHeight="1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</row>
    <row r="813" ht="15.75" customHeight="1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</row>
    <row r="814" ht="15.75" customHeight="1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</row>
    <row r="815" ht="15.75" customHeight="1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</row>
    <row r="816" ht="15.75" customHeight="1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</row>
    <row r="817" ht="15.75" customHeight="1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</row>
    <row r="818" ht="15.75" customHeight="1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</row>
    <row r="819" ht="15.75" customHeight="1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</row>
    <row r="820" ht="15.75" customHeight="1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</row>
    <row r="821" ht="15.75" customHeight="1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</row>
    <row r="822" ht="15.75" customHeight="1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</row>
    <row r="823" ht="15.75" customHeight="1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</row>
    <row r="824" ht="15.75" customHeight="1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</row>
    <row r="825" ht="15.75" customHeight="1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</row>
    <row r="826" ht="15.75" customHeight="1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</row>
    <row r="827" ht="15.75" customHeight="1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</row>
    <row r="828" ht="15.75" customHeight="1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</row>
    <row r="829" ht="15.75" customHeight="1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</row>
    <row r="830" ht="15.75" customHeight="1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</row>
    <row r="831" ht="15.75" customHeight="1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</row>
    <row r="832" ht="15.75" customHeight="1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</row>
    <row r="833" ht="15.75" customHeight="1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</row>
    <row r="834" ht="15.75" customHeight="1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</row>
    <row r="835" ht="15.75" customHeight="1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</row>
    <row r="836" ht="15.75" customHeight="1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</row>
    <row r="837" ht="15.75" customHeight="1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</row>
    <row r="838" ht="15.75" customHeight="1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</row>
    <row r="839" ht="15.75" customHeight="1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</row>
    <row r="840" ht="15.75" customHeight="1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</row>
    <row r="841" ht="15.75" customHeight="1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</row>
    <row r="842" ht="15.75" customHeight="1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</row>
    <row r="843" ht="15.75" customHeight="1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</row>
    <row r="844" ht="15.75" customHeight="1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</row>
    <row r="845" ht="15.75" customHeight="1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</row>
    <row r="846" ht="15.75" customHeight="1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</row>
    <row r="847" ht="15.75" customHeight="1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</row>
    <row r="848" ht="15.75" customHeight="1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</row>
    <row r="849" ht="15.75" customHeight="1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</row>
    <row r="850" ht="15.75" customHeight="1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</row>
    <row r="851" ht="15.75" customHeight="1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</row>
    <row r="852" ht="15.75" customHeight="1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</row>
    <row r="853" ht="15.75" customHeight="1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</row>
    <row r="854" ht="15.75" customHeight="1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</row>
    <row r="855" ht="15.75" customHeight="1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</row>
    <row r="856" ht="15.75" customHeight="1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</row>
    <row r="857" ht="15.75" customHeight="1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</row>
    <row r="858" ht="15.75" customHeight="1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</row>
    <row r="859" ht="15.75" customHeight="1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</row>
    <row r="860" ht="15.75" customHeight="1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</row>
    <row r="861" ht="15.75" customHeight="1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</row>
    <row r="862" ht="15.75" customHeight="1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</row>
    <row r="863" ht="15.75" customHeight="1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</row>
    <row r="864" ht="15.75" customHeight="1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</row>
    <row r="865" ht="15.75" customHeight="1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</row>
    <row r="866" ht="15.75" customHeight="1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</row>
    <row r="867" ht="15.75" customHeight="1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</row>
    <row r="868" ht="15.75" customHeight="1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</row>
    <row r="869" ht="15.75" customHeight="1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</row>
    <row r="870" ht="15.75" customHeight="1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</row>
    <row r="871" ht="15.75" customHeight="1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</row>
    <row r="872" ht="15.75" customHeight="1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</row>
    <row r="873" ht="15.75" customHeight="1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</row>
    <row r="874" ht="15.75" customHeight="1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</row>
    <row r="875" ht="15.75" customHeight="1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</row>
    <row r="876" ht="15.75" customHeight="1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</row>
    <row r="877" ht="15.75" customHeight="1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</row>
    <row r="878" ht="15.75" customHeight="1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</row>
    <row r="879" ht="15.75" customHeight="1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</row>
    <row r="880" ht="15.75" customHeight="1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</row>
    <row r="881" ht="15.75" customHeight="1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</row>
    <row r="882" ht="15.75" customHeight="1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</row>
    <row r="883" ht="15.75" customHeight="1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</row>
    <row r="884" ht="15.75" customHeight="1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</row>
    <row r="885" ht="15.75" customHeight="1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</row>
    <row r="886" ht="15.75" customHeight="1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</row>
    <row r="887" ht="15.75" customHeight="1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</row>
    <row r="888" ht="15.75" customHeight="1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</row>
    <row r="889" ht="15.75" customHeight="1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</row>
    <row r="890" ht="15.75" customHeight="1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</row>
    <row r="891" ht="15.75" customHeight="1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</row>
    <row r="892" ht="15.75" customHeight="1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</row>
    <row r="893" ht="15.75" customHeight="1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</row>
    <row r="894" ht="15.75" customHeight="1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</row>
    <row r="895" ht="15.75" customHeight="1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</row>
    <row r="896" ht="15.75" customHeight="1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</row>
    <row r="897" ht="15.75" customHeight="1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</row>
    <row r="898" ht="15.75" customHeight="1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</row>
    <row r="899" ht="15.75" customHeight="1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</row>
    <row r="900" ht="15.75" customHeight="1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</row>
    <row r="901" ht="15.75" customHeight="1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</row>
    <row r="902" ht="15.75" customHeight="1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</row>
    <row r="903" ht="15.75" customHeight="1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</row>
    <row r="904" ht="15.75" customHeight="1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</row>
    <row r="905" ht="15.75" customHeight="1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</row>
    <row r="906" ht="15.75" customHeight="1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</row>
    <row r="907" ht="15.75" customHeight="1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</row>
    <row r="908" ht="15.75" customHeight="1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</row>
    <row r="909" ht="15.75" customHeight="1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</row>
    <row r="910" ht="15.75" customHeight="1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</row>
    <row r="911" ht="15.75" customHeight="1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</row>
    <row r="912" ht="15.75" customHeight="1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</row>
    <row r="913" ht="15.75" customHeight="1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</row>
    <row r="914" ht="15.75" customHeight="1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</row>
    <row r="915" ht="15.75" customHeight="1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</row>
    <row r="916" ht="15.75" customHeight="1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</row>
    <row r="917" ht="15.75" customHeight="1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</row>
    <row r="918" ht="15.75" customHeight="1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</row>
    <row r="919" ht="15.75" customHeight="1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</row>
    <row r="920" ht="15.75" customHeight="1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</row>
    <row r="921" ht="15.75" customHeight="1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</row>
    <row r="922" ht="15.75" customHeight="1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</row>
    <row r="923" ht="15.75" customHeight="1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</row>
    <row r="924" ht="15.75" customHeight="1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</row>
    <row r="925" ht="15.75" customHeight="1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</row>
    <row r="926" ht="15.75" customHeight="1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</row>
    <row r="927" ht="15.75" customHeight="1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</row>
    <row r="928" ht="15.75" customHeight="1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</row>
    <row r="929" ht="15.75" customHeight="1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</row>
    <row r="930" ht="15.75" customHeight="1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</row>
    <row r="931" ht="15.75" customHeight="1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</row>
    <row r="932" ht="15.75" customHeight="1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</row>
    <row r="933" ht="15.75" customHeight="1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</row>
    <row r="934" ht="15.75" customHeight="1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</row>
    <row r="935" ht="15.75" customHeight="1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</row>
    <row r="936" ht="15.75" customHeight="1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</row>
    <row r="937" ht="15.75" customHeight="1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</row>
    <row r="938" ht="15.75" customHeight="1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</row>
    <row r="939" ht="15.75" customHeight="1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</row>
    <row r="940" ht="15.75" customHeight="1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</row>
    <row r="941" ht="15.75" customHeight="1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</row>
    <row r="942" ht="15.75" customHeight="1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</row>
    <row r="943" ht="15.75" customHeight="1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</row>
    <row r="944" ht="15.75" customHeight="1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</row>
    <row r="945" ht="15.75" customHeight="1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</row>
    <row r="946" ht="15.75" customHeight="1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</row>
    <row r="947" ht="15.75" customHeight="1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</row>
    <row r="948" ht="15.75" customHeight="1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</row>
    <row r="949" ht="15.75" customHeight="1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</row>
    <row r="950" ht="15.75" customHeight="1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</row>
    <row r="951" ht="15.75" customHeight="1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</row>
    <row r="952" ht="15.75" customHeight="1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</row>
    <row r="953" ht="15.75" customHeight="1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</row>
    <row r="954" ht="15.75" customHeight="1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</row>
    <row r="955" ht="15.75" customHeight="1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</row>
    <row r="956" ht="15.75" customHeight="1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</row>
    <row r="957" ht="15.75" customHeight="1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</row>
    <row r="958" ht="15.75" customHeight="1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</row>
    <row r="959" ht="15.75" customHeight="1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</row>
    <row r="960" ht="15.75" customHeight="1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</row>
    <row r="961" ht="15.75" customHeight="1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</row>
    <row r="962" ht="15.75" customHeight="1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</row>
    <row r="963" ht="15.75" customHeight="1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</row>
    <row r="964" ht="15.75" customHeight="1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</row>
    <row r="965" ht="15.75" customHeight="1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</row>
    <row r="966" ht="15.75" customHeight="1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</row>
    <row r="967" ht="15.75" customHeight="1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</row>
    <row r="968" ht="15.75" customHeight="1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</row>
    <row r="969" ht="15.75" customHeight="1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</row>
    <row r="970" ht="15.75" customHeight="1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</row>
    <row r="971" ht="15.75" customHeight="1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</row>
    <row r="972" ht="15.75" customHeight="1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</row>
    <row r="973" ht="15.75" customHeight="1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</row>
    <row r="974" ht="15.75" customHeight="1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</row>
    <row r="975" ht="15.75" customHeight="1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</row>
    <row r="976" ht="15.75" customHeight="1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</row>
    <row r="977" ht="15.75" customHeight="1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</row>
    <row r="978" ht="15.75" customHeight="1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</row>
    <row r="979" ht="15.75" customHeight="1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</row>
    <row r="980" ht="15.75" customHeight="1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</row>
    <row r="981" ht="15.75" customHeight="1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</row>
    <row r="982" ht="15.75" customHeight="1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</row>
    <row r="983" ht="15.75" customHeight="1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</row>
    <row r="984" ht="15.75" customHeight="1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</row>
    <row r="985" ht="15.75" customHeight="1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</row>
    <row r="986" ht="15.75" customHeight="1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</row>
    <row r="987" ht="15.75" customHeight="1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</row>
    <row r="988" ht="15.75" customHeight="1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</row>
    <row r="989" ht="15.75" customHeight="1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</row>
    <row r="990" ht="15.75" customHeight="1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</row>
    <row r="991" ht="15.75" customHeight="1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</row>
    <row r="992" ht="15.75" customHeight="1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</row>
    <row r="993" ht="15.75" customHeight="1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</row>
    <row r="994" ht="15.75" customHeight="1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</row>
    <row r="995" ht="15.75" customHeight="1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</row>
    <row r="996" ht="15.75" customHeight="1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</row>
    <row r="997" ht="15.75" customHeight="1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</row>
    <row r="998" ht="15.75" customHeight="1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</row>
    <row r="999" ht="15.75" customHeight="1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</row>
    <row r="1000" ht="15.75" customHeight="1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</row>
    <row r="1001" ht="15.75" customHeight="1"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</row>
    <row r="1002" ht="15.75" customHeight="1"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</row>
    <row r="1003" ht="15.75" customHeight="1"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</row>
    <row r="1004" ht="15.75" customHeight="1"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</row>
    <row r="1005" ht="15.75" customHeight="1"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</row>
    <row r="1006" ht="15.75" customHeight="1"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</row>
  </sheetData>
  <printOptions headings="0" gridLines="0"/>
  <pageMargins left="0.69999999999999996" right="0.69999999999999996" top="0.75" bottom="0.75" header="0" footer="0"/>
  <pageSetup paperSize="8" scale="100" fitToWidth="1" fitToHeight="1" pageOrder="downThenOver" orientation="landscape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1.220000000000001" defaultRowHeight="15" customHeight="1"/>
  <cols>
    <col customWidth="1" min="1" max="1" width="7.5599999999999996"/>
    <col customWidth="1" min="2" max="2" width="24.109999999999999"/>
    <col customWidth="1" hidden="1" min="3" max="3" width="19.559999999999999"/>
    <col customWidth="1" hidden="1" min="4" max="4" width="20.559999999999999"/>
    <col customWidth="1" hidden="1" min="5" max="6" width="18.559999999999999"/>
    <col customWidth="1" hidden="1" min="7" max="7" width="19.559999999999999"/>
    <col customWidth="1" hidden="1" min="8" max="8" width="20.559999999999999"/>
    <col customWidth="1" hidden="1" min="9" max="9" width="19.559999999999999"/>
    <col customWidth="1" hidden="1" min="10" max="10" width="15.44"/>
    <col customWidth="1" hidden="1" min="11" max="11" width="24.109999999999999"/>
    <col customWidth="1" min="12" max="12" width="19.559999999999999"/>
    <col customWidth="1" hidden="1" min="13" max="13" width="18.559999999999999"/>
    <col customWidth="1" hidden="1" min="14" max="14" width="7.5599999999999996"/>
    <col customWidth="1" hidden="1" min="15" max="15" width="15.44"/>
    <col customWidth="1" hidden="1" min="16" max="16" width="5.4400000000000004"/>
    <col customWidth="1" hidden="1" min="17" max="17" width="18.559999999999999"/>
    <col customWidth="1" hidden="1" min="18" max="19" width="19.559999999999999"/>
    <col customWidth="1" hidden="1" min="20" max="20" width="13.109999999999999"/>
    <col customWidth="1" hidden="1" min="21" max="21" width="20.559999999999999"/>
    <col customWidth="1" hidden="1" min="22" max="24" width="8.5600000000000005"/>
    <col customWidth="1" hidden="1" min="25" max="25" width="20.559999999999999"/>
    <col customWidth="1" hidden="1" min="26" max="26" width="8.5600000000000005"/>
    <col customWidth="1" hidden="1" min="27" max="28" width="19.559999999999999"/>
    <col customWidth="1" hidden="1" min="29" max="29" width="11"/>
    <col customWidth="1" hidden="1" min="30" max="33" width="8.5600000000000005"/>
    <col customWidth="1" hidden="1" min="34" max="34" width="19.559999999999999"/>
    <col customWidth="1" hidden="1" min="35" max="36" width="20.559999999999999"/>
    <col customWidth="1" hidden="1" min="37" max="37" width="16.440000000000001"/>
    <col customWidth="1" hidden="1" min="38" max="38" width="20.559999999999999"/>
  </cols>
  <sheetData>
    <row r="1" ht="15.75" customHeight="1">
      <c r="A1" s="34" t="s">
        <v>47</v>
      </c>
      <c r="B1" s="35" t="s">
        <v>47</v>
      </c>
      <c r="C1" s="36">
        <v>2017</v>
      </c>
      <c r="D1" s="36" t="s">
        <v>47</v>
      </c>
      <c r="E1" s="36" t="s">
        <v>47</v>
      </c>
      <c r="F1" s="36" t="s">
        <v>47</v>
      </c>
      <c r="G1" s="36" t="s">
        <v>47</v>
      </c>
      <c r="H1" s="36" t="s">
        <v>47</v>
      </c>
      <c r="I1" s="36" t="s">
        <v>47</v>
      </c>
      <c r="J1" s="36" t="s">
        <v>47</v>
      </c>
      <c r="K1" s="36" t="s">
        <v>47</v>
      </c>
      <c r="L1" s="36"/>
      <c r="M1" s="36" t="s">
        <v>47</v>
      </c>
      <c r="N1" s="36" t="s">
        <v>47</v>
      </c>
      <c r="O1" s="36" t="s">
        <v>47</v>
      </c>
      <c r="P1" s="36" t="s">
        <v>47</v>
      </c>
      <c r="Q1" s="36" t="s">
        <v>47</v>
      </c>
      <c r="R1" s="36" t="s">
        <v>47</v>
      </c>
      <c r="S1" s="36" t="s">
        <v>47</v>
      </c>
      <c r="T1" s="36" t="s">
        <v>47</v>
      </c>
      <c r="U1" s="36" t="s">
        <v>47</v>
      </c>
      <c r="Y1" s="36" t="s">
        <v>47</v>
      </c>
      <c r="Z1" s="36" t="s">
        <v>47</v>
      </c>
      <c r="AA1" s="36" t="s">
        <v>47</v>
      </c>
      <c r="AB1" s="36" t="s">
        <v>47</v>
      </c>
      <c r="AC1" s="36" t="s">
        <v>47</v>
      </c>
      <c r="AH1" s="36" t="s">
        <v>47</v>
      </c>
      <c r="AI1" s="36" t="s">
        <v>47</v>
      </c>
      <c r="AJ1" s="36" t="s">
        <v>47</v>
      </c>
      <c r="AK1" s="36" t="s">
        <v>47</v>
      </c>
      <c r="AL1" s="36" t="s">
        <v>47</v>
      </c>
    </row>
    <row r="2" ht="15.75" customHeight="1">
      <c r="A2" s="34" t="s">
        <v>47</v>
      </c>
      <c r="B2" s="35" t="s">
        <v>47</v>
      </c>
      <c r="C2" s="34" t="s">
        <v>45</v>
      </c>
      <c r="D2" s="34" t="s">
        <v>48</v>
      </c>
      <c r="E2" s="34" t="s">
        <v>49</v>
      </c>
      <c r="F2" s="34" t="s">
        <v>50</v>
      </c>
      <c r="G2" s="34" t="s">
        <v>51</v>
      </c>
      <c r="H2" s="34" t="s">
        <v>52</v>
      </c>
      <c r="I2" s="34" t="s">
        <v>53</v>
      </c>
      <c r="J2" s="34" t="s">
        <v>54</v>
      </c>
      <c r="K2" s="34" t="s">
        <v>55</v>
      </c>
      <c r="L2" s="34" t="s">
        <v>56</v>
      </c>
      <c r="M2" s="34" t="s">
        <v>57</v>
      </c>
      <c r="N2" s="34" t="s">
        <v>46</v>
      </c>
      <c r="O2" s="34" t="s">
        <v>58</v>
      </c>
      <c r="P2" s="34" t="s">
        <v>44</v>
      </c>
      <c r="Q2" s="34" t="s">
        <v>59</v>
      </c>
      <c r="R2" s="34" t="s">
        <v>60</v>
      </c>
      <c r="S2" s="34" t="s">
        <v>61</v>
      </c>
      <c r="T2" s="34" t="s">
        <v>62</v>
      </c>
      <c r="U2" s="34" t="s">
        <v>63</v>
      </c>
      <c r="Y2" s="34" t="s">
        <v>64</v>
      </c>
      <c r="Z2" s="34" t="s">
        <v>65</v>
      </c>
      <c r="AA2" s="34" t="s">
        <v>66</v>
      </c>
      <c r="AB2" s="34" t="s">
        <v>67</v>
      </c>
      <c r="AC2" s="34" t="s">
        <v>68</v>
      </c>
      <c r="AH2" s="34" t="s">
        <v>69</v>
      </c>
      <c r="AI2" s="34" t="s">
        <v>70</v>
      </c>
      <c r="AJ2" s="34" t="s">
        <v>71</v>
      </c>
      <c r="AK2" s="34" t="s">
        <v>72</v>
      </c>
      <c r="AL2" s="34" t="s">
        <v>73</v>
      </c>
    </row>
    <row r="3" ht="15.75" customHeight="1">
      <c r="A3" s="36">
        <v>1985</v>
      </c>
      <c r="B3" s="35" t="s">
        <v>49</v>
      </c>
      <c r="C3" s="37">
        <v>6640658.1234948998</v>
      </c>
      <c r="D3" s="34">
        <v>334692.74956039002</v>
      </c>
      <c r="E3" s="37">
        <v>32748752.219218001</v>
      </c>
      <c r="F3" s="37">
        <v>5911722.5038574003</v>
      </c>
      <c r="G3" s="37">
        <v>595157.50959072995</v>
      </c>
      <c r="H3" s="37">
        <v>1649613.8993811</v>
      </c>
      <c r="I3" s="37">
        <v>131117.94337041999</v>
      </c>
      <c r="J3" s="37" t="s">
        <v>8</v>
      </c>
      <c r="K3" s="37">
        <v>1037177.9971152</v>
      </c>
      <c r="L3" s="37">
        <f t="shared" ref="L3:L7" si="8">SUM(M3:AL3)</f>
        <v>215147.6404</v>
      </c>
      <c r="M3" s="34">
        <v>1377.5160266539999</v>
      </c>
      <c r="N3" s="34" t="s">
        <v>8</v>
      </c>
      <c r="O3" s="34" t="s">
        <v>8</v>
      </c>
      <c r="P3" s="34" t="s">
        <v>8</v>
      </c>
      <c r="Q3" s="34">
        <v>6439.0295028014998</v>
      </c>
      <c r="R3" s="34">
        <v>12937.489300226</v>
      </c>
      <c r="S3" s="34">
        <v>4.2081865722655998</v>
      </c>
      <c r="T3" s="34" t="s">
        <v>8</v>
      </c>
      <c r="U3" s="34">
        <v>41.225391046143002</v>
      </c>
      <c r="Y3" s="34">
        <v>30.271406915282999</v>
      </c>
      <c r="Z3" s="34" t="s">
        <v>8</v>
      </c>
      <c r="AA3" s="34">
        <v>1841.7452289978</v>
      </c>
      <c r="AB3" s="34">
        <v>801.19511436768005</v>
      </c>
      <c r="AC3" s="34" t="s">
        <v>8</v>
      </c>
      <c r="AH3" s="34" t="s">
        <v>8</v>
      </c>
      <c r="AI3" s="34">
        <v>0.93086105957030996</v>
      </c>
      <c r="AJ3" s="34">
        <v>1.5183484558106</v>
      </c>
      <c r="AK3" s="34" t="s">
        <v>8</v>
      </c>
      <c r="AL3" s="34">
        <v>191672.51103137</v>
      </c>
    </row>
    <row r="4" ht="15.75" customHeight="1">
      <c r="A4" s="36">
        <v>1985</v>
      </c>
      <c r="B4" s="35" t="s">
        <v>50</v>
      </c>
      <c r="C4" s="37">
        <v>9182233.5997928008</v>
      </c>
      <c r="D4" s="34">
        <v>3370551.7779100998</v>
      </c>
      <c r="E4" s="37">
        <v>3181352.4987276001</v>
      </c>
      <c r="F4" s="37">
        <v>40719446.729897</v>
      </c>
      <c r="G4" s="37">
        <v>386646.90781805001</v>
      </c>
      <c r="H4" s="37">
        <v>4461769.9338386003</v>
      </c>
      <c r="I4" s="37">
        <v>89052.774382806005</v>
      </c>
      <c r="J4" s="37" t="s">
        <v>8</v>
      </c>
      <c r="K4" s="37">
        <v>1369796.9039555001</v>
      </c>
      <c r="L4" s="37">
        <f t="shared" si="8"/>
        <v>133641.0545</v>
      </c>
      <c r="M4" s="34">
        <v>2172.3169566772999</v>
      </c>
      <c r="N4" s="34" t="s">
        <v>8</v>
      </c>
      <c r="O4" s="34" t="s">
        <v>8</v>
      </c>
      <c r="P4" s="34" t="s">
        <v>8</v>
      </c>
      <c r="Q4" s="34">
        <v>14.824047589111</v>
      </c>
      <c r="R4" s="34">
        <v>23307.994951299999</v>
      </c>
      <c r="S4" s="34">
        <v>2.7310441406249999</v>
      </c>
      <c r="T4" s="34" t="s">
        <v>8</v>
      </c>
      <c r="U4" s="34">
        <v>41.226839947510001</v>
      </c>
      <c r="Y4" s="34">
        <v>41.972004290770997</v>
      </c>
      <c r="Z4" s="34" t="s">
        <v>8</v>
      </c>
      <c r="AA4" s="34">
        <v>2010.8362333435</v>
      </c>
      <c r="AB4" s="34">
        <v>1066.1409171204</v>
      </c>
      <c r="AC4" s="34" t="s">
        <v>8</v>
      </c>
      <c r="AH4" s="34" t="s">
        <v>8</v>
      </c>
      <c r="AI4" s="34" t="s">
        <v>8</v>
      </c>
      <c r="AJ4" s="34">
        <v>1.5948858581543</v>
      </c>
      <c r="AK4" s="34" t="s">
        <v>8</v>
      </c>
      <c r="AL4" s="34">
        <v>104981.41664799</v>
      </c>
    </row>
    <row r="5" ht="15.75" customHeight="1">
      <c r="A5" s="36">
        <v>1985</v>
      </c>
      <c r="B5" s="35" t="s">
        <v>69</v>
      </c>
      <c r="C5" s="37" t="s">
        <v>8</v>
      </c>
      <c r="D5" s="34" t="s">
        <v>8</v>
      </c>
      <c r="E5" s="37" t="s">
        <v>8</v>
      </c>
      <c r="F5" s="37" t="s">
        <v>8</v>
      </c>
      <c r="G5" s="37" t="s">
        <v>8</v>
      </c>
      <c r="H5" s="37" t="s">
        <v>8</v>
      </c>
      <c r="I5" s="37" t="s">
        <v>8</v>
      </c>
      <c r="J5" s="37" t="s">
        <v>8</v>
      </c>
      <c r="K5" s="37" t="s">
        <v>8</v>
      </c>
      <c r="L5" s="37">
        <f t="shared" si="8"/>
        <v>0.1784661011</v>
      </c>
      <c r="M5" s="34" t="s">
        <v>8</v>
      </c>
      <c r="N5" s="34" t="s">
        <v>8</v>
      </c>
      <c r="O5" s="34" t="s">
        <v>8</v>
      </c>
      <c r="P5" s="34" t="s">
        <v>8</v>
      </c>
      <c r="Q5" s="34" t="s">
        <v>8</v>
      </c>
      <c r="R5" s="34" t="s">
        <v>8</v>
      </c>
      <c r="S5" s="34" t="s">
        <v>8</v>
      </c>
      <c r="T5" s="34" t="s">
        <v>8</v>
      </c>
      <c r="U5" s="34" t="s">
        <v>8</v>
      </c>
      <c r="Y5" s="34" t="s">
        <v>8</v>
      </c>
      <c r="Z5" s="34" t="s">
        <v>8</v>
      </c>
      <c r="AA5" s="34" t="s">
        <v>8</v>
      </c>
      <c r="AB5" s="34" t="s">
        <v>8</v>
      </c>
      <c r="AC5" s="34" t="s">
        <v>8</v>
      </c>
      <c r="AH5" s="34">
        <v>0.17846610107422001</v>
      </c>
      <c r="AI5" s="34" t="s">
        <v>8</v>
      </c>
      <c r="AJ5" s="34" t="s">
        <v>8</v>
      </c>
      <c r="AK5" s="34" t="s">
        <v>8</v>
      </c>
      <c r="AL5" s="34" t="s">
        <v>8</v>
      </c>
    </row>
    <row r="6" ht="15.75" customHeight="1">
      <c r="A6" s="36">
        <v>1985</v>
      </c>
      <c r="B6" s="35" t="s">
        <v>48</v>
      </c>
      <c r="C6" s="37">
        <v>1574487.0646319999</v>
      </c>
      <c r="D6" s="34">
        <v>17389606.651641</v>
      </c>
      <c r="E6" s="37">
        <v>183642.82244148999</v>
      </c>
      <c r="F6" s="37">
        <v>2489874.6527767</v>
      </c>
      <c r="G6" s="37">
        <v>91164.412490716</v>
      </c>
      <c r="H6" s="37">
        <v>1493830.2921134999</v>
      </c>
      <c r="I6" s="37">
        <v>30597.917795227</v>
      </c>
      <c r="J6" s="37" t="s">
        <v>8</v>
      </c>
      <c r="K6" s="37">
        <v>501182.81692305999</v>
      </c>
      <c r="L6" s="37">
        <f t="shared" si="8"/>
        <v>57095.97696</v>
      </c>
      <c r="M6" s="34">
        <v>2679.5681428954999</v>
      </c>
      <c r="N6" s="34" t="s">
        <v>8</v>
      </c>
      <c r="O6" s="34" t="s">
        <v>8</v>
      </c>
      <c r="P6" s="34" t="s">
        <v>8</v>
      </c>
      <c r="Q6" s="34">
        <v>109.75527589111</v>
      </c>
      <c r="R6" s="34">
        <v>12949.911246465999</v>
      </c>
      <c r="S6" s="34">
        <v>0.79891500854492004</v>
      </c>
      <c r="T6" s="34" t="s">
        <v>8</v>
      </c>
      <c r="U6" s="34">
        <v>12.044716827393</v>
      </c>
      <c r="Y6" s="34">
        <v>55.015802917480997</v>
      </c>
      <c r="Z6" s="34" t="s">
        <v>8</v>
      </c>
      <c r="AA6" s="34">
        <v>2870.7179434386999</v>
      </c>
      <c r="AB6" s="34">
        <v>1214.7600950745</v>
      </c>
      <c r="AC6" s="34" t="s">
        <v>8</v>
      </c>
      <c r="AH6" s="34" t="s">
        <v>8</v>
      </c>
      <c r="AI6" s="34" t="s">
        <v>8</v>
      </c>
      <c r="AJ6" s="34">
        <v>39.439852233887002</v>
      </c>
      <c r="AK6" s="34" t="s">
        <v>8</v>
      </c>
      <c r="AL6" s="34">
        <v>37163.964968426997</v>
      </c>
    </row>
    <row r="7" ht="15.75" customHeight="1">
      <c r="A7" s="36">
        <v>1985</v>
      </c>
      <c r="B7" s="35" t="s">
        <v>51</v>
      </c>
      <c r="C7" s="37">
        <v>29622.562168248998</v>
      </c>
      <c r="D7" s="34">
        <v>10957.498900287001</v>
      </c>
      <c r="E7" s="37">
        <v>40012.079309082001</v>
      </c>
      <c r="F7" s="37">
        <v>23430.796663061999</v>
      </c>
      <c r="G7" s="37">
        <v>343438.98050439998</v>
      </c>
      <c r="H7" s="37">
        <v>37236.433051282002</v>
      </c>
      <c r="I7" s="37">
        <v>6697.3877895203004</v>
      </c>
      <c r="J7" s="37" t="s">
        <v>8</v>
      </c>
      <c r="K7" s="37">
        <v>24046.344274878</v>
      </c>
      <c r="L7" s="37">
        <f t="shared" si="8"/>
        <v>195.0389346</v>
      </c>
      <c r="M7" s="34" t="s">
        <v>8</v>
      </c>
      <c r="N7" s="34" t="s">
        <v>8</v>
      </c>
      <c r="O7" s="34" t="s">
        <v>8</v>
      </c>
      <c r="P7" s="34" t="s">
        <v>8</v>
      </c>
      <c r="Q7" s="34" t="s">
        <v>8</v>
      </c>
      <c r="R7" s="34">
        <v>66.034490087891001</v>
      </c>
      <c r="S7" s="34">
        <v>0.43017806396483999</v>
      </c>
      <c r="T7" s="34" t="s">
        <v>8</v>
      </c>
      <c r="U7" s="34">
        <v>0.086067425537108999</v>
      </c>
      <c r="Y7" s="34" t="s">
        <v>8</v>
      </c>
      <c r="Z7" s="34" t="s">
        <v>8</v>
      </c>
      <c r="AA7" s="34">
        <v>43.315627221680003</v>
      </c>
      <c r="AB7" s="34">
        <v>19.233795544433999</v>
      </c>
      <c r="AC7" s="34" t="s">
        <v>8</v>
      </c>
      <c r="AH7" s="34" t="s">
        <v>8</v>
      </c>
      <c r="AI7" s="34" t="s">
        <v>8</v>
      </c>
      <c r="AJ7" s="34" t="s">
        <v>8</v>
      </c>
      <c r="AK7" s="34" t="s">
        <v>8</v>
      </c>
      <c r="AL7" s="34">
        <v>65.938776306151993</v>
      </c>
    </row>
    <row r="8" ht="15.75" customHeight="1">
      <c r="A8" s="36">
        <v>1985</v>
      </c>
      <c r="B8" s="38" t="s">
        <v>46</v>
      </c>
      <c r="C8" s="1">
        <f t="shared" ref="C8:L8" si="9">C9+C10</f>
        <v>238074.75030000001</v>
      </c>
      <c r="D8" s="21">
        <f t="shared" si="9"/>
        <v>69143.619330000001</v>
      </c>
      <c r="E8" s="1">
        <f t="shared" si="9"/>
        <v>13317.227290000001</v>
      </c>
      <c r="F8" s="1">
        <f t="shared" si="9"/>
        <v>8009.8402999999998</v>
      </c>
      <c r="G8" s="1">
        <f t="shared" si="9"/>
        <v>16550.08094</v>
      </c>
      <c r="H8" s="1">
        <f t="shared" si="9"/>
        <v>3719079.8599999999</v>
      </c>
      <c r="I8" s="1">
        <f t="shared" si="9"/>
        <v>1128412.956</v>
      </c>
      <c r="J8" s="1" t="str">
        <f t="shared" si="9"/>
        <v>#VALUE!</v>
      </c>
      <c r="K8" s="1">
        <f t="shared" si="9"/>
        <v>163736.21780000001</v>
      </c>
      <c r="L8" s="1">
        <f t="shared" si="9"/>
        <v>13732.089760000001</v>
      </c>
    </row>
    <row r="9" ht="15.75" customHeight="1">
      <c r="A9" s="36">
        <v>1985</v>
      </c>
      <c r="B9" s="35" t="s">
        <v>52</v>
      </c>
      <c r="C9" s="37">
        <v>233791.71676124001</v>
      </c>
      <c r="D9" s="34">
        <v>68861.861245727006</v>
      </c>
      <c r="E9" s="37">
        <v>10079.848300299</v>
      </c>
      <c r="F9" s="37">
        <v>7621.5840940856997</v>
      </c>
      <c r="G9" s="37">
        <v>14513.611438964999</v>
      </c>
      <c r="H9" s="37">
        <v>3683857.8563134</v>
      </c>
      <c r="I9" s="37">
        <v>318632.8852889</v>
      </c>
      <c r="J9" s="37" t="s">
        <v>8</v>
      </c>
      <c r="K9" s="37">
        <v>100235.02255435</v>
      </c>
      <c r="L9" s="37">
        <f t="shared" ref="L9:L37" si="10">SUM(M9:AL9)</f>
        <v>7849.9926830000004</v>
      </c>
      <c r="M9" s="34" t="s">
        <v>8</v>
      </c>
      <c r="N9" s="34" t="s">
        <v>8</v>
      </c>
      <c r="O9" s="34" t="s">
        <v>8</v>
      </c>
      <c r="P9" s="34" t="s">
        <v>8</v>
      </c>
      <c r="Q9" s="34" t="s">
        <v>8</v>
      </c>
      <c r="R9" s="34">
        <v>7444.3826139526</v>
      </c>
      <c r="S9" s="34" t="s">
        <v>8</v>
      </c>
      <c r="T9" s="34" t="s">
        <v>8</v>
      </c>
      <c r="U9" s="34">
        <v>0.34357990722656001</v>
      </c>
      <c r="Y9" s="34" t="s">
        <v>8</v>
      </c>
      <c r="Z9" s="34" t="s">
        <v>8</v>
      </c>
      <c r="AA9" s="34" t="s">
        <v>8</v>
      </c>
      <c r="AB9" s="34">
        <v>1.5908748840332001</v>
      </c>
      <c r="AC9" s="34" t="s">
        <v>8</v>
      </c>
      <c r="AH9" s="34" t="s">
        <v>8</v>
      </c>
      <c r="AI9" s="34" t="s">
        <v>8</v>
      </c>
      <c r="AJ9" s="34" t="s">
        <v>8</v>
      </c>
      <c r="AK9" s="34" t="s">
        <v>8</v>
      </c>
      <c r="AL9" s="34">
        <v>403.67561425781003</v>
      </c>
    </row>
    <row r="10" ht="15.75" customHeight="1">
      <c r="A10" s="36">
        <v>1985</v>
      </c>
      <c r="B10" s="35" t="s">
        <v>53</v>
      </c>
      <c r="C10" s="37">
        <v>4283.0335106688999</v>
      </c>
      <c r="D10" s="34">
        <v>281.75808622437</v>
      </c>
      <c r="E10" s="37">
        <v>3237.3789908691001</v>
      </c>
      <c r="F10" s="37">
        <v>388.25620634155001</v>
      </c>
      <c r="G10" s="37">
        <v>2036.469503949</v>
      </c>
      <c r="H10" s="37">
        <v>35222.003454407</v>
      </c>
      <c r="I10" s="37">
        <v>809780.07061716996</v>
      </c>
      <c r="J10" s="37" t="s">
        <v>8</v>
      </c>
      <c r="K10" s="37">
        <v>63501.195291827004</v>
      </c>
      <c r="L10" s="37">
        <f t="shared" si="10"/>
        <v>5882.0970820000002</v>
      </c>
      <c r="M10" s="34" t="s">
        <v>8</v>
      </c>
      <c r="N10" s="34" t="s">
        <v>8</v>
      </c>
      <c r="O10" s="34" t="s">
        <v>8</v>
      </c>
      <c r="P10" s="34" t="s">
        <v>8</v>
      </c>
      <c r="Q10" s="34" t="s">
        <v>8</v>
      </c>
      <c r="R10" s="34">
        <v>5521.7438858094001</v>
      </c>
      <c r="S10" s="34" t="s">
        <v>8</v>
      </c>
      <c r="T10" s="34" t="s">
        <v>8</v>
      </c>
      <c r="U10" s="34">
        <v>0.083043383789062994</v>
      </c>
      <c r="Y10" s="34" t="s">
        <v>8</v>
      </c>
      <c r="Z10" s="34" t="s">
        <v>8</v>
      </c>
      <c r="AA10" s="34" t="s">
        <v>8</v>
      </c>
      <c r="AB10" s="34">
        <v>0.82992174072266001</v>
      </c>
      <c r="AC10" s="34" t="s">
        <v>8</v>
      </c>
      <c r="AH10" s="34" t="s">
        <v>8</v>
      </c>
      <c r="AI10" s="34" t="s">
        <v>8</v>
      </c>
      <c r="AJ10" s="34" t="s">
        <v>8</v>
      </c>
      <c r="AK10" s="34" t="s">
        <v>8</v>
      </c>
      <c r="AL10" s="34">
        <v>359.44023057251002</v>
      </c>
    </row>
    <row r="11" ht="15.75" customHeight="1">
      <c r="A11" s="36">
        <v>1985</v>
      </c>
      <c r="B11" s="35" t="s">
        <v>55</v>
      </c>
      <c r="C11" s="37">
        <v>4896199.9227766003</v>
      </c>
      <c r="D11" s="34">
        <v>1171056.9272399</v>
      </c>
      <c r="E11" s="37">
        <v>650071.80236093001</v>
      </c>
      <c r="F11" s="37">
        <v>1930398.6037316001</v>
      </c>
      <c r="G11" s="37">
        <v>225113.38422596001</v>
      </c>
      <c r="H11" s="37">
        <v>3615675.6720429999</v>
      </c>
      <c r="I11" s="37">
        <v>1103003.5963613</v>
      </c>
      <c r="J11" s="37" t="s">
        <v>8</v>
      </c>
      <c r="K11" s="37">
        <v>8609340.8230569996</v>
      </c>
      <c r="L11" s="37">
        <f t="shared" si="10"/>
        <v>96767.993900000001</v>
      </c>
      <c r="M11" s="34">
        <v>1943.8012818786999</v>
      </c>
      <c r="N11" s="34" t="s">
        <v>8</v>
      </c>
      <c r="O11" s="34" t="s">
        <v>8</v>
      </c>
      <c r="P11" s="34" t="s">
        <v>8</v>
      </c>
      <c r="Q11" s="34">
        <v>1.7862473693848</v>
      </c>
      <c r="R11" s="34">
        <v>56391.440836029004</v>
      </c>
      <c r="S11" s="34">
        <v>1.6162308898926001</v>
      </c>
      <c r="T11" s="34" t="s">
        <v>8</v>
      </c>
      <c r="U11" s="34">
        <v>12.733522717285</v>
      </c>
      <c r="Y11" s="34">
        <v>4.9105706848145001</v>
      </c>
      <c r="Z11" s="34" t="s">
        <v>8</v>
      </c>
      <c r="AA11" s="34">
        <v>986.46983688964997</v>
      </c>
      <c r="AB11" s="34">
        <v>776.13617723388995</v>
      </c>
      <c r="AC11" s="34" t="s">
        <v>8</v>
      </c>
      <c r="AH11" s="34" t="s">
        <v>8</v>
      </c>
      <c r="AI11" s="34" t="s">
        <v>8</v>
      </c>
      <c r="AJ11" s="34">
        <v>0.76052543334960998</v>
      </c>
      <c r="AK11" s="34" t="s">
        <v>8</v>
      </c>
      <c r="AL11" s="34">
        <v>36648.338673566002</v>
      </c>
    </row>
    <row r="12" ht="15.75" customHeight="1">
      <c r="A12" s="36">
        <v>1985</v>
      </c>
      <c r="B12" s="35" t="s">
        <v>45</v>
      </c>
      <c r="C12" s="37">
        <v>24748194.492474999</v>
      </c>
      <c r="D12" s="34">
        <v>404439.37934474001</v>
      </c>
      <c r="E12" s="37">
        <v>980917.70159404003</v>
      </c>
      <c r="F12" s="37">
        <v>1295763.0108409</v>
      </c>
      <c r="G12" s="37">
        <v>721394.33885807998</v>
      </c>
      <c r="H12" s="37">
        <v>4187180.2134543001</v>
      </c>
      <c r="I12" s="37">
        <v>1618112.9598902999</v>
      </c>
      <c r="J12" s="37" t="s">
        <v>8</v>
      </c>
      <c r="K12" s="37">
        <v>2910078.3662103</v>
      </c>
      <c r="L12" s="37">
        <f t="shared" si="10"/>
        <v>135742.32670000001</v>
      </c>
      <c r="M12" s="34" t="s">
        <v>8</v>
      </c>
      <c r="N12" s="34" t="s">
        <v>8</v>
      </c>
      <c r="O12" s="34" t="s">
        <v>8</v>
      </c>
      <c r="P12" s="34" t="s">
        <v>8</v>
      </c>
      <c r="Q12" s="34" t="s">
        <v>8</v>
      </c>
      <c r="R12" s="34">
        <v>80844.798397253995</v>
      </c>
      <c r="S12" s="34">
        <v>1.0955579040526999</v>
      </c>
      <c r="T12" s="34" t="s">
        <v>8</v>
      </c>
      <c r="U12" s="34">
        <v>10.349404425049</v>
      </c>
      <c r="Y12" s="34" t="s">
        <v>8</v>
      </c>
      <c r="Z12" s="34" t="s">
        <v>8</v>
      </c>
      <c r="AA12" s="34">
        <v>255.73134821167</v>
      </c>
      <c r="AB12" s="34">
        <v>1617.0579689819001</v>
      </c>
      <c r="AC12" s="34" t="s">
        <v>8</v>
      </c>
      <c r="AH12" s="34" t="s">
        <v>8</v>
      </c>
      <c r="AI12" s="34" t="s">
        <v>8</v>
      </c>
      <c r="AJ12" s="34" t="s">
        <v>8</v>
      </c>
      <c r="AK12" s="34" t="s">
        <v>8</v>
      </c>
      <c r="AL12" s="34">
        <v>53013.294055767998</v>
      </c>
    </row>
    <row r="13" ht="15.75" customHeight="1">
      <c r="B13" s="38" t="s">
        <v>56</v>
      </c>
      <c r="C13" s="1">
        <f t="shared" ref="C13:K13" si="11">SUM(C16:C37)</f>
        <v>54564.298320000002</v>
      </c>
      <c r="D13" s="21">
        <f t="shared" si="11"/>
        <v>41717.310360000003</v>
      </c>
      <c r="E13" s="1">
        <f t="shared" si="11"/>
        <v>31572.336429999999</v>
      </c>
      <c r="F13" s="1">
        <f t="shared" si="11"/>
        <v>41459.173219999997</v>
      </c>
      <c r="G13" s="1">
        <f t="shared" si="11"/>
        <v>537.13226580000003</v>
      </c>
      <c r="H13" s="1">
        <f t="shared" si="11"/>
        <v>7388.6339189999999</v>
      </c>
      <c r="I13" s="1">
        <f t="shared" si="11"/>
        <v>209.5368407</v>
      </c>
      <c r="J13" s="1">
        <f t="shared" si="11"/>
        <v>0</v>
      </c>
      <c r="K13" s="1">
        <f t="shared" si="11"/>
        <v>41053.279860000002</v>
      </c>
      <c r="L13" s="37">
        <f t="shared" si="10"/>
        <v>1589927.5759999999</v>
      </c>
      <c r="M13" s="21">
        <f t="shared" ref="M13:U13" si="12">SUM(M16:M37)</f>
        <v>91576.001929999999</v>
      </c>
      <c r="N13" s="21">
        <f t="shared" si="12"/>
        <v>0</v>
      </c>
      <c r="O13" s="21">
        <f t="shared" si="12"/>
        <v>0</v>
      </c>
      <c r="P13" s="21">
        <f t="shared" si="12"/>
        <v>0</v>
      </c>
      <c r="Q13" s="21">
        <f t="shared" si="12"/>
        <v>64070.850550000003</v>
      </c>
      <c r="R13" s="21">
        <f t="shared" si="12"/>
        <v>304355.44459999999</v>
      </c>
      <c r="S13" s="21">
        <f t="shared" si="12"/>
        <v>77.329710590000005</v>
      </c>
      <c r="T13" s="21">
        <f t="shared" si="12"/>
        <v>0</v>
      </c>
      <c r="U13" s="21">
        <f t="shared" si="12"/>
        <v>6601.3870180000004</v>
      </c>
      <c r="Y13" s="21">
        <f t="shared" ref="Y13:AC13" si="13">SUM(Y16:Y37)</f>
        <v>1213.70379</v>
      </c>
      <c r="Z13" s="21">
        <f t="shared" si="13"/>
        <v>0</v>
      </c>
      <c r="AA13" s="21">
        <f t="shared" si="13"/>
        <v>61263.502780000003</v>
      </c>
      <c r="AB13" s="21">
        <f t="shared" si="13"/>
        <v>1065.5542909999999</v>
      </c>
      <c r="AC13" s="21">
        <f t="shared" si="13"/>
        <v>0</v>
      </c>
      <c r="AH13" s="21">
        <f t="shared" ref="AH13:AL13" si="14">SUM(AH16:AH37)</f>
        <v>0</v>
      </c>
      <c r="AI13" s="21">
        <f t="shared" si="14"/>
        <v>14.58731304</v>
      </c>
      <c r="AJ13" s="21">
        <f t="shared" si="14"/>
        <v>34175.423349999997</v>
      </c>
      <c r="AK13" s="21">
        <f t="shared" si="14"/>
        <v>0</v>
      </c>
      <c r="AL13" s="21">
        <f t="shared" si="14"/>
        <v>1025513.791</v>
      </c>
    </row>
    <row r="14" ht="15.75" hidden="1" customHeight="1">
      <c r="B14" s="38"/>
      <c r="L14" s="34">
        <f t="shared" si="10"/>
        <v>0</v>
      </c>
    </row>
    <row r="15" ht="15.75" hidden="1" customHeight="1">
      <c r="B15" s="38"/>
      <c r="L15" s="34">
        <f t="shared" si="10"/>
        <v>0</v>
      </c>
    </row>
    <row r="16" ht="15.75" hidden="1" customHeight="1">
      <c r="A16" s="36">
        <v>1985</v>
      </c>
      <c r="B16" s="35" t="s">
        <v>57</v>
      </c>
      <c r="C16" s="34">
        <v>306.19951082763998</v>
      </c>
      <c r="D16" s="34">
        <v>357.54226670532</v>
      </c>
      <c r="E16" s="34">
        <v>41.430357757567997</v>
      </c>
      <c r="F16" s="34">
        <v>1536.1573718933</v>
      </c>
      <c r="G16" s="34" t="s">
        <v>8</v>
      </c>
      <c r="H16" s="34" t="s">
        <v>8</v>
      </c>
      <c r="I16" s="34" t="s">
        <v>8</v>
      </c>
      <c r="J16" s="34" t="s">
        <v>8</v>
      </c>
      <c r="K16" s="34">
        <v>637.89745943603998</v>
      </c>
      <c r="L16" s="34">
        <f t="shared" si="10"/>
        <v>85433.105490000002</v>
      </c>
      <c r="M16" s="34">
        <v>78805.298009575999</v>
      </c>
      <c r="N16" s="34" t="s">
        <v>8</v>
      </c>
      <c r="O16" s="34" t="s">
        <v>8</v>
      </c>
      <c r="P16" s="34" t="s">
        <v>8</v>
      </c>
      <c r="Q16" s="34">
        <v>69.309059106445005</v>
      </c>
      <c r="R16" s="34">
        <v>30.714671801758001</v>
      </c>
      <c r="S16" s="34" t="s">
        <v>8</v>
      </c>
      <c r="T16" s="34" t="s">
        <v>8</v>
      </c>
      <c r="U16" s="34">
        <v>70.823418670653993</v>
      </c>
      <c r="Y16" s="34">
        <v>14.200304937744001</v>
      </c>
      <c r="Z16" s="34" t="s">
        <v>8</v>
      </c>
      <c r="AA16" s="34" t="s">
        <v>8</v>
      </c>
      <c r="AB16" s="34" t="s">
        <v>8</v>
      </c>
      <c r="AC16" s="34" t="s">
        <v>8</v>
      </c>
      <c r="AH16" s="34" t="s">
        <v>8</v>
      </c>
      <c r="AI16" s="34" t="s">
        <v>8</v>
      </c>
      <c r="AJ16" s="34" t="s">
        <v>8</v>
      </c>
      <c r="AK16" s="34" t="s">
        <v>8</v>
      </c>
      <c r="AL16" s="34">
        <v>6442.7600242797998</v>
      </c>
    </row>
    <row r="17" ht="15.75" hidden="1" customHeight="1">
      <c r="A17" s="36">
        <v>1985</v>
      </c>
      <c r="B17" s="35" t="s">
        <v>46</v>
      </c>
      <c r="C17" s="34" t="s">
        <v>8</v>
      </c>
      <c r="D17" s="34" t="s">
        <v>8</v>
      </c>
      <c r="E17" s="34" t="s">
        <v>8</v>
      </c>
      <c r="F17" s="34" t="s">
        <v>8</v>
      </c>
      <c r="G17" s="34" t="s">
        <v>8</v>
      </c>
      <c r="H17" s="34" t="s">
        <v>8</v>
      </c>
      <c r="I17" s="34" t="s">
        <v>8</v>
      </c>
      <c r="J17" s="34" t="s">
        <v>8</v>
      </c>
      <c r="K17" s="34" t="s">
        <v>8</v>
      </c>
      <c r="L17" s="34">
        <f t="shared" si="10"/>
        <v>0</v>
      </c>
      <c r="M17" s="34" t="s">
        <v>8</v>
      </c>
      <c r="N17" s="34" t="s">
        <v>8</v>
      </c>
      <c r="O17" s="34" t="s">
        <v>8</v>
      </c>
      <c r="P17" s="34" t="s">
        <v>8</v>
      </c>
      <c r="Q17" s="34" t="s">
        <v>8</v>
      </c>
      <c r="R17" s="34" t="s">
        <v>8</v>
      </c>
      <c r="S17" s="34" t="s">
        <v>8</v>
      </c>
      <c r="T17" s="34" t="s">
        <v>8</v>
      </c>
      <c r="U17" s="34" t="s">
        <v>8</v>
      </c>
      <c r="Y17" s="34" t="s">
        <v>8</v>
      </c>
      <c r="Z17" s="34" t="s">
        <v>8</v>
      </c>
      <c r="AA17" s="34" t="s">
        <v>8</v>
      </c>
      <c r="AB17" s="34" t="s">
        <v>8</v>
      </c>
      <c r="AC17" s="34" t="s">
        <v>8</v>
      </c>
      <c r="AH17" s="34" t="s">
        <v>8</v>
      </c>
      <c r="AI17" s="34" t="s">
        <v>8</v>
      </c>
      <c r="AJ17" s="34" t="s">
        <v>8</v>
      </c>
      <c r="AK17" s="34" t="s">
        <v>8</v>
      </c>
      <c r="AL17" s="34" t="s">
        <v>8</v>
      </c>
    </row>
    <row r="18" ht="15.75" hidden="1" customHeight="1">
      <c r="A18" s="36">
        <v>1985</v>
      </c>
      <c r="B18" s="35" t="s">
        <v>58</v>
      </c>
      <c r="C18" s="34" t="s">
        <v>8</v>
      </c>
      <c r="D18" s="34" t="s">
        <v>8</v>
      </c>
      <c r="E18" s="34" t="s">
        <v>8</v>
      </c>
      <c r="F18" s="34" t="s">
        <v>8</v>
      </c>
      <c r="G18" s="34" t="s">
        <v>8</v>
      </c>
      <c r="H18" s="34" t="s">
        <v>8</v>
      </c>
      <c r="I18" s="34" t="s">
        <v>8</v>
      </c>
      <c r="J18" s="34" t="s">
        <v>8</v>
      </c>
      <c r="K18" s="34" t="s">
        <v>8</v>
      </c>
      <c r="L18" s="34">
        <f t="shared" si="10"/>
        <v>0</v>
      </c>
      <c r="M18" s="34" t="s">
        <v>8</v>
      </c>
      <c r="N18" s="34" t="s">
        <v>8</v>
      </c>
      <c r="O18" s="34" t="s">
        <v>8</v>
      </c>
      <c r="P18" s="34" t="s">
        <v>8</v>
      </c>
      <c r="Q18" s="34" t="s">
        <v>8</v>
      </c>
      <c r="R18" s="34" t="s">
        <v>8</v>
      </c>
      <c r="S18" s="34" t="s">
        <v>8</v>
      </c>
      <c r="T18" s="34" t="s">
        <v>8</v>
      </c>
      <c r="U18" s="34" t="s">
        <v>8</v>
      </c>
      <c r="Y18" s="34" t="s">
        <v>8</v>
      </c>
      <c r="Z18" s="34" t="s">
        <v>8</v>
      </c>
      <c r="AA18" s="34" t="s">
        <v>8</v>
      </c>
      <c r="AB18" s="34" t="s">
        <v>8</v>
      </c>
      <c r="AC18" s="34" t="s">
        <v>8</v>
      </c>
      <c r="AH18" s="34" t="s">
        <v>8</v>
      </c>
      <c r="AI18" s="34" t="s">
        <v>8</v>
      </c>
      <c r="AJ18" s="34" t="s">
        <v>8</v>
      </c>
      <c r="AK18" s="34" t="s">
        <v>8</v>
      </c>
      <c r="AL18" s="34" t="s">
        <v>8</v>
      </c>
    </row>
    <row r="19" ht="15.75" hidden="1" customHeight="1">
      <c r="A19" s="36">
        <v>1985</v>
      </c>
      <c r="B19" s="35" t="s">
        <v>44</v>
      </c>
      <c r="C19" s="34" t="s">
        <v>8</v>
      </c>
      <c r="D19" s="34" t="s">
        <v>8</v>
      </c>
      <c r="E19" s="34" t="s">
        <v>8</v>
      </c>
      <c r="F19" s="34" t="s">
        <v>8</v>
      </c>
      <c r="G19" s="34" t="s">
        <v>8</v>
      </c>
      <c r="H19" s="34" t="s">
        <v>8</v>
      </c>
      <c r="I19" s="34" t="s">
        <v>8</v>
      </c>
      <c r="J19" s="34" t="s">
        <v>8</v>
      </c>
      <c r="K19" s="34" t="s">
        <v>8</v>
      </c>
      <c r="L19" s="34">
        <f t="shared" si="10"/>
        <v>0</v>
      </c>
      <c r="M19" s="34" t="s">
        <v>8</v>
      </c>
      <c r="N19" s="34" t="s">
        <v>8</v>
      </c>
      <c r="O19" s="34" t="s">
        <v>8</v>
      </c>
      <c r="P19" s="34" t="s">
        <v>8</v>
      </c>
      <c r="Q19" s="34" t="s">
        <v>8</v>
      </c>
      <c r="R19" s="34" t="s">
        <v>8</v>
      </c>
      <c r="S19" s="34" t="s">
        <v>8</v>
      </c>
      <c r="T19" s="34" t="s">
        <v>8</v>
      </c>
      <c r="U19" s="34" t="s">
        <v>8</v>
      </c>
      <c r="Y19" s="34" t="s">
        <v>8</v>
      </c>
      <c r="Z19" s="34" t="s">
        <v>8</v>
      </c>
      <c r="AA19" s="34" t="s">
        <v>8</v>
      </c>
      <c r="AB19" s="34" t="s">
        <v>8</v>
      </c>
      <c r="AC19" s="34" t="s">
        <v>8</v>
      </c>
      <c r="AH19" s="34" t="s">
        <v>8</v>
      </c>
      <c r="AI19" s="34" t="s">
        <v>8</v>
      </c>
      <c r="AJ19" s="34" t="s">
        <v>8</v>
      </c>
      <c r="AK19" s="34" t="s">
        <v>8</v>
      </c>
      <c r="AL19" s="34" t="s">
        <v>8</v>
      </c>
    </row>
    <row r="20" ht="15.75" hidden="1" customHeight="1">
      <c r="A20" s="36">
        <v>1985</v>
      </c>
      <c r="B20" s="35" t="s">
        <v>59</v>
      </c>
      <c r="C20" s="34">
        <v>8.3931282592773009</v>
      </c>
      <c r="D20" s="34">
        <v>27.951086395263999</v>
      </c>
      <c r="E20" s="34">
        <v>1245.6445475342</v>
      </c>
      <c r="F20" s="34">
        <v>113.41277747191999</v>
      </c>
      <c r="G20" s="34" t="s">
        <v>8</v>
      </c>
      <c r="H20" s="34" t="s">
        <v>8</v>
      </c>
      <c r="I20" s="34" t="s">
        <v>8</v>
      </c>
      <c r="J20" s="34" t="s">
        <v>8</v>
      </c>
      <c r="K20" s="34">
        <v>0.98226637573242004</v>
      </c>
      <c r="L20" s="34">
        <f t="shared" si="10"/>
        <v>62370.167710000002</v>
      </c>
      <c r="M20" s="34">
        <v>395.72673418579001</v>
      </c>
      <c r="N20" s="34" t="s">
        <v>8</v>
      </c>
      <c r="O20" s="34" t="s">
        <v>8</v>
      </c>
      <c r="P20" s="34" t="s">
        <v>8</v>
      </c>
      <c r="Q20" s="34">
        <v>61054.762810485998</v>
      </c>
      <c r="R20" s="34" t="s">
        <v>8</v>
      </c>
      <c r="S20" s="34" t="s">
        <v>8</v>
      </c>
      <c r="T20" s="34" t="s">
        <v>8</v>
      </c>
      <c r="U20" s="34">
        <v>0.80376389160156003</v>
      </c>
      <c r="Y20" s="34">
        <v>7.9476601135253997</v>
      </c>
      <c r="Z20" s="34" t="s">
        <v>8</v>
      </c>
      <c r="AA20" s="34" t="s">
        <v>8</v>
      </c>
      <c r="AB20" s="34" t="s">
        <v>8</v>
      </c>
      <c r="AC20" s="34" t="s">
        <v>8</v>
      </c>
      <c r="AH20" s="34" t="s">
        <v>8</v>
      </c>
      <c r="AI20" s="34" t="s">
        <v>8</v>
      </c>
      <c r="AJ20" s="34" t="s">
        <v>8</v>
      </c>
      <c r="AK20" s="34" t="s">
        <v>8</v>
      </c>
      <c r="AL20" s="34">
        <v>910.92673995360997</v>
      </c>
    </row>
    <row r="21" ht="15.75" hidden="1" customHeight="1">
      <c r="A21" s="36">
        <v>1985</v>
      </c>
      <c r="B21" s="35" t="s">
        <v>60</v>
      </c>
      <c r="C21" s="34">
        <v>2727.2912579529002</v>
      </c>
      <c r="D21" s="34">
        <v>1283.9443811706999</v>
      </c>
      <c r="E21" s="34">
        <v>168.27292617187001</v>
      </c>
      <c r="F21" s="34">
        <v>636.83931484375</v>
      </c>
      <c r="G21" s="34">
        <v>8.6294963867188006</v>
      </c>
      <c r="H21" s="34">
        <v>364.50515925902999</v>
      </c>
      <c r="I21" s="34">
        <v>27.691991076659999</v>
      </c>
      <c r="J21" s="34" t="s">
        <v>8</v>
      </c>
      <c r="K21" s="34">
        <v>2779.5284360718001</v>
      </c>
      <c r="L21" s="34">
        <f t="shared" si="10"/>
        <v>304383.50750000001</v>
      </c>
      <c r="M21" s="34">
        <v>4.3755710693358996</v>
      </c>
      <c r="N21" s="34" t="s">
        <v>8</v>
      </c>
      <c r="O21" s="34" t="s">
        <v>8</v>
      </c>
      <c r="P21" s="34" t="s">
        <v>8</v>
      </c>
      <c r="Q21" s="34" t="s">
        <v>8</v>
      </c>
      <c r="R21" s="34">
        <v>304197.37133549998</v>
      </c>
      <c r="S21" s="34" t="s">
        <v>8</v>
      </c>
      <c r="T21" s="34" t="s">
        <v>8</v>
      </c>
      <c r="U21" s="34">
        <v>0.082761181640625001</v>
      </c>
      <c r="Y21" s="34" t="s">
        <v>8</v>
      </c>
      <c r="Z21" s="34" t="s">
        <v>8</v>
      </c>
      <c r="AA21" s="34">
        <v>1.112934967041</v>
      </c>
      <c r="AB21" s="34">
        <v>42.374251617432002</v>
      </c>
      <c r="AC21" s="34" t="s">
        <v>8</v>
      </c>
      <c r="AH21" s="34" t="s">
        <v>8</v>
      </c>
      <c r="AI21" s="34" t="s">
        <v>8</v>
      </c>
      <c r="AJ21" s="34" t="s">
        <v>8</v>
      </c>
      <c r="AK21" s="34" t="s">
        <v>8</v>
      </c>
      <c r="AL21" s="34">
        <v>138.19065088501</v>
      </c>
    </row>
    <row r="22" ht="15.75" hidden="1" customHeight="1">
      <c r="A22" s="36">
        <v>1985</v>
      </c>
      <c r="B22" s="35" t="s">
        <v>61</v>
      </c>
      <c r="C22" s="34">
        <v>1.9776513305664001</v>
      </c>
      <c r="D22" s="34">
        <v>1.2106197265625001</v>
      </c>
      <c r="E22" s="34">
        <v>6.3556592590332004</v>
      </c>
      <c r="F22" s="34">
        <v>1.7457490783691001</v>
      </c>
      <c r="G22" s="34">
        <v>3.4993496704101998</v>
      </c>
      <c r="H22" s="34">
        <v>1.0285165527344</v>
      </c>
      <c r="I22" s="34">
        <v>1.0935747436523</v>
      </c>
      <c r="J22" s="34" t="s">
        <v>8</v>
      </c>
      <c r="K22" s="34">
        <v>10.620119726562001</v>
      </c>
      <c r="L22" s="34">
        <f t="shared" si="10"/>
        <v>75.752727219999997</v>
      </c>
      <c r="M22" s="34" t="s">
        <v>8</v>
      </c>
      <c r="N22" s="34" t="s">
        <v>8</v>
      </c>
      <c r="O22" s="34" t="s">
        <v>8</v>
      </c>
      <c r="P22" s="34" t="s">
        <v>8</v>
      </c>
      <c r="Q22" s="34" t="s">
        <v>8</v>
      </c>
      <c r="R22" s="34">
        <v>0.41979450073241997</v>
      </c>
      <c r="S22" s="34">
        <v>74.216838201903997</v>
      </c>
      <c r="T22" s="34" t="s">
        <v>8</v>
      </c>
      <c r="U22" s="34" t="s">
        <v>8</v>
      </c>
      <c r="Y22" s="34">
        <v>0.089314642333984007</v>
      </c>
      <c r="Z22" s="34" t="s">
        <v>8</v>
      </c>
      <c r="AA22" s="34">
        <v>0.16841737060546999</v>
      </c>
      <c r="AB22" s="34" t="s">
        <v>8</v>
      </c>
      <c r="AC22" s="34" t="s">
        <v>8</v>
      </c>
      <c r="AH22" s="34" t="s">
        <v>8</v>
      </c>
      <c r="AI22" s="34" t="s">
        <v>8</v>
      </c>
      <c r="AJ22" s="34" t="s">
        <v>8</v>
      </c>
      <c r="AK22" s="34" t="s">
        <v>8</v>
      </c>
      <c r="AL22" s="34">
        <v>0.85836250000000003</v>
      </c>
    </row>
    <row r="23" ht="15.75" hidden="1" customHeight="1">
      <c r="A23" s="36">
        <v>1985</v>
      </c>
      <c r="B23" s="35" t="s">
        <v>62</v>
      </c>
      <c r="C23" s="34" t="s">
        <v>8</v>
      </c>
      <c r="D23" s="34" t="s">
        <v>8</v>
      </c>
      <c r="E23" s="34" t="s">
        <v>8</v>
      </c>
      <c r="F23" s="34" t="s">
        <v>8</v>
      </c>
      <c r="G23" s="34" t="s">
        <v>8</v>
      </c>
      <c r="H23" s="34" t="s">
        <v>8</v>
      </c>
      <c r="I23" s="34" t="s">
        <v>8</v>
      </c>
      <c r="J23" s="34" t="s">
        <v>8</v>
      </c>
      <c r="K23" s="34" t="s">
        <v>8</v>
      </c>
      <c r="L23" s="34">
        <f t="shared" si="10"/>
        <v>0</v>
      </c>
      <c r="M23" s="34" t="s">
        <v>8</v>
      </c>
      <c r="N23" s="34" t="s">
        <v>8</v>
      </c>
      <c r="O23" s="34" t="s">
        <v>8</v>
      </c>
      <c r="P23" s="34" t="s">
        <v>8</v>
      </c>
      <c r="Q23" s="34" t="s">
        <v>8</v>
      </c>
      <c r="R23" s="34" t="s">
        <v>8</v>
      </c>
      <c r="S23" s="34" t="s">
        <v>8</v>
      </c>
      <c r="T23" s="34" t="s">
        <v>8</v>
      </c>
      <c r="U23" s="34" t="s">
        <v>8</v>
      </c>
      <c r="Y23" s="34" t="s">
        <v>8</v>
      </c>
      <c r="Z23" s="34" t="s">
        <v>8</v>
      </c>
      <c r="AA23" s="34" t="s">
        <v>8</v>
      </c>
      <c r="AB23" s="34" t="s">
        <v>8</v>
      </c>
      <c r="AC23" s="34" t="s">
        <v>8</v>
      </c>
      <c r="AH23" s="34" t="s">
        <v>8</v>
      </c>
      <c r="AI23" s="34" t="s">
        <v>8</v>
      </c>
      <c r="AJ23" s="34" t="s">
        <v>8</v>
      </c>
      <c r="AK23" s="34" t="s">
        <v>8</v>
      </c>
      <c r="AL23" s="34" t="s">
        <v>8</v>
      </c>
    </row>
    <row r="24" ht="15.75" hidden="1" customHeight="1">
      <c r="A24" s="36">
        <v>1985</v>
      </c>
      <c r="B24" s="35" t="s">
        <v>63</v>
      </c>
      <c r="C24" s="34">
        <v>17.135784692383002</v>
      </c>
      <c r="D24" s="34">
        <v>6.1694493652344002</v>
      </c>
      <c r="E24" s="34">
        <v>15.76759911499</v>
      </c>
      <c r="F24" s="34">
        <v>18.217091857909999</v>
      </c>
      <c r="G24" s="34">
        <v>0.93146700439453001</v>
      </c>
      <c r="H24" s="34">
        <v>5.3424885375977</v>
      </c>
      <c r="I24" s="34">
        <v>0.50488153076172004</v>
      </c>
      <c r="J24" s="34" t="s">
        <v>8</v>
      </c>
      <c r="K24" s="34">
        <v>8.9157261352538999</v>
      </c>
      <c r="L24" s="34">
        <f t="shared" si="10"/>
        <v>6551.0957689999996</v>
      </c>
      <c r="M24" s="34">
        <v>13.931154608153999</v>
      </c>
      <c r="N24" s="34" t="s">
        <v>8</v>
      </c>
      <c r="O24" s="34" t="s">
        <v>8</v>
      </c>
      <c r="P24" s="34" t="s">
        <v>8</v>
      </c>
      <c r="Q24" s="34">
        <v>1.6074542175293001</v>
      </c>
      <c r="R24" s="34">
        <v>1.1661789428711</v>
      </c>
      <c r="S24" s="34" t="s">
        <v>8</v>
      </c>
      <c r="T24" s="34" t="s">
        <v>8</v>
      </c>
      <c r="U24" s="34">
        <v>6516.5005418639003</v>
      </c>
      <c r="Y24" s="34" t="s">
        <v>8</v>
      </c>
      <c r="Z24" s="34" t="s">
        <v>8</v>
      </c>
      <c r="AA24" s="34">
        <v>0.59658809204102003</v>
      </c>
      <c r="AB24" s="34" t="s">
        <v>8</v>
      </c>
      <c r="AC24" s="34" t="s">
        <v>8</v>
      </c>
      <c r="AH24" s="34" t="s">
        <v>8</v>
      </c>
      <c r="AI24" s="34" t="s">
        <v>8</v>
      </c>
      <c r="AJ24" s="34" t="s">
        <v>8</v>
      </c>
      <c r="AK24" s="34" t="s">
        <v>8</v>
      </c>
      <c r="AL24" s="34">
        <v>17.293851043701</v>
      </c>
    </row>
    <row r="25" ht="15.75" hidden="1" customHeight="1">
      <c r="B25" s="38"/>
      <c r="L25" s="34">
        <f t="shared" si="10"/>
        <v>0</v>
      </c>
    </row>
    <row r="26" ht="15.75" hidden="1" customHeight="1">
      <c r="B26" s="38"/>
      <c r="L26" s="34">
        <f t="shared" si="10"/>
        <v>0</v>
      </c>
    </row>
    <row r="27" ht="15.75" hidden="1" customHeight="1">
      <c r="B27" s="38"/>
      <c r="L27" s="34">
        <f t="shared" si="10"/>
        <v>0</v>
      </c>
    </row>
    <row r="28" ht="15.75" hidden="1" customHeight="1">
      <c r="A28" s="36">
        <v>1985</v>
      </c>
      <c r="B28" s="35" t="s">
        <v>64</v>
      </c>
      <c r="C28" s="34">
        <v>0.44644481201171998</v>
      </c>
      <c r="D28" s="34">
        <v>4.0176643981933999</v>
      </c>
      <c r="E28" s="34">
        <v>40.181766033936</v>
      </c>
      <c r="F28" s="34">
        <v>2.5896733337401998</v>
      </c>
      <c r="G28" s="34" t="s">
        <v>8</v>
      </c>
      <c r="H28" s="34" t="s">
        <v>8</v>
      </c>
      <c r="I28" s="34" t="s">
        <v>8</v>
      </c>
      <c r="J28" s="34" t="s">
        <v>8</v>
      </c>
      <c r="K28" s="34">
        <v>4.6426349426269002</v>
      </c>
      <c r="L28" s="34">
        <f t="shared" si="10"/>
        <v>1681.510769</v>
      </c>
      <c r="M28" s="34">
        <v>3.0359594604492002</v>
      </c>
      <c r="N28" s="34" t="s">
        <v>8</v>
      </c>
      <c r="O28" s="34" t="s">
        <v>8</v>
      </c>
      <c r="P28" s="34" t="s">
        <v>8</v>
      </c>
      <c r="Q28" s="34">
        <v>374.69126458739998</v>
      </c>
      <c r="R28" s="34" t="s">
        <v>8</v>
      </c>
      <c r="S28" s="34">
        <v>0.26783817138672</v>
      </c>
      <c r="T28" s="34" t="s">
        <v>8</v>
      </c>
      <c r="U28" s="34" t="s">
        <v>8</v>
      </c>
      <c r="Y28" s="34">
        <v>1035.7092937744001</v>
      </c>
      <c r="Z28" s="34" t="s">
        <v>8</v>
      </c>
      <c r="AA28" s="34" t="s">
        <v>8</v>
      </c>
      <c r="AB28" s="34" t="s">
        <v>8</v>
      </c>
      <c r="AC28" s="34" t="s">
        <v>8</v>
      </c>
      <c r="AH28" s="34" t="s">
        <v>8</v>
      </c>
      <c r="AI28" s="34" t="s">
        <v>8</v>
      </c>
      <c r="AJ28" s="34" t="s">
        <v>8</v>
      </c>
      <c r="AK28" s="34" t="s">
        <v>8</v>
      </c>
      <c r="AL28" s="34">
        <v>267.80641301269998</v>
      </c>
    </row>
    <row r="29" ht="15.75" hidden="1" customHeight="1">
      <c r="A29" s="36">
        <v>1985</v>
      </c>
      <c r="B29" s="35" t="s">
        <v>65</v>
      </c>
      <c r="C29" s="34" t="s">
        <v>8</v>
      </c>
      <c r="D29" s="34" t="s">
        <v>8</v>
      </c>
      <c r="E29" s="34" t="s">
        <v>8</v>
      </c>
      <c r="F29" s="34" t="s">
        <v>8</v>
      </c>
      <c r="G29" s="34" t="s">
        <v>8</v>
      </c>
      <c r="H29" s="34" t="s">
        <v>8</v>
      </c>
      <c r="I29" s="34" t="s">
        <v>8</v>
      </c>
      <c r="J29" s="34" t="s">
        <v>8</v>
      </c>
      <c r="K29" s="34" t="s">
        <v>8</v>
      </c>
      <c r="L29" s="34">
        <f t="shared" si="10"/>
        <v>0</v>
      </c>
      <c r="M29" s="34" t="s">
        <v>8</v>
      </c>
      <c r="N29" s="34" t="s">
        <v>8</v>
      </c>
      <c r="O29" s="34" t="s">
        <v>8</v>
      </c>
      <c r="P29" s="34" t="s">
        <v>8</v>
      </c>
      <c r="Q29" s="34" t="s">
        <v>8</v>
      </c>
      <c r="R29" s="34" t="s">
        <v>8</v>
      </c>
      <c r="S29" s="34" t="s">
        <v>8</v>
      </c>
      <c r="T29" s="34" t="s">
        <v>8</v>
      </c>
      <c r="U29" s="34" t="s">
        <v>8</v>
      </c>
      <c r="Y29" s="34" t="s">
        <v>8</v>
      </c>
      <c r="Z29" s="34" t="s">
        <v>8</v>
      </c>
      <c r="AA29" s="34" t="s">
        <v>8</v>
      </c>
      <c r="AB29" s="34" t="s">
        <v>8</v>
      </c>
      <c r="AC29" s="34" t="s">
        <v>8</v>
      </c>
      <c r="AH29" s="34" t="s">
        <v>8</v>
      </c>
      <c r="AI29" s="34" t="s">
        <v>8</v>
      </c>
      <c r="AJ29" s="34" t="s">
        <v>8</v>
      </c>
      <c r="AK29" s="34" t="s">
        <v>8</v>
      </c>
      <c r="AL29" s="34" t="s">
        <v>8</v>
      </c>
    </row>
    <row r="30" ht="15.75" hidden="1" customHeight="1">
      <c r="A30" s="36">
        <v>1985</v>
      </c>
      <c r="B30" s="35" t="s">
        <v>66</v>
      </c>
      <c r="C30" s="34">
        <v>154.58323530273</v>
      </c>
      <c r="D30" s="34">
        <v>2457.0916808777001</v>
      </c>
      <c r="E30" s="34">
        <v>709.84377518310998</v>
      </c>
      <c r="F30" s="34">
        <v>690.59415067139003</v>
      </c>
      <c r="G30" s="34">
        <v>234.87001072998001</v>
      </c>
      <c r="H30" s="34">
        <v>238.54976090698</v>
      </c>
      <c r="I30" s="34" t="s">
        <v>8</v>
      </c>
      <c r="J30" s="34" t="s">
        <v>8</v>
      </c>
      <c r="K30" s="34">
        <v>143.83244417114</v>
      </c>
      <c r="L30" s="34">
        <f t="shared" si="10"/>
        <v>61257.650090000003</v>
      </c>
      <c r="M30" s="34" t="s">
        <v>8</v>
      </c>
      <c r="N30" s="34" t="s">
        <v>8</v>
      </c>
      <c r="O30" s="34" t="s">
        <v>8</v>
      </c>
      <c r="P30" s="34" t="s">
        <v>8</v>
      </c>
      <c r="Q30" s="34" t="s">
        <v>8</v>
      </c>
      <c r="R30" s="34">
        <v>0.76644965209961002</v>
      </c>
      <c r="S30" s="34" t="s">
        <v>8</v>
      </c>
      <c r="T30" s="34" t="s">
        <v>8</v>
      </c>
      <c r="U30" s="34">
        <v>0.17194060668944999</v>
      </c>
      <c r="Y30" s="34" t="s">
        <v>8</v>
      </c>
      <c r="Z30" s="34" t="s">
        <v>8</v>
      </c>
      <c r="AA30" s="34">
        <v>61254.729498334003</v>
      </c>
      <c r="AB30" s="34">
        <v>0.34051386718749999</v>
      </c>
      <c r="AC30" s="34" t="s">
        <v>8</v>
      </c>
      <c r="AH30" s="34" t="s">
        <v>8</v>
      </c>
      <c r="AI30" s="34" t="s">
        <v>8</v>
      </c>
      <c r="AJ30" s="34">
        <v>0.085048388671875003</v>
      </c>
      <c r="AK30" s="34" t="s">
        <v>8</v>
      </c>
      <c r="AL30" s="34">
        <v>1.5566366271973</v>
      </c>
    </row>
    <row r="31" ht="15.75" hidden="1" customHeight="1">
      <c r="A31" s="36">
        <v>1985</v>
      </c>
      <c r="B31" s="35" t="s">
        <v>67</v>
      </c>
      <c r="C31" s="34">
        <v>59.947013970946998</v>
      </c>
      <c r="D31" s="34">
        <v>136.61953113403001</v>
      </c>
      <c r="E31" s="34">
        <v>159.91890279540999</v>
      </c>
      <c r="F31" s="34">
        <v>19.494807171630999</v>
      </c>
      <c r="G31" s="34">
        <v>9.7375924072266002</v>
      </c>
      <c r="H31" s="34">
        <v>128.72843704834</v>
      </c>
      <c r="I31" s="34">
        <v>97.755948345947004</v>
      </c>
      <c r="J31" s="34" t="s">
        <v>8</v>
      </c>
      <c r="K31" s="34">
        <v>280.46670019531001</v>
      </c>
      <c r="L31" s="34">
        <f t="shared" si="10"/>
        <v>1101.6804959999999</v>
      </c>
      <c r="M31" s="34" t="s">
        <v>8</v>
      </c>
      <c r="N31" s="34" t="s">
        <v>8</v>
      </c>
      <c r="O31" s="34" t="s">
        <v>8</v>
      </c>
      <c r="P31" s="34" t="s">
        <v>8</v>
      </c>
      <c r="Q31" s="34" t="s">
        <v>8</v>
      </c>
      <c r="R31" s="34">
        <v>33.302368249512</v>
      </c>
      <c r="S31" s="34" t="s">
        <v>8</v>
      </c>
      <c r="T31" s="34" t="s">
        <v>8</v>
      </c>
      <c r="U31" s="34" t="s">
        <v>8</v>
      </c>
      <c r="Y31" s="34" t="s">
        <v>8</v>
      </c>
      <c r="Z31" s="34" t="s">
        <v>8</v>
      </c>
      <c r="AA31" s="34" t="s">
        <v>8</v>
      </c>
      <c r="AB31" s="34">
        <v>998.87881295166005</v>
      </c>
      <c r="AC31" s="34" t="s">
        <v>8</v>
      </c>
      <c r="AH31" s="34" t="s">
        <v>8</v>
      </c>
      <c r="AI31" s="34" t="s">
        <v>8</v>
      </c>
      <c r="AJ31" s="34" t="s">
        <v>8</v>
      </c>
      <c r="AK31" s="34" t="s">
        <v>8</v>
      </c>
      <c r="AL31" s="34">
        <v>69.499314440917999</v>
      </c>
    </row>
    <row r="32" ht="15.75" hidden="1" customHeight="1">
      <c r="A32" s="36">
        <v>1985</v>
      </c>
      <c r="B32" s="35" t="s">
        <v>68</v>
      </c>
      <c r="C32" s="34" t="s">
        <v>8</v>
      </c>
      <c r="D32" s="34" t="s">
        <v>8</v>
      </c>
      <c r="E32" s="34" t="s">
        <v>8</v>
      </c>
      <c r="F32" s="34" t="s">
        <v>8</v>
      </c>
      <c r="G32" s="34" t="s">
        <v>8</v>
      </c>
      <c r="H32" s="34" t="s">
        <v>8</v>
      </c>
      <c r="I32" s="34" t="s">
        <v>8</v>
      </c>
      <c r="J32" s="34" t="s">
        <v>8</v>
      </c>
      <c r="K32" s="34" t="s">
        <v>8</v>
      </c>
      <c r="L32" s="34">
        <f t="shared" si="10"/>
        <v>0</v>
      </c>
      <c r="M32" s="34" t="s">
        <v>8</v>
      </c>
      <c r="N32" s="34" t="s">
        <v>8</v>
      </c>
      <c r="O32" s="34" t="s">
        <v>8</v>
      </c>
      <c r="P32" s="34" t="s">
        <v>8</v>
      </c>
      <c r="Q32" s="34" t="s">
        <v>8</v>
      </c>
      <c r="R32" s="34" t="s">
        <v>8</v>
      </c>
      <c r="S32" s="34" t="s">
        <v>8</v>
      </c>
      <c r="T32" s="34" t="s">
        <v>8</v>
      </c>
      <c r="U32" s="34" t="s">
        <v>8</v>
      </c>
      <c r="Y32" s="34" t="s">
        <v>8</v>
      </c>
      <c r="Z32" s="34" t="s">
        <v>8</v>
      </c>
      <c r="AA32" s="34" t="s">
        <v>8</v>
      </c>
      <c r="AB32" s="34" t="s">
        <v>8</v>
      </c>
      <c r="AC32" s="34" t="s">
        <v>8</v>
      </c>
      <c r="AH32" s="34" t="s">
        <v>8</v>
      </c>
      <c r="AI32" s="34" t="s">
        <v>8</v>
      </c>
      <c r="AJ32" s="34" t="s">
        <v>8</v>
      </c>
      <c r="AK32" s="34" t="s">
        <v>8</v>
      </c>
      <c r="AL32" s="34" t="s">
        <v>8</v>
      </c>
    </row>
    <row r="33" ht="15.75" hidden="1" customHeight="1">
      <c r="A33" s="36">
        <v>1985</v>
      </c>
      <c r="B33" s="35" t="s">
        <v>54</v>
      </c>
      <c r="C33" s="34" t="s">
        <v>8</v>
      </c>
      <c r="D33" s="34" t="s">
        <v>8</v>
      </c>
      <c r="E33" s="34" t="s">
        <v>8</v>
      </c>
      <c r="F33" s="34" t="s">
        <v>8</v>
      </c>
      <c r="G33" s="34" t="s">
        <v>8</v>
      </c>
      <c r="H33" s="34" t="s">
        <v>8</v>
      </c>
      <c r="I33" s="34" t="s">
        <v>8</v>
      </c>
      <c r="J33" s="34" t="s">
        <v>8</v>
      </c>
      <c r="K33" s="34" t="s">
        <v>8</v>
      </c>
      <c r="L33" s="34">
        <f t="shared" si="10"/>
        <v>0</v>
      </c>
      <c r="M33" s="34" t="s">
        <v>8</v>
      </c>
      <c r="N33" s="34" t="s">
        <v>8</v>
      </c>
      <c r="O33" s="34" t="s">
        <v>8</v>
      </c>
      <c r="P33" s="34" t="s">
        <v>8</v>
      </c>
      <c r="Q33" s="34" t="s">
        <v>8</v>
      </c>
      <c r="R33" s="34" t="s">
        <v>8</v>
      </c>
      <c r="S33" s="34" t="s">
        <v>8</v>
      </c>
      <c r="T33" s="34" t="s">
        <v>8</v>
      </c>
      <c r="U33" s="34" t="s">
        <v>8</v>
      </c>
      <c r="Y33" s="34" t="s">
        <v>8</v>
      </c>
      <c r="Z33" s="34" t="s">
        <v>8</v>
      </c>
      <c r="AA33" s="34" t="s">
        <v>8</v>
      </c>
      <c r="AB33" s="34" t="s">
        <v>8</v>
      </c>
      <c r="AC33" s="34" t="s">
        <v>8</v>
      </c>
      <c r="AH33" s="34" t="s">
        <v>8</v>
      </c>
      <c r="AI33" s="34" t="s">
        <v>8</v>
      </c>
      <c r="AJ33" s="34" t="s">
        <v>8</v>
      </c>
      <c r="AK33" s="34" t="s">
        <v>8</v>
      </c>
      <c r="AL33" s="34" t="s">
        <v>8</v>
      </c>
    </row>
    <row r="34" ht="15.75" hidden="1" customHeight="1">
      <c r="A34" s="36">
        <v>1985</v>
      </c>
      <c r="B34" s="35" t="s">
        <v>70</v>
      </c>
      <c r="C34" s="34">
        <v>1.4326721374511999</v>
      </c>
      <c r="D34" s="34">
        <v>5.7882294128418001</v>
      </c>
      <c r="E34" s="34">
        <v>1.0085448120117</v>
      </c>
      <c r="F34" s="34">
        <v>0.42251515502929998</v>
      </c>
      <c r="G34" s="34" t="s">
        <v>8</v>
      </c>
      <c r="H34" s="34" t="s">
        <v>8</v>
      </c>
      <c r="I34" s="34" t="s">
        <v>8</v>
      </c>
      <c r="J34" s="34" t="s">
        <v>8</v>
      </c>
      <c r="K34" s="34" t="s">
        <v>8</v>
      </c>
      <c r="L34" s="34">
        <f t="shared" si="10"/>
        <v>14.251216980000001</v>
      </c>
      <c r="M34" s="34" t="s">
        <v>8</v>
      </c>
      <c r="N34" s="34" t="s">
        <v>8</v>
      </c>
      <c r="O34" s="34" t="s">
        <v>8</v>
      </c>
      <c r="P34" s="34" t="s">
        <v>8</v>
      </c>
      <c r="Q34" s="34" t="s">
        <v>8</v>
      </c>
      <c r="R34" s="34" t="s">
        <v>8</v>
      </c>
      <c r="S34" s="34" t="s">
        <v>8</v>
      </c>
      <c r="T34" s="34" t="s">
        <v>8</v>
      </c>
      <c r="U34" s="34" t="s">
        <v>8</v>
      </c>
      <c r="Y34" s="34" t="s">
        <v>8</v>
      </c>
      <c r="Z34" s="34" t="s">
        <v>8</v>
      </c>
      <c r="AA34" s="34" t="s">
        <v>8</v>
      </c>
      <c r="AB34" s="34" t="s">
        <v>8</v>
      </c>
      <c r="AC34" s="34" t="s">
        <v>8</v>
      </c>
      <c r="AH34" s="34" t="s">
        <v>8</v>
      </c>
      <c r="AI34" s="34">
        <v>14.167244091797</v>
      </c>
      <c r="AJ34" s="34" t="s">
        <v>8</v>
      </c>
      <c r="AK34" s="34" t="s">
        <v>8</v>
      </c>
      <c r="AL34" s="34">
        <v>0.083972888183593997</v>
      </c>
    </row>
    <row r="35" ht="15.75" hidden="1" customHeight="1">
      <c r="A35" s="36">
        <v>1985</v>
      </c>
      <c r="B35" s="35" t="s">
        <v>71</v>
      </c>
      <c r="C35" s="34">
        <v>2094.9722244323998</v>
      </c>
      <c r="D35" s="34">
        <v>17881.118360314998</v>
      </c>
      <c r="E35" s="34">
        <v>559.48525883179002</v>
      </c>
      <c r="F35" s="34">
        <v>15325.981583032</v>
      </c>
      <c r="G35" s="34">
        <v>239.00361136474999</v>
      </c>
      <c r="H35" s="34">
        <v>5961.2433390197002</v>
      </c>
      <c r="I35" s="34" t="s">
        <v>8</v>
      </c>
      <c r="J35" s="34" t="s">
        <v>8</v>
      </c>
      <c r="K35" s="34">
        <v>783.30930079346001</v>
      </c>
      <c r="L35" s="34">
        <f t="shared" si="10"/>
        <v>34317.911599999999</v>
      </c>
      <c r="M35" s="34">
        <v>24.024197955321998</v>
      </c>
      <c r="N35" s="34" t="s">
        <v>8</v>
      </c>
      <c r="O35" s="34" t="s">
        <v>8</v>
      </c>
      <c r="P35" s="34" t="s">
        <v>8</v>
      </c>
      <c r="Q35" s="34" t="s">
        <v>8</v>
      </c>
      <c r="R35" s="34">
        <v>20.712885455321999</v>
      </c>
      <c r="S35" s="34" t="s">
        <v>8</v>
      </c>
      <c r="T35" s="34" t="s">
        <v>8</v>
      </c>
      <c r="U35" s="34" t="s">
        <v>8</v>
      </c>
      <c r="Y35" s="34">
        <v>0.089314965820312994</v>
      </c>
      <c r="Z35" s="34" t="s">
        <v>8</v>
      </c>
      <c r="AA35" s="34">
        <v>1.2734732055664</v>
      </c>
      <c r="AB35" s="34">
        <v>0.25544219970703003</v>
      </c>
      <c r="AC35" s="34" t="s">
        <v>8</v>
      </c>
      <c r="AH35" s="34" t="s">
        <v>8</v>
      </c>
      <c r="AI35" s="34" t="s">
        <v>8</v>
      </c>
      <c r="AJ35" s="34">
        <v>34175.248983434998</v>
      </c>
      <c r="AK35" s="34" t="s">
        <v>8</v>
      </c>
      <c r="AL35" s="34">
        <v>96.307304345703002</v>
      </c>
    </row>
    <row r="36" ht="15.75" hidden="1" customHeight="1">
      <c r="A36" s="36">
        <v>1985</v>
      </c>
      <c r="B36" s="35" t="s">
        <v>72</v>
      </c>
      <c r="C36" s="34" t="s">
        <v>8</v>
      </c>
      <c r="D36" s="34" t="s">
        <v>8</v>
      </c>
      <c r="E36" s="34" t="s">
        <v>8</v>
      </c>
      <c r="F36" s="34" t="s">
        <v>8</v>
      </c>
      <c r="G36" s="34" t="s">
        <v>8</v>
      </c>
      <c r="H36" s="34" t="s">
        <v>8</v>
      </c>
      <c r="I36" s="34" t="s">
        <v>8</v>
      </c>
      <c r="J36" s="34" t="s">
        <v>8</v>
      </c>
      <c r="K36" s="34" t="s">
        <v>8</v>
      </c>
      <c r="L36" s="34">
        <f t="shared" si="10"/>
        <v>0</v>
      </c>
      <c r="M36" s="34" t="s">
        <v>8</v>
      </c>
      <c r="N36" s="34" t="s">
        <v>8</v>
      </c>
      <c r="O36" s="34" t="s">
        <v>8</v>
      </c>
      <c r="P36" s="34" t="s">
        <v>8</v>
      </c>
      <c r="Q36" s="34" t="s">
        <v>8</v>
      </c>
      <c r="R36" s="34" t="s">
        <v>8</v>
      </c>
      <c r="S36" s="34" t="s">
        <v>8</v>
      </c>
      <c r="T36" s="34" t="s">
        <v>8</v>
      </c>
      <c r="U36" s="34" t="s">
        <v>8</v>
      </c>
      <c r="Y36" s="34" t="s">
        <v>8</v>
      </c>
      <c r="Z36" s="34" t="s">
        <v>8</v>
      </c>
      <c r="AA36" s="34" t="s">
        <v>8</v>
      </c>
      <c r="AB36" s="34" t="s">
        <v>8</v>
      </c>
      <c r="AC36" s="34" t="s">
        <v>8</v>
      </c>
      <c r="AH36" s="34" t="s">
        <v>8</v>
      </c>
      <c r="AI36" s="34" t="s">
        <v>8</v>
      </c>
      <c r="AJ36" s="34" t="s">
        <v>8</v>
      </c>
      <c r="AK36" s="34" t="s">
        <v>8</v>
      </c>
      <c r="AL36" s="34" t="s">
        <v>8</v>
      </c>
    </row>
    <row r="37" ht="15.75" hidden="1" customHeight="1">
      <c r="A37" s="36">
        <v>1985</v>
      </c>
      <c r="B37" s="35" t="s">
        <v>73</v>
      </c>
      <c r="C37" s="34">
        <v>49191.919394092001</v>
      </c>
      <c r="D37" s="34">
        <v>19555.857091998001</v>
      </c>
      <c r="E37" s="34">
        <v>28624.427094342002</v>
      </c>
      <c r="F37" s="34">
        <v>23113.718183281999</v>
      </c>
      <c r="G37" s="34">
        <v>40.460738195801</v>
      </c>
      <c r="H37" s="34">
        <v>689.23621785277999</v>
      </c>
      <c r="I37" s="34">
        <v>82.490445013428001</v>
      </c>
      <c r="J37" s="34" t="s">
        <v>8</v>
      </c>
      <c r="K37" s="34">
        <v>36403.084773444003</v>
      </c>
      <c r="L37" s="34">
        <f t="shared" si="10"/>
        <v>1032740.943</v>
      </c>
      <c r="M37" s="34">
        <v>12329.610302411</v>
      </c>
      <c r="N37" s="34" t="s">
        <v>8</v>
      </c>
      <c r="O37" s="34" t="s">
        <v>8</v>
      </c>
      <c r="P37" s="34" t="s">
        <v>8</v>
      </c>
      <c r="Q37" s="34">
        <v>2570.4799628052001</v>
      </c>
      <c r="R37" s="34">
        <v>70.990914251709</v>
      </c>
      <c r="S37" s="34">
        <v>2.8450342163086</v>
      </c>
      <c r="T37" s="34" t="s">
        <v>8</v>
      </c>
      <c r="U37" s="34">
        <v>13.004591461182001</v>
      </c>
      <c r="Y37" s="34">
        <v>155.66790116576999</v>
      </c>
      <c r="Z37" s="34" t="s">
        <v>8</v>
      </c>
      <c r="AA37" s="34">
        <v>5.6218707702637003</v>
      </c>
      <c r="AB37" s="34">
        <v>23.705270056151999</v>
      </c>
      <c r="AC37" s="34" t="s">
        <v>8</v>
      </c>
      <c r="AH37" s="34" t="s">
        <v>8</v>
      </c>
      <c r="AI37" s="34">
        <v>0.4200689453125</v>
      </c>
      <c r="AJ37" s="34">
        <v>0.089316455078124996</v>
      </c>
      <c r="AK37" s="34" t="s">
        <v>8</v>
      </c>
      <c r="AL37" s="34">
        <v>1017568.5075452999</v>
      </c>
    </row>
    <row r="38" ht="15.75" hidden="1" customHeight="1">
      <c r="B38" s="38"/>
    </row>
    <row r="39" ht="15.75" hidden="1" customHeight="1">
      <c r="B39" s="38"/>
    </row>
    <row r="40" ht="15.75" hidden="1" customHeight="1">
      <c r="B40" s="38"/>
    </row>
    <row r="41" ht="15.75" hidden="1" customHeight="1">
      <c r="B41" s="38"/>
    </row>
    <row r="42" ht="15.75" hidden="1" customHeight="1">
      <c r="B42" s="38"/>
    </row>
    <row r="43" ht="15.75" customHeight="1">
      <c r="B43" s="38"/>
    </row>
    <row r="44" ht="15.75" customHeight="1">
      <c r="B44" s="38"/>
    </row>
    <row r="45" ht="15.75" customHeight="1">
      <c r="B45" s="38"/>
    </row>
    <row r="46" ht="15.75" customHeight="1">
      <c r="B46" s="38"/>
    </row>
    <row r="47" ht="15.75" customHeight="1">
      <c r="B47" s="38"/>
    </row>
    <row r="48" ht="15.75" customHeight="1">
      <c r="B48" s="38"/>
    </row>
    <row r="49" ht="15.75" customHeight="1">
      <c r="B49" s="38"/>
    </row>
    <row r="50" ht="15.75" customHeight="1">
      <c r="B50" s="38"/>
    </row>
    <row r="51" ht="15.75" customHeight="1">
      <c r="B51" s="38"/>
    </row>
    <row r="52" ht="15.75" customHeight="1">
      <c r="B52" s="38"/>
    </row>
    <row r="53" ht="15.75" customHeight="1">
      <c r="B53" s="38"/>
    </row>
    <row r="54" ht="15.75" customHeight="1">
      <c r="B54" s="38"/>
    </row>
    <row r="55" ht="15.75" customHeight="1">
      <c r="B55" s="38"/>
    </row>
    <row r="56" ht="15.75" customHeight="1">
      <c r="B56" s="38"/>
    </row>
    <row r="57" ht="15.75" customHeight="1">
      <c r="B57" s="38"/>
    </row>
    <row r="58" ht="15.75" customHeight="1">
      <c r="B58" s="38"/>
    </row>
    <row r="59" ht="15.75" customHeight="1">
      <c r="B59" s="38"/>
    </row>
    <row r="60" ht="15.75" customHeight="1">
      <c r="B60" s="38"/>
    </row>
    <row r="61" ht="15.75" customHeight="1">
      <c r="B61" s="38"/>
    </row>
    <row r="62" ht="15.75" customHeight="1">
      <c r="B62" s="38"/>
    </row>
    <row r="63" ht="15.75" customHeight="1">
      <c r="B63" s="38"/>
    </row>
    <row r="64" ht="15.75" customHeight="1">
      <c r="B64" s="38"/>
    </row>
    <row r="65" ht="15.75" customHeight="1">
      <c r="B65" s="38"/>
    </row>
    <row r="66" ht="15.75" customHeight="1">
      <c r="B66" s="38"/>
    </row>
    <row r="67" ht="15.75" customHeight="1">
      <c r="B67" s="38"/>
    </row>
    <row r="68" ht="15.75" customHeight="1">
      <c r="B68" s="38"/>
    </row>
    <row r="69" ht="15.75" customHeight="1">
      <c r="B69" s="38"/>
    </row>
    <row r="70" ht="15.75" customHeight="1">
      <c r="B70" s="38"/>
    </row>
    <row r="71" ht="15.75" customHeight="1">
      <c r="B71" s="38"/>
    </row>
    <row r="72" ht="15.75" customHeight="1">
      <c r="B72" s="38"/>
    </row>
    <row r="73" ht="15.75" customHeight="1">
      <c r="B73" s="38"/>
    </row>
    <row r="74" ht="15.75" customHeight="1">
      <c r="B74" s="38"/>
    </row>
    <row r="75" ht="15.75" customHeight="1">
      <c r="B75" s="38"/>
    </row>
    <row r="76" ht="15.75" customHeight="1">
      <c r="B76" s="38"/>
    </row>
    <row r="77" ht="15.75" customHeight="1">
      <c r="B77" s="38"/>
    </row>
    <row r="78" ht="15.75" customHeight="1">
      <c r="B78" s="38"/>
    </row>
    <row r="79" ht="15.75" customHeight="1">
      <c r="B79" s="38"/>
    </row>
    <row r="80" ht="15.75" customHeight="1">
      <c r="B80" s="38"/>
    </row>
    <row r="81" ht="15.75" customHeight="1">
      <c r="B81" s="38"/>
    </row>
    <row r="82" ht="15.75" customHeight="1">
      <c r="B82" s="38"/>
    </row>
    <row r="83" ht="15.75" customHeight="1">
      <c r="B83" s="38"/>
    </row>
    <row r="84" ht="15.75" customHeight="1">
      <c r="B84" s="38"/>
    </row>
    <row r="85" ht="15.75" customHeight="1">
      <c r="B85" s="38"/>
    </row>
    <row r="86" ht="15.75" customHeight="1">
      <c r="B86" s="38"/>
    </row>
    <row r="87" ht="15.75" customHeight="1">
      <c r="B87" s="38"/>
    </row>
    <row r="88" ht="15.75" customHeight="1">
      <c r="B88" s="38"/>
    </row>
    <row r="89" ht="15.75" customHeight="1">
      <c r="B89" s="38"/>
    </row>
    <row r="90" ht="15.75" customHeight="1">
      <c r="B90" s="38"/>
    </row>
    <row r="91" ht="15.75" customHeight="1">
      <c r="B91" s="38"/>
    </row>
    <row r="92" ht="15.75" customHeight="1">
      <c r="B92" s="38"/>
    </row>
    <row r="93" ht="15.75" customHeight="1">
      <c r="B93" s="38"/>
    </row>
    <row r="94" ht="15.75" customHeight="1">
      <c r="B94" s="38"/>
    </row>
    <row r="95" ht="15.75" customHeight="1">
      <c r="B95" s="38"/>
    </row>
    <row r="96" ht="15.75" customHeight="1">
      <c r="B96" s="38"/>
    </row>
    <row r="97" ht="15.75" customHeight="1">
      <c r="B97" s="38"/>
    </row>
    <row r="98" ht="15.75" customHeight="1">
      <c r="B98" s="38"/>
    </row>
    <row r="99" ht="15.75" customHeight="1">
      <c r="B99" s="38"/>
    </row>
    <row r="100" ht="15.75" customHeight="1">
      <c r="B100" s="38"/>
    </row>
    <row r="101" ht="15.75" customHeight="1">
      <c r="B101" s="38"/>
    </row>
    <row r="102" ht="15.75" customHeight="1">
      <c r="B102" s="38"/>
    </row>
    <row r="103" ht="15.75" customHeight="1">
      <c r="B103" s="38"/>
    </row>
    <row r="104" ht="15.75" customHeight="1">
      <c r="B104" s="38"/>
    </row>
    <row r="105" ht="15.75" customHeight="1">
      <c r="B105" s="38"/>
    </row>
    <row r="106" ht="15.75" customHeight="1">
      <c r="B106" s="38"/>
    </row>
    <row r="107" ht="15.75" customHeight="1">
      <c r="B107" s="38"/>
    </row>
    <row r="108" ht="15.75" customHeight="1">
      <c r="B108" s="38"/>
    </row>
    <row r="109" ht="15.75" customHeight="1">
      <c r="B109" s="38"/>
    </row>
    <row r="110" ht="15.75" customHeight="1">
      <c r="B110" s="38"/>
    </row>
    <row r="111" ht="15.75" customHeight="1">
      <c r="B111" s="38"/>
    </row>
    <row r="112" ht="15.75" customHeight="1">
      <c r="B112" s="38"/>
    </row>
    <row r="113" ht="15.75" customHeight="1">
      <c r="B113" s="38"/>
    </row>
    <row r="114" ht="15.75" customHeight="1">
      <c r="B114" s="38"/>
    </row>
    <row r="115" ht="15.75" customHeight="1">
      <c r="B115" s="38"/>
    </row>
    <row r="116" ht="15.75" customHeight="1">
      <c r="B116" s="38"/>
    </row>
    <row r="117" ht="15.75" customHeight="1">
      <c r="B117" s="38"/>
    </row>
    <row r="118" ht="15.75" customHeight="1">
      <c r="B118" s="38"/>
    </row>
    <row r="119" ht="15.75" customHeight="1">
      <c r="B119" s="38"/>
    </row>
    <row r="120" ht="15.75" customHeight="1">
      <c r="B120" s="38"/>
    </row>
    <row r="121" ht="15.75" customHeight="1">
      <c r="B121" s="38"/>
    </row>
    <row r="122" ht="15.75" customHeight="1">
      <c r="B122" s="38"/>
    </row>
    <row r="123" ht="15.75" customHeight="1">
      <c r="B123" s="38"/>
    </row>
    <row r="124" ht="15.75" customHeight="1">
      <c r="B124" s="38"/>
    </row>
    <row r="125" ht="15.75" customHeight="1">
      <c r="B125" s="38"/>
    </row>
    <row r="126" ht="15.75" customHeight="1">
      <c r="B126" s="38"/>
    </row>
    <row r="127" ht="15.75" customHeight="1">
      <c r="B127" s="38"/>
    </row>
    <row r="128" ht="15.75" customHeight="1">
      <c r="B128" s="38"/>
    </row>
    <row r="129" ht="15.75" customHeight="1">
      <c r="B129" s="38"/>
    </row>
    <row r="130" ht="15.75" customHeight="1">
      <c r="B130" s="38"/>
    </row>
    <row r="131" ht="15.75" customHeight="1">
      <c r="B131" s="38"/>
    </row>
    <row r="132" ht="15.75" customHeight="1">
      <c r="B132" s="38"/>
    </row>
    <row r="133" ht="15.75" customHeight="1">
      <c r="B133" s="38"/>
    </row>
    <row r="134" ht="15.75" customHeight="1">
      <c r="B134" s="38"/>
    </row>
    <row r="135" ht="15.75" customHeight="1">
      <c r="B135" s="38"/>
    </row>
    <row r="136" ht="15.75" customHeight="1">
      <c r="B136" s="38"/>
    </row>
    <row r="137" ht="15.75" customHeight="1">
      <c r="B137" s="38"/>
    </row>
    <row r="138" ht="15.75" customHeight="1">
      <c r="B138" s="38"/>
    </row>
    <row r="139" ht="15.75" customHeight="1">
      <c r="B139" s="38"/>
    </row>
    <row r="140" ht="15.75" customHeight="1">
      <c r="B140" s="38"/>
    </row>
    <row r="141" ht="15.75" customHeight="1">
      <c r="B141" s="38"/>
    </row>
    <row r="142" ht="15.75" customHeight="1">
      <c r="B142" s="38"/>
    </row>
    <row r="143" ht="15.75" customHeight="1">
      <c r="B143" s="38"/>
    </row>
    <row r="144" ht="15.75" customHeight="1">
      <c r="B144" s="38"/>
    </row>
    <row r="145" ht="15.75" customHeight="1">
      <c r="B145" s="38"/>
    </row>
    <row r="146" ht="15.75" customHeight="1">
      <c r="B146" s="38"/>
    </row>
    <row r="147" ht="15.75" customHeight="1">
      <c r="B147" s="38"/>
    </row>
    <row r="148" ht="15.75" customHeight="1">
      <c r="B148" s="38"/>
    </row>
    <row r="149" ht="15.75" customHeight="1">
      <c r="B149" s="38"/>
    </row>
    <row r="150" ht="15.75" customHeight="1">
      <c r="B150" s="38"/>
    </row>
    <row r="151" ht="15.75" customHeight="1">
      <c r="B151" s="38"/>
    </row>
    <row r="152" ht="15.75" customHeight="1">
      <c r="B152" s="38"/>
    </row>
    <row r="153" ht="15.75" customHeight="1">
      <c r="B153" s="38"/>
    </row>
    <row r="154" ht="15.75" customHeight="1">
      <c r="B154" s="38"/>
    </row>
    <row r="155" ht="15.75" customHeight="1">
      <c r="B155" s="38"/>
    </row>
    <row r="156" ht="15.75" customHeight="1">
      <c r="B156" s="38"/>
    </row>
    <row r="157" ht="15.75" customHeight="1">
      <c r="B157" s="38"/>
    </row>
    <row r="158" ht="15.75" customHeight="1">
      <c r="B158" s="38"/>
    </row>
    <row r="159" ht="15.75" customHeight="1">
      <c r="B159" s="38"/>
    </row>
    <row r="160" ht="15.75" customHeight="1">
      <c r="B160" s="38"/>
    </row>
    <row r="161" ht="15.75" customHeight="1">
      <c r="B161" s="38"/>
    </row>
    <row r="162" ht="15.75" customHeight="1">
      <c r="B162" s="38"/>
    </row>
    <row r="163" ht="15.75" customHeight="1">
      <c r="B163" s="38"/>
    </row>
    <row r="164" ht="15.75" customHeight="1">
      <c r="B164" s="38"/>
    </row>
    <row r="165" ht="15.75" customHeight="1">
      <c r="B165" s="38"/>
    </row>
    <row r="166" ht="15.75" customHeight="1">
      <c r="B166" s="38"/>
    </row>
    <row r="167" ht="15.75" customHeight="1">
      <c r="B167" s="38"/>
    </row>
    <row r="168" ht="15.75" customHeight="1">
      <c r="B168" s="38"/>
    </row>
    <row r="169" ht="15.75" customHeight="1">
      <c r="B169" s="38"/>
    </row>
    <row r="170" ht="15.75" customHeight="1">
      <c r="B170" s="38"/>
    </row>
    <row r="171" ht="15.75" customHeight="1">
      <c r="B171" s="38"/>
    </row>
    <row r="172" ht="15.75" customHeight="1">
      <c r="B172" s="38"/>
    </row>
    <row r="173" ht="15.75" customHeight="1">
      <c r="B173" s="38"/>
    </row>
    <row r="174" ht="15.75" customHeight="1">
      <c r="B174" s="38"/>
    </row>
    <row r="175" ht="15.75" customHeight="1">
      <c r="B175" s="38"/>
    </row>
    <row r="176" ht="15.75" customHeight="1">
      <c r="B176" s="38"/>
    </row>
    <row r="177" ht="15.75" customHeight="1">
      <c r="B177" s="38"/>
    </row>
    <row r="178" ht="15.75" customHeight="1">
      <c r="B178" s="38"/>
    </row>
    <row r="179" ht="15.75" customHeight="1">
      <c r="B179" s="38"/>
    </row>
    <row r="180" ht="15.75" customHeight="1">
      <c r="B180" s="38"/>
    </row>
    <row r="181" ht="15.75" customHeight="1">
      <c r="B181" s="38"/>
    </row>
    <row r="182" ht="15.75" customHeight="1">
      <c r="B182" s="38"/>
    </row>
    <row r="183" ht="15.75" customHeight="1">
      <c r="B183" s="38"/>
    </row>
    <row r="184" ht="15.75" customHeight="1">
      <c r="B184" s="38"/>
    </row>
    <row r="185" ht="15.75" customHeight="1">
      <c r="B185" s="38"/>
    </row>
    <row r="186" ht="15.75" customHeight="1">
      <c r="B186" s="38"/>
    </row>
    <row r="187" ht="15.75" customHeight="1">
      <c r="B187" s="38"/>
    </row>
    <row r="188" ht="15.75" customHeight="1">
      <c r="B188" s="38"/>
    </row>
    <row r="189" ht="15.75" customHeight="1">
      <c r="B189" s="38"/>
    </row>
    <row r="190" ht="15.75" customHeight="1">
      <c r="B190" s="38"/>
    </row>
    <row r="191" ht="15.75" customHeight="1">
      <c r="B191" s="38"/>
    </row>
    <row r="192" ht="15.75" customHeight="1">
      <c r="B192" s="38"/>
    </row>
    <row r="193" ht="15.75" customHeight="1">
      <c r="B193" s="38"/>
    </row>
    <row r="194" ht="15.75" customHeight="1">
      <c r="B194" s="38"/>
    </row>
    <row r="195" ht="15.75" customHeight="1">
      <c r="B195" s="38"/>
    </row>
    <row r="196" ht="15.75" customHeight="1">
      <c r="B196" s="38"/>
    </row>
    <row r="197" ht="15.75" customHeight="1">
      <c r="B197" s="38"/>
    </row>
    <row r="198" ht="15.75" customHeight="1">
      <c r="B198" s="38"/>
    </row>
    <row r="199" ht="15.75" customHeight="1">
      <c r="B199" s="38"/>
    </row>
    <row r="200" ht="15.75" customHeight="1">
      <c r="B200" s="38"/>
    </row>
    <row r="201" ht="15.75" customHeight="1">
      <c r="B201" s="38"/>
    </row>
    <row r="202" ht="15.75" customHeight="1">
      <c r="B202" s="38"/>
    </row>
    <row r="203" ht="15.75" customHeight="1">
      <c r="B203" s="38"/>
    </row>
    <row r="204" ht="15.75" customHeight="1">
      <c r="B204" s="38"/>
    </row>
    <row r="205" ht="15.75" customHeight="1">
      <c r="B205" s="38"/>
    </row>
    <row r="206" ht="15.75" customHeight="1">
      <c r="B206" s="38"/>
    </row>
    <row r="207" ht="15.75" customHeight="1">
      <c r="B207" s="38"/>
    </row>
    <row r="208" ht="15.75" customHeight="1">
      <c r="B208" s="38"/>
    </row>
    <row r="209" ht="15.75" customHeight="1">
      <c r="B209" s="38"/>
    </row>
    <row r="210" ht="15.75" customHeight="1">
      <c r="B210" s="38"/>
    </row>
    <row r="211" ht="15.75" customHeight="1">
      <c r="B211" s="38"/>
    </row>
    <row r="212" ht="15.75" customHeight="1">
      <c r="B212" s="38"/>
    </row>
    <row r="213" ht="15.75" customHeight="1">
      <c r="B213" s="38"/>
    </row>
    <row r="214" ht="15.75" customHeight="1">
      <c r="B214" s="38"/>
    </row>
    <row r="215" ht="15.75" customHeight="1">
      <c r="B215" s="38"/>
    </row>
    <row r="216" ht="15.75" customHeight="1">
      <c r="B216" s="38"/>
    </row>
    <row r="217" ht="15.75" customHeight="1">
      <c r="B217" s="38"/>
    </row>
    <row r="218" ht="15.75" customHeight="1">
      <c r="B218" s="38"/>
    </row>
    <row r="219" ht="15.75" customHeight="1">
      <c r="B219" s="38"/>
    </row>
    <row r="220" ht="15.75" customHeight="1">
      <c r="B220" s="38"/>
    </row>
    <row r="221" ht="15.75" customHeight="1">
      <c r="B221" s="38"/>
    </row>
    <row r="222" ht="15.75" customHeight="1">
      <c r="B222" s="38"/>
    </row>
    <row r="223" ht="15.75" customHeight="1">
      <c r="B223" s="38"/>
    </row>
    <row r="224" ht="15.75" customHeight="1">
      <c r="B224" s="38"/>
    </row>
    <row r="225" ht="15.75" customHeight="1">
      <c r="B225" s="38"/>
    </row>
    <row r="226" ht="15.75" customHeight="1">
      <c r="B226" s="38"/>
    </row>
    <row r="227" ht="15.75" customHeight="1">
      <c r="B227" s="38"/>
    </row>
    <row r="228" ht="15.75" customHeight="1">
      <c r="B228" s="38"/>
    </row>
    <row r="229" ht="15.75" customHeight="1">
      <c r="B229" s="38"/>
    </row>
    <row r="230" ht="15.75" customHeight="1">
      <c r="B230" s="38"/>
    </row>
    <row r="231" ht="15.75" customHeight="1">
      <c r="B231" s="38"/>
    </row>
    <row r="232" ht="15.75" customHeight="1">
      <c r="B232" s="38"/>
    </row>
    <row r="233" ht="15.75" customHeight="1">
      <c r="B233" s="38"/>
    </row>
    <row r="234" ht="15.75" customHeight="1">
      <c r="B234" s="38"/>
    </row>
    <row r="235" ht="15.75" customHeight="1">
      <c r="B235" s="38"/>
    </row>
    <row r="236" ht="15.75" customHeight="1">
      <c r="B236" s="38"/>
    </row>
    <row r="237" ht="15.75" customHeight="1">
      <c r="B237" s="38"/>
    </row>
    <row r="238" ht="15.75" customHeight="1">
      <c r="B238" s="38"/>
    </row>
    <row r="239" ht="15.75" customHeight="1">
      <c r="B239" s="38"/>
    </row>
    <row r="240" ht="15.75" customHeight="1">
      <c r="B240" s="38"/>
    </row>
    <row r="241" ht="15.75" customHeight="1">
      <c r="B241" s="38"/>
    </row>
    <row r="242" ht="15.75" customHeight="1">
      <c r="B242" s="38"/>
    </row>
    <row r="243" ht="15.75" customHeight="1">
      <c r="B243" s="38"/>
    </row>
    <row r="244" ht="15.75" customHeight="1">
      <c r="B244" s="38"/>
    </row>
    <row r="245" ht="15.75" customHeight="1">
      <c r="B245" s="38"/>
    </row>
    <row r="246" ht="15.75" customHeight="1">
      <c r="B246" s="38"/>
    </row>
    <row r="247" ht="15.75" customHeight="1">
      <c r="B247" s="38"/>
    </row>
    <row r="248" ht="15.75" customHeight="1">
      <c r="B248" s="38"/>
    </row>
    <row r="249" ht="15.75" customHeight="1">
      <c r="B249" s="38"/>
    </row>
    <row r="250" ht="15.75" customHeight="1">
      <c r="B250" s="38"/>
    </row>
    <row r="251" ht="15.75" customHeight="1">
      <c r="B251" s="38"/>
    </row>
    <row r="252" ht="15.75" customHeight="1">
      <c r="B252" s="38"/>
    </row>
    <row r="253" ht="15.75" customHeight="1">
      <c r="B253" s="38"/>
    </row>
    <row r="254" ht="15.75" customHeight="1">
      <c r="B254" s="38"/>
    </row>
    <row r="255" ht="15.75" customHeight="1">
      <c r="B255" s="38"/>
    </row>
    <row r="256" ht="15.75" customHeight="1">
      <c r="B256" s="38"/>
    </row>
    <row r="257" ht="15.75" customHeight="1">
      <c r="B257" s="38"/>
    </row>
    <row r="258" ht="15.75" customHeight="1">
      <c r="B258" s="38"/>
    </row>
    <row r="259" ht="15.75" customHeight="1">
      <c r="B259" s="38"/>
    </row>
    <row r="260" ht="15.75" customHeight="1">
      <c r="B260" s="38"/>
    </row>
    <row r="261" ht="15.75" customHeight="1">
      <c r="B261" s="38"/>
    </row>
    <row r="262" ht="15.75" customHeight="1">
      <c r="B262" s="38"/>
    </row>
    <row r="263" ht="15.75" customHeight="1">
      <c r="B263" s="38"/>
    </row>
    <row r="264" ht="15.75" customHeight="1">
      <c r="B264" s="38"/>
    </row>
    <row r="265" ht="15.75" customHeight="1">
      <c r="B265" s="38"/>
    </row>
    <row r="266" ht="15.75" customHeight="1">
      <c r="B266" s="38"/>
    </row>
    <row r="267" ht="15.75" customHeight="1">
      <c r="B267" s="38"/>
    </row>
    <row r="268" ht="15.75" customHeight="1">
      <c r="B268" s="38"/>
    </row>
    <row r="269" ht="15.75" customHeight="1">
      <c r="B269" s="38"/>
    </row>
    <row r="270" ht="15.75" customHeight="1">
      <c r="B270" s="38"/>
    </row>
    <row r="271" ht="15.75" customHeight="1">
      <c r="B271" s="38"/>
    </row>
    <row r="272" ht="15.75" customHeight="1">
      <c r="B272" s="38"/>
    </row>
    <row r="273" ht="15.75" customHeight="1">
      <c r="B273" s="38"/>
    </row>
    <row r="274" ht="15.75" customHeight="1">
      <c r="B274" s="38"/>
    </row>
    <row r="275" ht="15.75" customHeight="1">
      <c r="B275" s="38"/>
    </row>
    <row r="276" ht="15.75" customHeight="1">
      <c r="B276" s="38"/>
    </row>
    <row r="277" ht="15.75" customHeight="1">
      <c r="B277" s="38"/>
    </row>
    <row r="278" ht="15.75" customHeight="1">
      <c r="B278" s="38"/>
    </row>
    <row r="279" ht="15.75" customHeight="1">
      <c r="B279" s="38"/>
    </row>
    <row r="280" ht="15.75" customHeight="1">
      <c r="B280" s="38"/>
    </row>
    <row r="281" ht="15.75" customHeight="1">
      <c r="B281" s="38"/>
    </row>
    <row r="282" ht="15.75" customHeight="1">
      <c r="B282" s="38"/>
    </row>
    <row r="283" ht="15.75" customHeight="1">
      <c r="B283" s="38"/>
    </row>
    <row r="284" ht="15.75" customHeight="1">
      <c r="B284" s="38"/>
    </row>
    <row r="285" ht="15.75" customHeight="1">
      <c r="B285" s="38"/>
    </row>
    <row r="286" ht="15.75" customHeight="1">
      <c r="B286" s="38"/>
    </row>
    <row r="287" ht="15.75" customHeight="1">
      <c r="B287" s="38"/>
    </row>
    <row r="288" ht="15.75" customHeight="1">
      <c r="B288" s="38"/>
    </row>
    <row r="289" ht="15.75" customHeight="1">
      <c r="B289" s="38"/>
    </row>
    <row r="290" ht="15.75" customHeight="1">
      <c r="B290" s="38"/>
    </row>
    <row r="291" ht="15.75" customHeight="1">
      <c r="B291" s="38"/>
    </row>
    <row r="292" ht="15.75" customHeight="1">
      <c r="B292" s="38"/>
    </row>
    <row r="293" ht="15.75" customHeight="1">
      <c r="B293" s="38"/>
    </row>
    <row r="294" ht="15.75" customHeight="1">
      <c r="B294" s="38"/>
    </row>
    <row r="295" ht="15.75" customHeight="1">
      <c r="B295" s="38"/>
    </row>
    <row r="296" ht="15.75" customHeight="1">
      <c r="B296" s="38"/>
    </row>
    <row r="297" ht="15.75" customHeight="1">
      <c r="B297" s="38"/>
    </row>
    <row r="298" ht="15.75" customHeight="1">
      <c r="B298" s="38"/>
    </row>
    <row r="299" ht="15.75" customHeight="1">
      <c r="B299" s="38"/>
    </row>
    <row r="300" ht="15.75" customHeight="1">
      <c r="B300" s="38"/>
    </row>
    <row r="301" ht="15.75" customHeight="1">
      <c r="B301" s="38"/>
    </row>
    <row r="302" ht="15.75" customHeight="1">
      <c r="B302" s="38"/>
    </row>
    <row r="303" ht="15.75" customHeight="1">
      <c r="B303" s="38"/>
    </row>
    <row r="304" ht="15.75" customHeight="1">
      <c r="B304" s="38"/>
    </row>
    <row r="305" ht="15.75" customHeight="1">
      <c r="B305" s="38"/>
    </row>
    <row r="306" ht="15.75" customHeight="1">
      <c r="B306" s="38"/>
    </row>
    <row r="307" ht="15.75" customHeight="1">
      <c r="B307" s="38"/>
    </row>
    <row r="308" ht="15.75" customHeight="1">
      <c r="B308" s="38"/>
    </row>
    <row r="309" ht="15.75" customHeight="1">
      <c r="B309" s="38"/>
    </row>
    <row r="310" ht="15.75" customHeight="1">
      <c r="B310" s="38"/>
    </row>
    <row r="311" ht="15.75" customHeight="1">
      <c r="B311" s="38"/>
    </row>
    <row r="312" ht="15.75" customHeight="1">
      <c r="B312" s="38"/>
    </row>
    <row r="313" ht="15.75" customHeight="1">
      <c r="B313" s="38"/>
    </row>
    <row r="314" ht="15.75" customHeight="1">
      <c r="B314" s="38"/>
    </row>
    <row r="315" ht="15.75" customHeight="1">
      <c r="B315" s="38"/>
    </row>
    <row r="316" ht="15.75" customHeight="1">
      <c r="B316" s="38"/>
    </row>
    <row r="317" ht="15.75" customHeight="1">
      <c r="B317" s="38"/>
    </row>
    <row r="318" ht="15.75" customHeight="1">
      <c r="B318" s="38"/>
    </row>
    <row r="319" ht="15.75" customHeight="1">
      <c r="B319" s="38"/>
    </row>
    <row r="320" ht="15.75" customHeight="1">
      <c r="B320" s="38"/>
    </row>
    <row r="321" ht="15.75" customHeight="1">
      <c r="B321" s="38"/>
    </row>
    <row r="322" ht="15.75" customHeight="1">
      <c r="B322" s="38"/>
    </row>
    <row r="323" ht="15.75" customHeight="1">
      <c r="B323" s="38"/>
    </row>
    <row r="324" ht="15.75" customHeight="1">
      <c r="B324" s="38"/>
    </row>
    <row r="325" ht="15.75" customHeight="1">
      <c r="B325" s="38"/>
    </row>
    <row r="326" ht="15.75" customHeight="1">
      <c r="B326" s="38"/>
    </row>
    <row r="327" ht="15.75" customHeight="1">
      <c r="B327" s="38"/>
    </row>
    <row r="328" ht="15.75" customHeight="1">
      <c r="B328" s="38"/>
    </row>
    <row r="329" ht="15.75" customHeight="1">
      <c r="B329" s="38"/>
    </row>
    <row r="330" ht="15.75" customHeight="1">
      <c r="B330" s="38"/>
    </row>
    <row r="331" ht="15.75" customHeight="1">
      <c r="B331" s="38"/>
    </row>
    <row r="332" ht="15.75" customHeight="1">
      <c r="B332" s="38"/>
    </row>
    <row r="333" ht="15.75" customHeight="1">
      <c r="B333" s="38"/>
    </row>
    <row r="334" ht="15.75" customHeight="1">
      <c r="B334" s="38"/>
    </row>
    <row r="335" ht="15.75" customHeight="1">
      <c r="B335" s="38"/>
    </row>
    <row r="336" ht="15.75" customHeight="1">
      <c r="B336" s="38"/>
    </row>
    <row r="337" ht="15.75" customHeight="1">
      <c r="B337" s="38"/>
    </row>
    <row r="338" ht="15.75" customHeight="1">
      <c r="B338" s="38"/>
    </row>
    <row r="339" ht="15.75" customHeight="1">
      <c r="B339" s="38"/>
    </row>
    <row r="340" ht="15.75" customHeight="1">
      <c r="B340" s="38"/>
    </row>
    <row r="341" ht="15.75" customHeight="1">
      <c r="B341" s="38"/>
    </row>
    <row r="342" ht="15.75" customHeight="1">
      <c r="B342" s="38"/>
    </row>
    <row r="343" ht="15.75" customHeight="1">
      <c r="B343" s="38"/>
    </row>
    <row r="344" ht="15.75" customHeight="1">
      <c r="B344" s="38"/>
    </row>
    <row r="345" ht="15.75" customHeight="1">
      <c r="B345" s="38"/>
    </row>
    <row r="346" ht="15.75" customHeight="1">
      <c r="B346" s="38"/>
    </row>
    <row r="347" ht="15.75" customHeight="1">
      <c r="B347" s="38"/>
    </row>
    <row r="348" ht="15.75" customHeight="1">
      <c r="B348" s="38"/>
    </row>
    <row r="349" ht="15.75" customHeight="1">
      <c r="B349" s="38"/>
    </row>
    <row r="350" ht="15.75" customHeight="1">
      <c r="B350" s="38"/>
    </row>
    <row r="351" ht="15.75" customHeight="1">
      <c r="B351" s="38"/>
    </row>
    <row r="352" ht="15.75" customHeight="1">
      <c r="B352" s="38"/>
    </row>
    <row r="353" ht="15.75" customHeight="1">
      <c r="B353" s="38"/>
    </row>
    <row r="354" ht="15.75" customHeight="1">
      <c r="B354" s="38"/>
    </row>
    <row r="355" ht="15.75" customHeight="1">
      <c r="B355" s="38"/>
    </row>
    <row r="356" ht="15.75" customHeight="1">
      <c r="B356" s="38"/>
    </row>
    <row r="357" ht="15.75" customHeight="1">
      <c r="B357" s="38"/>
    </row>
    <row r="358" ht="15.75" customHeight="1">
      <c r="B358" s="38"/>
    </row>
    <row r="359" ht="15.75" customHeight="1">
      <c r="B359" s="38"/>
    </row>
    <row r="360" ht="15.75" customHeight="1">
      <c r="B360" s="38"/>
    </row>
    <row r="361" ht="15.75" customHeight="1">
      <c r="B361" s="38"/>
    </row>
    <row r="362" ht="15.75" customHeight="1">
      <c r="B362" s="38"/>
    </row>
    <row r="363" ht="15.75" customHeight="1">
      <c r="B363" s="38"/>
    </row>
    <row r="364" ht="15.75" customHeight="1">
      <c r="B364" s="38"/>
    </row>
    <row r="365" ht="15.75" customHeight="1">
      <c r="B365" s="38"/>
    </row>
    <row r="366" ht="15.75" customHeight="1">
      <c r="B366" s="38"/>
    </row>
    <row r="367" ht="15.75" customHeight="1">
      <c r="B367" s="38"/>
    </row>
    <row r="368" ht="15.75" customHeight="1">
      <c r="B368" s="38"/>
    </row>
    <row r="369" ht="15.75" customHeight="1">
      <c r="B369" s="38"/>
    </row>
    <row r="370" ht="15.75" customHeight="1">
      <c r="B370" s="38"/>
    </row>
    <row r="371" ht="15.75" customHeight="1">
      <c r="B371" s="38"/>
    </row>
    <row r="372" ht="15.75" customHeight="1">
      <c r="B372" s="38"/>
    </row>
    <row r="373" ht="15.75" customHeight="1">
      <c r="B373" s="38"/>
    </row>
    <row r="374" ht="15.75" customHeight="1">
      <c r="B374" s="38"/>
    </row>
    <row r="375" ht="15.75" customHeight="1">
      <c r="B375" s="38"/>
    </row>
    <row r="376" ht="15.75" customHeight="1">
      <c r="B376" s="38"/>
    </row>
    <row r="377" ht="15.75" customHeight="1">
      <c r="B377" s="38"/>
    </row>
    <row r="378" ht="15.75" customHeight="1">
      <c r="B378" s="38"/>
    </row>
    <row r="379" ht="15.75" customHeight="1">
      <c r="B379" s="38"/>
    </row>
    <row r="380" ht="15.75" customHeight="1">
      <c r="B380" s="38"/>
    </row>
    <row r="381" ht="15.75" customHeight="1">
      <c r="B381" s="38"/>
    </row>
    <row r="382" ht="15.75" customHeight="1">
      <c r="B382" s="38"/>
    </row>
    <row r="383" ht="15.75" customHeight="1">
      <c r="B383" s="38"/>
    </row>
    <row r="384" ht="15.75" customHeight="1">
      <c r="B384" s="38"/>
    </row>
    <row r="385" ht="15.75" customHeight="1">
      <c r="B385" s="38"/>
    </row>
    <row r="386" ht="15.75" customHeight="1">
      <c r="B386" s="38"/>
    </row>
    <row r="387" ht="15.75" customHeight="1">
      <c r="B387" s="38"/>
    </row>
    <row r="388" ht="15.75" customHeight="1">
      <c r="B388" s="38"/>
    </row>
    <row r="389" ht="15.75" customHeight="1">
      <c r="B389" s="38"/>
    </row>
    <row r="390" ht="15.75" customHeight="1">
      <c r="B390" s="38"/>
    </row>
    <row r="391" ht="15.75" customHeight="1">
      <c r="B391" s="38"/>
    </row>
    <row r="392" ht="15.75" customHeight="1">
      <c r="B392" s="38"/>
    </row>
    <row r="393" ht="15.75" customHeight="1">
      <c r="B393" s="38"/>
    </row>
    <row r="394" ht="15.75" customHeight="1">
      <c r="B394" s="38"/>
    </row>
    <row r="395" ht="15.75" customHeight="1">
      <c r="B395" s="38"/>
    </row>
    <row r="396" ht="15.75" customHeight="1">
      <c r="B396" s="38"/>
    </row>
    <row r="397" ht="15.75" customHeight="1">
      <c r="B397" s="38"/>
    </row>
    <row r="398" ht="15.75" customHeight="1">
      <c r="B398" s="38"/>
    </row>
    <row r="399" ht="15.75" customHeight="1">
      <c r="B399" s="38"/>
    </row>
    <row r="400" ht="15.75" customHeight="1">
      <c r="B400" s="38"/>
    </row>
    <row r="401" ht="15.75" customHeight="1">
      <c r="B401" s="38"/>
    </row>
    <row r="402" ht="15.75" customHeight="1">
      <c r="B402" s="38"/>
    </row>
    <row r="403" ht="15.75" customHeight="1">
      <c r="B403" s="38"/>
    </row>
    <row r="404" ht="15.75" customHeight="1">
      <c r="B404" s="38"/>
    </row>
    <row r="405" ht="15.75" customHeight="1">
      <c r="B405" s="38"/>
    </row>
    <row r="406" ht="15.75" customHeight="1">
      <c r="B406" s="38"/>
    </row>
    <row r="407" ht="15.75" customHeight="1">
      <c r="B407" s="38"/>
    </row>
    <row r="408" ht="15.75" customHeight="1">
      <c r="B408" s="38"/>
    </row>
    <row r="409" ht="15.75" customHeight="1">
      <c r="B409" s="38"/>
    </row>
    <row r="410" ht="15.75" customHeight="1">
      <c r="B410" s="38"/>
    </row>
    <row r="411" ht="15.75" customHeight="1">
      <c r="B411" s="38"/>
    </row>
    <row r="412" ht="15.75" customHeight="1">
      <c r="B412" s="38"/>
    </row>
    <row r="413" ht="15.75" customHeight="1">
      <c r="B413" s="38"/>
    </row>
    <row r="414" ht="15.75" customHeight="1">
      <c r="B414" s="38"/>
    </row>
    <row r="415" ht="15.75" customHeight="1">
      <c r="B415" s="38"/>
    </row>
    <row r="416" ht="15.75" customHeight="1">
      <c r="B416" s="38"/>
    </row>
    <row r="417" ht="15.75" customHeight="1">
      <c r="B417" s="38"/>
    </row>
    <row r="418" ht="15.75" customHeight="1">
      <c r="B418" s="38"/>
    </row>
    <row r="419" ht="15.75" customHeight="1">
      <c r="B419" s="38"/>
    </row>
    <row r="420" ht="15.75" customHeight="1">
      <c r="B420" s="38"/>
    </row>
    <row r="421" ht="15.75" customHeight="1">
      <c r="B421" s="38"/>
    </row>
    <row r="422" ht="15.75" customHeight="1">
      <c r="B422" s="38"/>
    </row>
    <row r="423" ht="15.75" customHeight="1">
      <c r="B423" s="38"/>
    </row>
    <row r="424" ht="15.75" customHeight="1">
      <c r="B424" s="38"/>
    </row>
    <row r="425" ht="15.75" customHeight="1">
      <c r="B425" s="38"/>
    </row>
    <row r="426" ht="15.75" customHeight="1">
      <c r="B426" s="38"/>
    </row>
    <row r="427" ht="15.75" customHeight="1">
      <c r="B427" s="38"/>
    </row>
    <row r="428" ht="15.75" customHeight="1">
      <c r="B428" s="38"/>
    </row>
    <row r="429" ht="15.75" customHeight="1">
      <c r="B429" s="38"/>
    </row>
    <row r="430" ht="15.75" customHeight="1">
      <c r="B430" s="38"/>
    </row>
    <row r="431" ht="15.75" customHeight="1">
      <c r="B431" s="38"/>
    </row>
    <row r="432" ht="15.75" customHeight="1">
      <c r="B432" s="38"/>
    </row>
    <row r="433" ht="15.75" customHeight="1">
      <c r="B433" s="38"/>
    </row>
    <row r="434" ht="15.75" customHeight="1">
      <c r="B434" s="38"/>
    </row>
    <row r="435" ht="15.75" customHeight="1">
      <c r="B435" s="38"/>
    </row>
    <row r="436" ht="15.75" customHeight="1">
      <c r="B436" s="38"/>
    </row>
    <row r="437" ht="15.75" customHeight="1">
      <c r="B437" s="38"/>
    </row>
    <row r="438" ht="15.75" customHeight="1">
      <c r="B438" s="38"/>
    </row>
    <row r="439" ht="15.75" customHeight="1">
      <c r="B439" s="38"/>
    </row>
    <row r="440" ht="15.75" customHeight="1">
      <c r="B440" s="38"/>
    </row>
    <row r="441" ht="15.75" customHeight="1">
      <c r="B441" s="38"/>
    </row>
    <row r="442" ht="15.75" customHeight="1">
      <c r="B442" s="38"/>
    </row>
    <row r="443" ht="15.75" customHeight="1">
      <c r="B443" s="38"/>
    </row>
    <row r="444" ht="15.75" customHeight="1">
      <c r="B444" s="38"/>
    </row>
    <row r="445" ht="15.75" customHeight="1">
      <c r="B445" s="38"/>
    </row>
    <row r="446" ht="15.75" customHeight="1">
      <c r="B446" s="38"/>
    </row>
    <row r="447" ht="15.75" customHeight="1">
      <c r="B447" s="38"/>
    </row>
    <row r="448" ht="15.75" customHeight="1">
      <c r="B448" s="38"/>
    </row>
    <row r="449" ht="15.75" customHeight="1">
      <c r="B449" s="38"/>
    </row>
    <row r="450" ht="15.75" customHeight="1">
      <c r="B450" s="38"/>
    </row>
    <row r="451" ht="15.75" customHeight="1">
      <c r="B451" s="38"/>
    </row>
    <row r="452" ht="15.75" customHeight="1">
      <c r="B452" s="38"/>
    </row>
    <row r="453" ht="15.75" customHeight="1">
      <c r="B453" s="38"/>
    </row>
    <row r="454" ht="15.75" customHeight="1">
      <c r="B454" s="38"/>
    </row>
    <row r="455" ht="15.75" customHeight="1">
      <c r="B455" s="38"/>
    </row>
    <row r="456" ht="15.75" customHeight="1">
      <c r="B456" s="38"/>
    </row>
    <row r="457" ht="15.75" customHeight="1">
      <c r="B457" s="38"/>
    </row>
    <row r="458" ht="15.75" customHeight="1">
      <c r="B458" s="38"/>
    </row>
    <row r="459" ht="15.75" customHeight="1">
      <c r="B459" s="38"/>
    </row>
    <row r="460" ht="15.75" customHeight="1">
      <c r="B460" s="38"/>
    </row>
    <row r="461" ht="15.75" customHeight="1">
      <c r="B461" s="38"/>
    </row>
    <row r="462" ht="15.75" customHeight="1">
      <c r="B462" s="38"/>
    </row>
    <row r="463" ht="15.75" customHeight="1">
      <c r="B463" s="38"/>
    </row>
    <row r="464" ht="15.75" customHeight="1">
      <c r="B464" s="38"/>
    </row>
    <row r="465" ht="15.75" customHeight="1">
      <c r="B465" s="38"/>
    </row>
    <row r="466" ht="15.75" customHeight="1">
      <c r="B466" s="38"/>
    </row>
    <row r="467" ht="15.75" customHeight="1">
      <c r="B467" s="38"/>
    </row>
    <row r="468" ht="15.75" customHeight="1">
      <c r="B468" s="38"/>
    </row>
    <row r="469" ht="15.75" customHeight="1">
      <c r="B469" s="38"/>
    </row>
    <row r="470" ht="15.75" customHeight="1">
      <c r="B470" s="38"/>
    </row>
    <row r="471" ht="15.75" customHeight="1">
      <c r="B471" s="38"/>
    </row>
    <row r="472" ht="15.75" customHeight="1">
      <c r="B472" s="38"/>
    </row>
    <row r="473" ht="15.75" customHeight="1">
      <c r="B473" s="38"/>
    </row>
    <row r="474" ht="15.75" customHeight="1">
      <c r="B474" s="38"/>
    </row>
    <row r="475" ht="15.75" customHeight="1">
      <c r="B475" s="38"/>
    </row>
    <row r="476" ht="15.75" customHeight="1">
      <c r="B476" s="38"/>
    </row>
    <row r="477" ht="15.75" customHeight="1">
      <c r="B477" s="38"/>
    </row>
    <row r="478" ht="15.75" customHeight="1">
      <c r="B478" s="38"/>
    </row>
    <row r="479" ht="15.75" customHeight="1">
      <c r="B479" s="38"/>
    </row>
    <row r="480" ht="15.75" customHeight="1">
      <c r="B480" s="38"/>
    </row>
    <row r="481" ht="15.75" customHeight="1">
      <c r="B481" s="38"/>
    </row>
    <row r="482" ht="15.75" customHeight="1">
      <c r="B482" s="38"/>
    </row>
    <row r="483" ht="15.75" customHeight="1">
      <c r="B483" s="38"/>
    </row>
    <row r="484" ht="15.75" customHeight="1">
      <c r="B484" s="38"/>
    </row>
    <row r="485" ht="15.75" customHeight="1">
      <c r="B485" s="38"/>
    </row>
    <row r="486" ht="15.75" customHeight="1">
      <c r="B486" s="38"/>
    </row>
    <row r="487" ht="15.75" customHeight="1">
      <c r="B487" s="38"/>
    </row>
    <row r="488" ht="15.75" customHeight="1">
      <c r="B488" s="38"/>
    </row>
    <row r="489" ht="15.75" customHeight="1">
      <c r="B489" s="38"/>
    </row>
    <row r="490" ht="15.75" customHeight="1">
      <c r="B490" s="38"/>
    </row>
    <row r="491" ht="15.75" customHeight="1">
      <c r="B491" s="38"/>
    </row>
    <row r="492" ht="15.75" customHeight="1">
      <c r="B492" s="38"/>
    </row>
    <row r="493" ht="15.75" customHeight="1">
      <c r="B493" s="38"/>
    </row>
    <row r="494" ht="15.75" customHeight="1">
      <c r="B494" s="38"/>
    </row>
    <row r="495" ht="15.75" customHeight="1">
      <c r="B495" s="38"/>
    </row>
    <row r="496" ht="15.75" customHeight="1">
      <c r="B496" s="38"/>
    </row>
    <row r="497" ht="15.75" customHeight="1">
      <c r="B497" s="38"/>
    </row>
    <row r="498" ht="15.75" customHeight="1">
      <c r="B498" s="38"/>
    </row>
    <row r="499" ht="15.75" customHeight="1">
      <c r="B499" s="38"/>
    </row>
    <row r="500" ht="15.75" customHeight="1">
      <c r="B500" s="38"/>
    </row>
    <row r="501" ht="15.75" customHeight="1">
      <c r="B501" s="38"/>
    </row>
    <row r="502" ht="15.75" customHeight="1">
      <c r="B502" s="38"/>
    </row>
    <row r="503" ht="15.75" customHeight="1">
      <c r="B503" s="38"/>
    </row>
    <row r="504" ht="15.75" customHeight="1">
      <c r="B504" s="38"/>
    </row>
    <row r="505" ht="15.75" customHeight="1">
      <c r="B505" s="38"/>
    </row>
    <row r="506" ht="15.75" customHeight="1">
      <c r="B506" s="38"/>
    </row>
    <row r="507" ht="15.75" customHeight="1">
      <c r="B507" s="38"/>
    </row>
    <row r="508" ht="15.75" customHeight="1">
      <c r="B508" s="38"/>
    </row>
    <row r="509" ht="15.75" customHeight="1">
      <c r="B509" s="38"/>
    </row>
    <row r="510" ht="15.75" customHeight="1">
      <c r="B510" s="38"/>
    </row>
    <row r="511" ht="15.75" customHeight="1">
      <c r="B511" s="38"/>
    </row>
    <row r="512" ht="15.75" customHeight="1">
      <c r="B512" s="38"/>
    </row>
    <row r="513" ht="15.75" customHeight="1">
      <c r="B513" s="38"/>
    </row>
    <row r="514" ht="15.75" customHeight="1">
      <c r="B514" s="38"/>
    </row>
    <row r="515" ht="15.75" customHeight="1">
      <c r="B515" s="38"/>
    </row>
    <row r="516" ht="15.75" customHeight="1">
      <c r="B516" s="38"/>
    </row>
    <row r="517" ht="15.75" customHeight="1">
      <c r="B517" s="38"/>
    </row>
    <row r="518" ht="15.75" customHeight="1">
      <c r="B518" s="38"/>
    </row>
    <row r="519" ht="15.75" customHeight="1">
      <c r="B519" s="38"/>
    </row>
    <row r="520" ht="15.75" customHeight="1">
      <c r="B520" s="38"/>
    </row>
    <row r="521" ht="15.75" customHeight="1">
      <c r="B521" s="38"/>
    </row>
    <row r="522" ht="15.75" customHeight="1">
      <c r="B522" s="38"/>
    </row>
    <row r="523" ht="15.75" customHeight="1">
      <c r="B523" s="38"/>
    </row>
    <row r="524" ht="15.75" customHeight="1">
      <c r="B524" s="38"/>
    </row>
    <row r="525" ht="15.75" customHeight="1">
      <c r="B525" s="38"/>
    </row>
    <row r="526" ht="15.75" customHeight="1">
      <c r="B526" s="38"/>
    </row>
    <row r="527" ht="15.75" customHeight="1">
      <c r="B527" s="38"/>
    </row>
    <row r="528" ht="15.75" customHeight="1">
      <c r="B528" s="38"/>
    </row>
    <row r="529" ht="15.75" customHeight="1">
      <c r="B529" s="38"/>
    </row>
    <row r="530" ht="15.75" customHeight="1">
      <c r="B530" s="38"/>
    </row>
    <row r="531" ht="15.75" customHeight="1">
      <c r="B531" s="38"/>
    </row>
    <row r="532" ht="15.75" customHeight="1">
      <c r="B532" s="38"/>
    </row>
    <row r="533" ht="15.75" customHeight="1">
      <c r="B533" s="38"/>
    </row>
    <row r="534" ht="15.75" customHeight="1">
      <c r="B534" s="38"/>
    </row>
    <row r="535" ht="15.75" customHeight="1">
      <c r="B535" s="38"/>
    </row>
    <row r="536" ht="15.75" customHeight="1">
      <c r="B536" s="38"/>
    </row>
    <row r="537" ht="15.75" customHeight="1">
      <c r="B537" s="38"/>
    </row>
    <row r="538" ht="15.75" customHeight="1">
      <c r="B538" s="38"/>
    </row>
    <row r="539" ht="15.75" customHeight="1">
      <c r="B539" s="38"/>
    </row>
    <row r="540" ht="15.75" customHeight="1">
      <c r="B540" s="38"/>
    </row>
    <row r="541" ht="15.75" customHeight="1">
      <c r="B541" s="38"/>
    </row>
    <row r="542" ht="15.75" customHeight="1">
      <c r="B542" s="38"/>
    </row>
    <row r="543" ht="15.75" customHeight="1">
      <c r="B543" s="38"/>
    </row>
    <row r="544" ht="15.75" customHeight="1">
      <c r="B544" s="38"/>
    </row>
    <row r="545" ht="15.75" customHeight="1">
      <c r="B545" s="38"/>
    </row>
    <row r="546" ht="15.75" customHeight="1">
      <c r="B546" s="38"/>
    </row>
    <row r="547" ht="15.75" customHeight="1">
      <c r="B547" s="38"/>
    </row>
    <row r="548" ht="15.75" customHeight="1">
      <c r="B548" s="38"/>
    </row>
    <row r="549" ht="15.75" customHeight="1">
      <c r="B549" s="38"/>
    </row>
    <row r="550" ht="15.75" customHeight="1">
      <c r="B550" s="38"/>
    </row>
    <row r="551" ht="15.75" customHeight="1">
      <c r="B551" s="38"/>
    </row>
    <row r="552" ht="15.75" customHeight="1">
      <c r="B552" s="38"/>
    </row>
    <row r="553" ht="15.75" customHeight="1">
      <c r="B553" s="38"/>
    </row>
    <row r="554" ht="15.75" customHeight="1">
      <c r="B554" s="38"/>
    </row>
    <row r="555" ht="15.75" customHeight="1">
      <c r="B555" s="38"/>
    </row>
    <row r="556" ht="15.75" customHeight="1">
      <c r="B556" s="38"/>
    </row>
    <row r="557" ht="15.75" customHeight="1">
      <c r="B557" s="38"/>
    </row>
    <row r="558" ht="15.75" customHeight="1">
      <c r="B558" s="38"/>
    </row>
    <row r="559" ht="15.75" customHeight="1">
      <c r="B559" s="38"/>
    </row>
    <row r="560" ht="15.75" customHeight="1">
      <c r="B560" s="38"/>
    </row>
    <row r="561" ht="15.75" customHeight="1">
      <c r="B561" s="38"/>
    </row>
    <row r="562" ht="15.75" customHeight="1">
      <c r="B562" s="38"/>
    </row>
    <row r="563" ht="15.75" customHeight="1">
      <c r="B563" s="38"/>
    </row>
    <row r="564" ht="15.75" customHeight="1">
      <c r="B564" s="38"/>
    </row>
    <row r="565" ht="15.75" customHeight="1">
      <c r="B565" s="38"/>
    </row>
    <row r="566" ht="15.75" customHeight="1">
      <c r="B566" s="38"/>
    </row>
    <row r="567" ht="15.75" customHeight="1">
      <c r="B567" s="38"/>
    </row>
    <row r="568" ht="15.75" customHeight="1">
      <c r="B568" s="38"/>
    </row>
    <row r="569" ht="15.75" customHeight="1">
      <c r="B569" s="38"/>
    </row>
    <row r="570" ht="15.75" customHeight="1">
      <c r="B570" s="38"/>
    </row>
    <row r="571" ht="15.75" customHeight="1">
      <c r="B571" s="38"/>
    </row>
    <row r="572" ht="15.75" customHeight="1">
      <c r="B572" s="38"/>
    </row>
    <row r="573" ht="15.75" customHeight="1">
      <c r="B573" s="38"/>
    </row>
    <row r="574" ht="15.75" customHeight="1">
      <c r="B574" s="38"/>
    </row>
    <row r="575" ht="15.75" customHeight="1">
      <c r="B575" s="38"/>
    </row>
    <row r="576" ht="15.75" customHeight="1">
      <c r="B576" s="38"/>
    </row>
    <row r="577" ht="15.75" customHeight="1">
      <c r="B577" s="38"/>
    </row>
    <row r="578" ht="15.75" customHeight="1">
      <c r="B578" s="38"/>
    </row>
    <row r="579" ht="15.75" customHeight="1">
      <c r="B579" s="38"/>
    </row>
    <row r="580" ht="15.75" customHeight="1">
      <c r="B580" s="38"/>
    </row>
    <row r="581" ht="15.75" customHeight="1">
      <c r="B581" s="38"/>
    </row>
    <row r="582" ht="15.75" customHeight="1">
      <c r="B582" s="38"/>
    </row>
    <row r="583" ht="15.75" customHeight="1">
      <c r="B583" s="38"/>
    </row>
    <row r="584" ht="15.75" customHeight="1">
      <c r="B584" s="38"/>
    </row>
    <row r="585" ht="15.75" customHeight="1">
      <c r="B585" s="38"/>
    </row>
    <row r="586" ht="15.75" customHeight="1">
      <c r="B586" s="38"/>
    </row>
    <row r="587" ht="15.75" customHeight="1">
      <c r="B587" s="38"/>
    </row>
    <row r="588" ht="15.75" customHeight="1">
      <c r="B588" s="38"/>
    </row>
    <row r="589" ht="15.75" customHeight="1">
      <c r="B589" s="38"/>
    </row>
    <row r="590" ht="15.75" customHeight="1">
      <c r="B590" s="38"/>
    </row>
    <row r="591" ht="15.75" customHeight="1">
      <c r="B591" s="38"/>
    </row>
    <row r="592" ht="15.75" customHeight="1">
      <c r="B592" s="38"/>
    </row>
    <row r="593" ht="15.75" customHeight="1">
      <c r="B593" s="38"/>
    </row>
    <row r="594" ht="15.75" customHeight="1">
      <c r="B594" s="38"/>
    </row>
    <row r="595" ht="15.75" customHeight="1">
      <c r="B595" s="38"/>
    </row>
    <row r="596" ht="15.75" customHeight="1">
      <c r="B596" s="38"/>
    </row>
    <row r="597" ht="15.75" customHeight="1">
      <c r="B597" s="38"/>
    </row>
    <row r="598" ht="15.75" customHeight="1">
      <c r="B598" s="38"/>
    </row>
    <row r="599" ht="15.75" customHeight="1">
      <c r="B599" s="38"/>
    </row>
    <row r="600" ht="15.75" customHeight="1">
      <c r="B600" s="38"/>
    </row>
    <row r="601" ht="15.75" customHeight="1">
      <c r="B601" s="38"/>
    </row>
    <row r="602" ht="15.75" customHeight="1">
      <c r="B602" s="38"/>
    </row>
    <row r="603" ht="15.75" customHeight="1">
      <c r="B603" s="38"/>
    </row>
    <row r="604" ht="15.75" customHeight="1">
      <c r="B604" s="38"/>
    </row>
    <row r="605" ht="15.75" customHeight="1">
      <c r="B605" s="38"/>
    </row>
    <row r="606" ht="15.75" customHeight="1">
      <c r="B606" s="38"/>
    </row>
    <row r="607" ht="15.75" customHeight="1">
      <c r="B607" s="38"/>
    </row>
    <row r="608" ht="15.75" customHeight="1">
      <c r="B608" s="38"/>
    </row>
    <row r="609" ht="15.75" customHeight="1">
      <c r="B609" s="38"/>
    </row>
    <row r="610" ht="15.75" customHeight="1">
      <c r="B610" s="38"/>
    </row>
    <row r="611" ht="15.75" customHeight="1">
      <c r="B611" s="38"/>
    </row>
    <row r="612" ht="15.75" customHeight="1">
      <c r="B612" s="38"/>
    </row>
    <row r="613" ht="15.75" customHeight="1">
      <c r="B613" s="38"/>
    </row>
    <row r="614" ht="15.75" customHeight="1">
      <c r="B614" s="38"/>
    </row>
    <row r="615" ht="15.75" customHeight="1">
      <c r="B615" s="38"/>
    </row>
    <row r="616" ht="15.75" customHeight="1">
      <c r="B616" s="38"/>
    </row>
    <row r="617" ht="15.75" customHeight="1">
      <c r="B617" s="38"/>
    </row>
    <row r="618" ht="15.75" customHeight="1">
      <c r="B618" s="38"/>
    </row>
    <row r="619" ht="15.75" customHeight="1">
      <c r="B619" s="38"/>
    </row>
    <row r="620" ht="15.75" customHeight="1">
      <c r="B620" s="38"/>
    </row>
    <row r="621" ht="15.75" customHeight="1">
      <c r="B621" s="38"/>
    </row>
    <row r="622" ht="15.75" customHeight="1">
      <c r="B622" s="38"/>
    </row>
    <row r="623" ht="15.75" customHeight="1">
      <c r="B623" s="38"/>
    </row>
    <row r="624" ht="15.75" customHeight="1">
      <c r="B624" s="38"/>
    </row>
    <row r="625" ht="15.75" customHeight="1">
      <c r="B625" s="38"/>
    </row>
    <row r="626" ht="15.75" customHeight="1">
      <c r="B626" s="38"/>
    </row>
    <row r="627" ht="15.75" customHeight="1">
      <c r="B627" s="38"/>
    </row>
    <row r="628" ht="15.75" customHeight="1">
      <c r="B628" s="38"/>
    </row>
    <row r="629" ht="15.75" customHeight="1">
      <c r="B629" s="38"/>
    </row>
    <row r="630" ht="15.75" customHeight="1">
      <c r="B630" s="38"/>
    </row>
    <row r="631" ht="15.75" customHeight="1">
      <c r="B631" s="38"/>
    </row>
    <row r="632" ht="15.75" customHeight="1">
      <c r="B632" s="38"/>
    </row>
    <row r="633" ht="15.75" customHeight="1">
      <c r="B633" s="38"/>
    </row>
    <row r="634" ht="15.75" customHeight="1">
      <c r="B634" s="38"/>
    </row>
    <row r="635" ht="15.75" customHeight="1">
      <c r="B635" s="38"/>
    </row>
    <row r="636" ht="15.75" customHeight="1">
      <c r="B636" s="38"/>
    </row>
    <row r="637" ht="15.75" customHeight="1">
      <c r="B637" s="38"/>
    </row>
    <row r="638" ht="15.75" customHeight="1">
      <c r="B638" s="38"/>
    </row>
    <row r="639" ht="15.75" customHeight="1">
      <c r="B639" s="38"/>
    </row>
    <row r="640" ht="15.75" customHeight="1">
      <c r="B640" s="38"/>
    </row>
    <row r="641" ht="15.75" customHeight="1">
      <c r="B641" s="38"/>
    </row>
    <row r="642" ht="15.75" customHeight="1">
      <c r="B642" s="38"/>
    </row>
    <row r="643" ht="15.75" customHeight="1">
      <c r="B643" s="38"/>
    </row>
    <row r="644" ht="15.75" customHeight="1">
      <c r="B644" s="38"/>
    </row>
    <row r="645" ht="15.75" customHeight="1">
      <c r="B645" s="38"/>
    </row>
    <row r="646" ht="15.75" customHeight="1">
      <c r="B646" s="38"/>
    </row>
    <row r="647" ht="15.75" customHeight="1">
      <c r="B647" s="38"/>
    </row>
    <row r="648" ht="15.75" customHeight="1">
      <c r="B648" s="38"/>
    </row>
    <row r="649" ht="15.75" customHeight="1">
      <c r="B649" s="38"/>
    </row>
    <row r="650" ht="15.75" customHeight="1">
      <c r="B650" s="38"/>
    </row>
    <row r="651" ht="15.75" customHeight="1">
      <c r="B651" s="38"/>
    </row>
    <row r="652" ht="15.75" customHeight="1">
      <c r="B652" s="38"/>
    </row>
    <row r="653" ht="15.75" customHeight="1">
      <c r="B653" s="38"/>
    </row>
    <row r="654" ht="15.75" customHeight="1">
      <c r="B654" s="38"/>
    </row>
    <row r="655" ht="15.75" customHeight="1">
      <c r="B655" s="38"/>
    </row>
    <row r="656" ht="15.75" customHeight="1">
      <c r="B656" s="38"/>
    </row>
    <row r="657" ht="15.75" customHeight="1">
      <c r="B657" s="38"/>
    </row>
    <row r="658" ht="15.75" customHeight="1">
      <c r="B658" s="38"/>
    </row>
    <row r="659" ht="15.75" customHeight="1">
      <c r="B659" s="38"/>
    </row>
    <row r="660" ht="15.75" customHeight="1">
      <c r="B660" s="38"/>
    </row>
    <row r="661" ht="15.75" customHeight="1">
      <c r="B661" s="38"/>
    </row>
    <row r="662" ht="15.75" customHeight="1">
      <c r="B662" s="38"/>
    </row>
    <row r="663" ht="15.75" customHeight="1">
      <c r="B663" s="38"/>
    </row>
    <row r="664" ht="15.75" customHeight="1">
      <c r="B664" s="38"/>
    </row>
    <row r="665" ht="15.75" customHeight="1">
      <c r="B665" s="38"/>
    </row>
    <row r="666" ht="15.75" customHeight="1">
      <c r="B666" s="38"/>
    </row>
    <row r="667" ht="15.75" customHeight="1">
      <c r="B667" s="38"/>
    </row>
    <row r="668" ht="15.75" customHeight="1">
      <c r="B668" s="38"/>
    </row>
    <row r="669" ht="15.75" customHeight="1">
      <c r="B669" s="38"/>
    </row>
    <row r="670" ht="15.75" customHeight="1">
      <c r="B670" s="38"/>
    </row>
    <row r="671" ht="15.75" customHeight="1">
      <c r="B671" s="38"/>
    </row>
    <row r="672" ht="15.75" customHeight="1">
      <c r="B672" s="38"/>
    </row>
    <row r="673" ht="15.75" customHeight="1">
      <c r="B673" s="38"/>
    </row>
    <row r="674" ht="15.75" customHeight="1">
      <c r="B674" s="38"/>
    </row>
    <row r="675" ht="15.75" customHeight="1">
      <c r="B675" s="38"/>
    </row>
    <row r="676" ht="15.75" customHeight="1">
      <c r="B676" s="38"/>
    </row>
    <row r="677" ht="15.75" customHeight="1">
      <c r="B677" s="38"/>
    </row>
    <row r="678" ht="15.75" customHeight="1">
      <c r="B678" s="38"/>
    </row>
    <row r="679" ht="15.75" customHeight="1">
      <c r="B679" s="38"/>
    </row>
    <row r="680" ht="15.75" customHeight="1">
      <c r="B680" s="38"/>
    </row>
    <row r="681" ht="15.75" customHeight="1">
      <c r="B681" s="38"/>
    </row>
    <row r="682" ht="15.75" customHeight="1">
      <c r="B682" s="38"/>
    </row>
    <row r="683" ht="15.75" customHeight="1">
      <c r="B683" s="38"/>
    </row>
    <row r="684" ht="15.75" customHeight="1">
      <c r="B684" s="38"/>
    </row>
    <row r="685" ht="15.75" customHeight="1">
      <c r="B685" s="38"/>
    </row>
    <row r="686" ht="15.75" customHeight="1">
      <c r="B686" s="38"/>
    </row>
    <row r="687" ht="15.75" customHeight="1">
      <c r="B687" s="38"/>
    </row>
    <row r="688" ht="15.75" customHeight="1">
      <c r="B688" s="38"/>
    </row>
    <row r="689" ht="15.75" customHeight="1">
      <c r="B689" s="38"/>
    </row>
    <row r="690" ht="15.75" customHeight="1">
      <c r="B690" s="38"/>
    </row>
    <row r="691" ht="15.75" customHeight="1">
      <c r="B691" s="38"/>
    </row>
    <row r="692" ht="15.75" customHeight="1">
      <c r="B692" s="38"/>
    </row>
    <row r="693" ht="15.75" customHeight="1">
      <c r="B693" s="38"/>
    </row>
    <row r="694" ht="15.75" customHeight="1">
      <c r="B694" s="38"/>
    </row>
    <row r="695" ht="15.75" customHeight="1">
      <c r="B695" s="38"/>
    </row>
    <row r="696" ht="15.75" customHeight="1">
      <c r="B696" s="38"/>
    </row>
    <row r="697" ht="15.75" customHeight="1">
      <c r="B697" s="38"/>
    </row>
    <row r="698" ht="15.75" customHeight="1">
      <c r="B698" s="38"/>
    </row>
    <row r="699" ht="15.75" customHeight="1">
      <c r="B699" s="38"/>
    </row>
    <row r="700" ht="15.75" customHeight="1">
      <c r="B700" s="38"/>
    </row>
    <row r="701" ht="15.75" customHeight="1">
      <c r="B701" s="38"/>
    </row>
    <row r="702" ht="15.75" customHeight="1">
      <c r="B702" s="38"/>
    </row>
    <row r="703" ht="15.75" customHeight="1">
      <c r="B703" s="38"/>
    </row>
    <row r="704" ht="15.75" customHeight="1">
      <c r="B704" s="38"/>
    </row>
    <row r="705" ht="15.75" customHeight="1">
      <c r="B705" s="38"/>
    </row>
    <row r="706" ht="15.75" customHeight="1">
      <c r="B706" s="38"/>
    </row>
    <row r="707" ht="15.75" customHeight="1">
      <c r="B707" s="38"/>
    </row>
    <row r="708" ht="15.75" customHeight="1">
      <c r="B708" s="38"/>
    </row>
    <row r="709" ht="15.75" customHeight="1">
      <c r="B709" s="38"/>
    </row>
    <row r="710" ht="15.75" customHeight="1">
      <c r="B710" s="38"/>
    </row>
    <row r="711" ht="15.75" customHeight="1">
      <c r="B711" s="38"/>
    </row>
    <row r="712" ht="15.75" customHeight="1">
      <c r="B712" s="38"/>
    </row>
    <row r="713" ht="15.75" customHeight="1">
      <c r="B713" s="38"/>
    </row>
    <row r="714" ht="15.75" customHeight="1">
      <c r="B714" s="38"/>
    </row>
    <row r="715" ht="15.75" customHeight="1">
      <c r="B715" s="38"/>
    </row>
    <row r="716" ht="15.75" customHeight="1">
      <c r="B716" s="38"/>
    </row>
    <row r="717" ht="15.75" customHeight="1">
      <c r="B717" s="38"/>
    </row>
    <row r="718" ht="15.75" customHeight="1">
      <c r="B718" s="38"/>
    </row>
    <row r="719" ht="15.75" customHeight="1">
      <c r="B719" s="38"/>
    </row>
    <row r="720" ht="15.75" customHeight="1">
      <c r="B720" s="38"/>
    </row>
    <row r="721" ht="15.75" customHeight="1">
      <c r="B721" s="38"/>
    </row>
    <row r="722" ht="15.75" customHeight="1">
      <c r="B722" s="38"/>
    </row>
    <row r="723" ht="15.75" customHeight="1">
      <c r="B723" s="38"/>
    </row>
    <row r="724" ht="15.75" customHeight="1">
      <c r="B724" s="38"/>
    </row>
    <row r="725" ht="15.75" customHeight="1">
      <c r="B725" s="38"/>
    </row>
    <row r="726" ht="15.75" customHeight="1">
      <c r="B726" s="38"/>
    </row>
    <row r="727" ht="15.75" customHeight="1">
      <c r="B727" s="38"/>
    </row>
    <row r="728" ht="15.75" customHeight="1">
      <c r="B728" s="38"/>
    </row>
    <row r="729" ht="15.75" customHeight="1">
      <c r="B729" s="38"/>
    </row>
    <row r="730" ht="15.75" customHeight="1">
      <c r="B730" s="38"/>
    </row>
    <row r="731" ht="15.75" customHeight="1">
      <c r="B731" s="38"/>
    </row>
    <row r="732" ht="15.75" customHeight="1">
      <c r="B732" s="38"/>
    </row>
    <row r="733" ht="15.75" customHeight="1">
      <c r="B733" s="38"/>
    </row>
    <row r="734" ht="15.75" customHeight="1">
      <c r="B734" s="38"/>
    </row>
    <row r="735" ht="15.75" customHeight="1">
      <c r="B735" s="38"/>
    </row>
    <row r="736" ht="15.75" customHeight="1">
      <c r="B736" s="38"/>
    </row>
    <row r="737" ht="15.75" customHeight="1">
      <c r="B737" s="38"/>
    </row>
    <row r="738" ht="15.75" customHeight="1">
      <c r="B738" s="38"/>
    </row>
    <row r="739" ht="15.75" customHeight="1">
      <c r="B739" s="38"/>
    </row>
    <row r="740" ht="15.75" customHeight="1">
      <c r="B740" s="38"/>
    </row>
    <row r="741" ht="15.75" customHeight="1">
      <c r="B741" s="38"/>
    </row>
    <row r="742" ht="15.75" customHeight="1">
      <c r="B742" s="38"/>
    </row>
    <row r="743" ht="15.75" customHeight="1">
      <c r="B743" s="38"/>
    </row>
    <row r="744" ht="15.75" customHeight="1">
      <c r="B744" s="38"/>
    </row>
    <row r="745" ht="15.75" customHeight="1">
      <c r="B745" s="38"/>
    </row>
    <row r="746" ht="15.75" customHeight="1">
      <c r="B746" s="38"/>
    </row>
    <row r="747" ht="15.75" customHeight="1">
      <c r="B747" s="38"/>
    </row>
    <row r="748" ht="15.75" customHeight="1">
      <c r="B748" s="38"/>
    </row>
    <row r="749" ht="15.75" customHeight="1">
      <c r="B749" s="38"/>
    </row>
    <row r="750" ht="15.75" customHeight="1">
      <c r="B750" s="38"/>
    </row>
    <row r="751" ht="15.75" customHeight="1">
      <c r="B751" s="38"/>
    </row>
    <row r="752" ht="15.75" customHeight="1">
      <c r="B752" s="38"/>
    </row>
    <row r="753" ht="15.75" customHeight="1">
      <c r="B753" s="38"/>
    </row>
    <row r="754" ht="15.75" customHeight="1">
      <c r="B754" s="38"/>
    </row>
    <row r="755" ht="15.75" customHeight="1">
      <c r="B755" s="38"/>
    </row>
    <row r="756" ht="15.75" customHeight="1">
      <c r="B756" s="38"/>
    </row>
    <row r="757" ht="15.75" customHeight="1">
      <c r="B757" s="38"/>
    </row>
    <row r="758" ht="15.75" customHeight="1">
      <c r="B758" s="38"/>
    </row>
    <row r="759" ht="15.75" customHeight="1">
      <c r="B759" s="38"/>
    </row>
    <row r="760" ht="15.75" customHeight="1">
      <c r="B760" s="38"/>
    </row>
    <row r="761" ht="15.75" customHeight="1">
      <c r="B761" s="38"/>
    </row>
    <row r="762" ht="15.75" customHeight="1">
      <c r="B762" s="38"/>
    </row>
    <row r="763" ht="15.75" customHeight="1">
      <c r="B763" s="38"/>
    </row>
    <row r="764" ht="15.75" customHeight="1">
      <c r="B764" s="38"/>
    </row>
    <row r="765" ht="15.75" customHeight="1">
      <c r="B765" s="38"/>
    </row>
    <row r="766" ht="15.75" customHeight="1">
      <c r="B766" s="38"/>
    </row>
    <row r="767" ht="15.75" customHeight="1">
      <c r="B767" s="38"/>
    </row>
    <row r="768" ht="15.75" customHeight="1">
      <c r="B768" s="38"/>
    </row>
    <row r="769" ht="15.75" customHeight="1">
      <c r="B769" s="38"/>
    </row>
    <row r="770" ht="15.75" customHeight="1">
      <c r="B770" s="38"/>
    </row>
    <row r="771" ht="15.75" customHeight="1">
      <c r="B771" s="38"/>
    </row>
    <row r="772" ht="15.75" customHeight="1">
      <c r="B772" s="38"/>
    </row>
    <row r="773" ht="15.75" customHeight="1">
      <c r="B773" s="38"/>
    </row>
    <row r="774" ht="15.75" customHeight="1">
      <c r="B774" s="38"/>
    </row>
    <row r="775" ht="15.75" customHeight="1">
      <c r="B775" s="38"/>
    </row>
    <row r="776" ht="15.75" customHeight="1">
      <c r="B776" s="38"/>
    </row>
    <row r="777" ht="15.75" customHeight="1">
      <c r="B777" s="38"/>
    </row>
    <row r="778" ht="15.75" customHeight="1">
      <c r="B778" s="38"/>
    </row>
    <row r="779" ht="15.75" customHeight="1">
      <c r="B779" s="38"/>
    </row>
    <row r="780" ht="15.75" customHeight="1">
      <c r="B780" s="38"/>
    </row>
    <row r="781" ht="15.75" customHeight="1">
      <c r="B781" s="38"/>
    </row>
    <row r="782" ht="15.75" customHeight="1">
      <c r="B782" s="38"/>
    </row>
    <row r="783" ht="15.75" customHeight="1">
      <c r="B783" s="38"/>
    </row>
    <row r="784" ht="15.75" customHeight="1">
      <c r="B784" s="38"/>
    </row>
    <row r="785" ht="15.75" customHeight="1">
      <c r="B785" s="38"/>
    </row>
    <row r="786" ht="15.75" customHeight="1">
      <c r="B786" s="38"/>
    </row>
    <row r="787" ht="15.75" customHeight="1">
      <c r="B787" s="38"/>
    </row>
    <row r="788" ht="15.75" customHeight="1">
      <c r="B788" s="38"/>
    </row>
    <row r="789" ht="15.75" customHeight="1">
      <c r="B789" s="38"/>
    </row>
    <row r="790" ht="15.75" customHeight="1">
      <c r="B790" s="38"/>
    </row>
    <row r="791" ht="15.75" customHeight="1">
      <c r="B791" s="38"/>
    </row>
    <row r="792" ht="15.75" customHeight="1">
      <c r="B792" s="38"/>
    </row>
    <row r="793" ht="15.75" customHeight="1">
      <c r="B793" s="38"/>
    </row>
    <row r="794" ht="15.75" customHeight="1">
      <c r="B794" s="38"/>
    </row>
    <row r="795" ht="15.75" customHeight="1">
      <c r="B795" s="38"/>
    </row>
    <row r="796" ht="15.75" customHeight="1">
      <c r="B796" s="38"/>
    </row>
    <row r="797" ht="15.75" customHeight="1">
      <c r="B797" s="38"/>
    </row>
    <row r="798" ht="15.75" customHeight="1">
      <c r="B798" s="38"/>
    </row>
    <row r="799" ht="15.75" customHeight="1">
      <c r="B799" s="38"/>
    </row>
    <row r="800" ht="15.75" customHeight="1">
      <c r="B800" s="38"/>
    </row>
    <row r="801" ht="15.75" customHeight="1">
      <c r="B801" s="38"/>
    </row>
    <row r="802" ht="15.75" customHeight="1">
      <c r="B802" s="38"/>
    </row>
    <row r="803" ht="15.75" customHeight="1">
      <c r="B803" s="38"/>
    </row>
    <row r="804" ht="15.75" customHeight="1">
      <c r="B804" s="38"/>
    </row>
    <row r="805" ht="15.75" customHeight="1">
      <c r="B805" s="38"/>
    </row>
    <row r="806" ht="15.75" customHeight="1">
      <c r="B806" s="38"/>
    </row>
    <row r="807" ht="15.75" customHeight="1">
      <c r="B807" s="38"/>
    </row>
    <row r="808" ht="15.75" customHeight="1">
      <c r="B808" s="38"/>
    </row>
    <row r="809" ht="15.75" customHeight="1">
      <c r="B809" s="38"/>
    </row>
    <row r="810" ht="15.75" customHeight="1">
      <c r="B810" s="38"/>
    </row>
    <row r="811" ht="15.75" customHeight="1">
      <c r="B811" s="38"/>
    </row>
    <row r="812" ht="15.75" customHeight="1">
      <c r="B812" s="38"/>
    </row>
    <row r="813" ht="15.75" customHeight="1">
      <c r="B813" s="38"/>
    </row>
    <row r="814" ht="15.75" customHeight="1">
      <c r="B814" s="38"/>
    </row>
    <row r="815" ht="15.75" customHeight="1">
      <c r="B815" s="38"/>
    </row>
    <row r="816" ht="15.75" customHeight="1">
      <c r="B816" s="38"/>
    </row>
    <row r="817" ht="15.75" customHeight="1">
      <c r="B817" s="38"/>
    </row>
    <row r="818" ht="15.75" customHeight="1">
      <c r="B818" s="38"/>
    </row>
    <row r="819" ht="15.75" customHeight="1">
      <c r="B819" s="38"/>
    </row>
    <row r="820" ht="15.75" customHeight="1">
      <c r="B820" s="38"/>
    </row>
    <row r="821" ht="15.75" customHeight="1">
      <c r="B821" s="38"/>
    </row>
    <row r="822" ht="15.75" customHeight="1">
      <c r="B822" s="38"/>
    </row>
    <row r="823" ht="15.75" customHeight="1">
      <c r="B823" s="38"/>
    </row>
    <row r="824" ht="15.75" customHeight="1">
      <c r="B824" s="38"/>
    </row>
    <row r="825" ht="15.75" customHeight="1">
      <c r="B825" s="38"/>
    </row>
    <row r="826" ht="15.75" customHeight="1">
      <c r="B826" s="38"/>
    </row>
    <row r="827" ht="15.75" customHeight="1">
      <c r="B827" s="38"/>
    </row>
    <row r="828" ht="15.75" customHeight="1">
      <c r="B828" s="38"/>
    </row>
    <row r="829" ht="15.75" customHeight="1">
      <c r="B829" s="38"/>
    </row>
    <row r="830" ht="15.75" customHeight="1">
      <c r="B830" s="38"/>
    </row>
    <row r="831" ht="15.75" customHeight="1">
      <c r="B831" s="38"/>
    </row>
    <row r="832" ht="15.75" customHeight="1">
      <c r="B832" s="38"/>
    </row>
    <row r="833" ht="15.75" customHeight="1">
      <c r="B833" s="38"/>
    </row>
    <row r="834" ht="15.75" customHeight="1">
      <c r="B834" s="38"/>
    </row>
    <row r="835" ht="15.75" customHeight="1">
      <c r="B835" s="38"/>
    </row>
    <row r="836" ht="15.75" customHeight="1">
      <c r="B836" s="38"/>
    </row>
    <row r="837" ht="15.75" customHeight="1">
      <c r="B837" s="38"/>
    </row>
    <row r="838" ht="15.75" customHeight="1">
      <c r="B838" s="38"/>
    </row>
    <row r="839" ht="15.75" customHeight="1">
      <c r="B839" s="38"/>
    </row>
    <row r="840" ht="15.75" customHeight="1">
      <c r="B840" s="38"/>
    </row>
    <row r="841" ht="15.75" customHeight="1">
      <c r="B841" s="38"/>
    </row>
    <row r="842" ht="15.75" customHeight="1">
      <c r="B842" s="38"/>
    </row>
    <row r="843" ht="15.75" customHeight="1">
      <c r="B843" s="38"/>
    </row>
    <row r="844" ht="15.75" customHeight="1">
      <c r="B844" s="38"/>
    </row>
    <row r="845" ht="15.75" customHeight="1">
      <c r="B845" s="38"/>
    </row>
    <row r="846" ht="15.75" customHeight="1">
      <c r="B846" s="38"/>
    </row>
    <row r="847" ht="15.75" customHeight="1">
      <c r="B847" s="38"/>
    </row>
    <row r="848" ht="15.75" customHeight="1">
      <c r="B848" s="38"/>
    </row>
    <row r="849" ht="15.75" customHeight="1">
      <c r="B849" s="38"/>
    </row>
    <row r="850" ht="15.75" customHeight="1">
      <c r="B850" s="38"/>
    </row>
    <row r="851" ht="15.75" customHeight="1">
      <c r="B851" s="38"/>
    </row>
    <row r="852" ht="15.75" customHeight="1">
      <c r="B852" s="38"/>
    </row>
    <row r="853" ht="15.75" customHeight="1">
      <c r="B853" s="38"/>
    </row>
    <row r="854" ht="15.75" customHeight="1">
      <c r="B854" s="38"/>
    </row>
    <row r="855" ht="15.75" customHeight="1">
      <c r="B855" s="38"/>
    </row>
    <row r="856" ht="15.75" customHeight="1">
      <c r="B856" s="38"/>
    </row>
    <row r="857" ht="15.75" customHeight="1">
      <c r="B857" s="38"/>
    </row>
    <row r="858" ht="15.75" customHeight="1">
      <c r="B858" s="38"/>
    </row>
    <row r="859" ht="15.75" customHeight="1">
      <c r="B859" s="38"/>
    </row>
    <row r="860" ht="15.75" customHeight="1">
      <c r="B860" s="38"/>
    </row>
    <row r="861" ht="15.75" customHeight="1">
      <c r="B861" s="38"/>
    </row>
    <row r="862" ht="15.75" customHeight="1">
      <c r="B862" s="38"/>
    </row>
    <row r="863" ht="15.75" customHeight="1">
      <c r="B863" s="38"/>
    </row>
    <row r="864" ht="15.75" customHeight="1">
      <c r="B864" s="38"/>
    </row>
    <row r="865" ht="15.75" customHeight="1">
      <c r="B865" s="38"/>
    </row>
    <row r="866" ht="15.75" customHeight="1">
      <c r="B866" s="38"/>
    </row>
    <row r="867" ht="15.75" customHeight="1">
      <c r="B867" s="38"/>
    </row>
    <row r="868" ht="15.75" customHeight="1">
      <c r="B868" s="38"/>
    </row>
    <row r="869" ht="15.75" customHeight="1">
      <c r="B869" s="38"/>
    </row>
    <row r="870" ht="15.75" customHeight="1">
      <c r="B870" s="38"/>
    </row>
    <row r="871" ht="15.75" customHeight="1">
      <c r="B871" s="38"/>
    </row>
    <row r="872" ht="15.75" customHeight="1">
      <c r="B872" s="38"/>
    </row>
    <row r="873" ht="15.75" customHeight="1">
      <c r="B873" s="38"/>
    </row>
    <row r="874" ht="15.75" customHeight="1">
      <c r="B874" s="38"/>
    </row>
    <row r="875" ht="15.75" customHeight="1">
      <c r="B875" s="38"/>
    </row>
    <row r="876" ht="15.75" customHeight="1">
      <c r="B876" s="38"/>
    </row>
    <row r="877" ht="15.75" customHeight="1">
      <c r="B877" s="38"/>
    </row>
    <row r="878" ht="15.75" customHeight="1">
      <c r="B878" s="38"/>
    </row>
    <row r="879" ht="15.75" customHeight="1">
      <c r="B879" s="38"/>
    </row>
    <row r="880" ht="15.75" customHeight="1">
      <c r="B880" s="38"/>
    </row>
    <row r="881" ht="15.75" customHeight="1">
      <c r="B881" s="38"/>
    </row>
    <row r="882" ht="15.75" customHeight="1">
      <c r="B882" s="38"/>
    </row>
    <row r="883" ht="15.75" customHeight="1">
      <c r="B883" s="38"/>
    </row>
    <row r="884" ht="15.75" customHeight="1">
      <c r="B884" s="38"/>
    </row>
    <row r="885" ht="15.75" customHeight="1">
      <c r="B885" s="38"/>
    </row>
    <row r="886" ht="15.75" customHeight="1">
      <c r="B886" s="38"/>
    </row>
    <row r="887" ht="15.75" customHeight="1">
      <c r="B887" s="38"/>
    </row>
    <row r="888" ht="15.75" customHeight="1">
      <c r="B888" s="38"/>
    </row>
    <row r="889" ht="15.75" customHeight="1">
      <c r="B889" s="38"/>
    </row>
    <row r="890" ht="15.75" customHeight="1">
      <c r="B890" s="38"/>
    </row>
    <row r="891" ht="15.75" customHeight="1">
      <c r="B891" s="38"/>
    </row>
    <row r="892" ht="15.75" customHeight="1">
      <c r="B892" s="38"/>
    </row>
    <row r="893" ht="15.75" customHeight="1">
      <c r="B893" s="38"/>
    </row>
    <row r="894" ht="15.75" customHeight="1">
      <c r="B894" s="38"/>
    </row>
    <row r="895" ht="15.75" customHeight="1">
      <c r="B895" s="38"/>
    </row>
    <row r="896" ht="15.75" customHeight="1">
      <c r="B896" s="38"/>
    </row>
    <row r="897" ht="15.75" customHeight="1">
      <c r="B897" s="38"/>
    </row>
    <row r="898" ht="15.75" customHeight="1">
      <c r="B898" s="38"/>
    </row>
    <row r="899" ht="15.75" customHeight="1">
      <c r="B899" s="38"/>
    </row>
    <row r="900" ht="15.75" customHeight="1">
      <c r="B900" s="38"/>
    </row>
    <row r="901" ht="15.75" customHeight="1">
      <c r="B901" s="38"/>
    </row>
    <row r="902" ht="15.75" customHeight="1">
      <c r="B902" s="38"/>
    </row>
    <row r="903" ht="15.75" customHeight="1">
      <c r="B903" s="38"/>
    </row>
    <row r="904" ht="15.75" customHeight="1">
      <c r="B904" s="38"/>
    </row>
    <row r="905" ht="15.75" customHeight="1">
      <c r="B905" s="38"/>
    </row>
    <row r="906" ht="15.75" customHeight="1">
      <c r="B906" s="38"/>
    </row>
    <row r="907" ht="15.75" customHeight="1">
      <c r="B907" s="38"/>
    </row>
    <row r="908" ht="15.75" customHeight="1">
      <c r="B908" s="38"/>
    </row>
    <row r="909" ht="15.75" customHeight="1">
      <c r="B909" s="38"/>
    </row>
    <row r="910" ht="15.75" customHeight="1">
      <c r="B910" s="38"/>
    </row>
    <row r="911" ht="15.75" customHeight="1">
      <c r="B911" s="38"/>
    </row>
    <row r="912" ht="15.75" customHeight="1">
      <c r="B912" s="38"/>
    </row>
    <row r="913" ht="15.75" customHeight="1">
      <c r="B913" s="38"/>
    </row>
    <row r="914" ht="15.75" customHeight="1">
      <c r="B914" s="38"/>
    </row>
    <row r="915" ht="15.75" customHeight="1">
      <c r="B915" s="38"/>
    </row>
    <row r="916" ht="15.75" customHeight="1">
      <c r="B916" s="38"/>
    </row>
    <row r="917" ht="15.75" customHeight="1">
      <c r="B917" s="38"/>
    </row>
    <row r="918" ht="15.75" customHeight="1">
      <c r="B918" s="38"/>
    </row>
    <row r="919" ht="15.75" customHeight="1">
      <c r="B919" s="38"/>
    </row>
    <row r="920" ht="15.75" customHeight="1">
      <c r="B920" s="38"/>
    </row>
    <row r="921" ht="15.75" customHeight="1">
      <c r="B921" s="38"/>
    </row>
    <row r="922" ht="15.75" customHeight="1">
      <c r="B922" s="38"/>
    </row>
    <row r="923" ht="15.75" customHeight="1">
      <c r="B923" s="38"/>
    </row>
    <row r="924" ht="15.75" customHeight="1">
      <c r="B924" s="38"/>
    </row>
    <row r="925" ht="15.75" customHeight="1">
      <c r="B925" s="38"/>
    </row>
    <row r="926" ht="15.75" customHeight="1">
      <c r="B926" s="38"/>
    </row>
    <row r="927" ht="15.75" customHeight="1">
      <c r="B927" s="38"/>
    </row>
    <row r="928" ht="15.75" customHeight="1">
      <c r="B928" s="38"/>
    </row>
    <row r="929" ht="15.75" customHeight="1">
      <c r="B929" s="38"/>
    </row>
    <row r="930" ht="15.75" customHeight="1">
      <c r="B930" s="38"/>
    </row>
    <row r="931" ht="15.75" customHeight="1">
      <c r="B931" s="38"/>
    </row>
    <row r="932" ht="15.75" customHeight="1">
      <c r="B932" s="38"/>
    </row>
    <row r="933" ht="15.75" customHeight="1">
      <c r="B933" s="38"/>
    </row>
    <row r="934" ht="15.75" customHeight="1">
      <c r="B934" s="38"/>
    </row>
    <row r="935" ht="15.75" customHeight="1">
      <c r="B935" s="38"/>
    </row>
    <row r="936" ht="15.75" customHeight="1">
      <c r="B936" s="38"/>
    </row>
    <row r="937" ht="15.75" customHeight="1">
      <c r="B937" s="38"/>
    </row>
    <row r="938" ht="15.75" customHeight="1">
      <c r="B938" s="38"/>
    </row>
    <row r="939" ht="15.75" customHeight="1">
      <c r="B939" s="38"/>
    </row>
    <row r="940" ht="15.75" customHeight="1">
      <c r="B940" s="38"/>
    </row>
    <row r="941" ht="15.75" customHeight="1">
      <c r="B941" s="38"/>
    </row>
    <row r="942" ht="15.75" customHeight="1">
      <c r="B942" s="38"/>
    </row>
    <row r="943" ht="15.75" customHeight="1">
      <c r="B943" s="38"/>
    </row>
    <row r="944" ht="15.75" customHeight="1">
      <c r="B944" s="38"/>
    </row>
    <row r="945" ht="15.75" customHeight="1">
      <c r="B945" s="38"/>
    </row>
    <row r="946" ht="15.75" customHeight="1">
      <c r="B946" s="38"/>
    </row>
    <row r="947" ht="15.75" customHeight="1">
      <c r="B947" s="38"/>
    </row>
    <row r="948" ht="15.75" customHeight="1">
      <c r="B948" s="38"/>
    </row>
    <row r="949" ht="15.75" customHeight="1">
      <c r="B949" s="38"/>
    </row>
    <row r="950" ht="15.75" customHeight="1">
      <c r="B950" s="38"/>
    </row>
    <row r="951" ht="15.75" customHeight="1">
      <c r="B951" s="38"/>
    </row>
    <row r="952" ht="15.75" customHeight="1">
      <c r="B952" s="38"/>
    </row>
    <row r="953" ht="15.75" customHeight="1">
      <c r="B953" s="38"/>
    </row>
    <row r="954" ht="15.75" customHeight="1">
      <c r="B954" s="38"/>
    </row>
    <row r="955" ht="15.75" customHeight="1">
      <c r="B955" s="38"/>
    </row>
    <row r="956" ht="15.75" customHeight="1">
      <c r="B956" s="38"/>
    </row>
    <row r="957" ht="15.75" customHeight="1">
      <c r="B957" s="38"/>
    </row>
    <row r="958" ht="15.75" customHeight="1">
      <c r="B958" s="38"/>
    </row>
    <row r="959" ht="15.75" customHeight="1">
      <c r="B959" s="38"/>
    </row>
    <row r="960" ht="15.75" customHeight="1">
      <c r="B960" s="38"/>
    </row>
    <row r="961" ht="15.75" customHeight="1">
      <c r="B961" s="38"/>
    </row>
    <row r="962" ht="15.75" customHeight="1">
      <c r="B962" s="38"/>
    </row>
    <row r="963" ht="15.75" customHeight="1">
      <c r="B963" s="38"/>
    </row>
    <row r="964" ht="15.75" customHeight="1">
      <c r="B964" s="38"/>
    </row>
    <row r="965" ht="15.75" customHeight="1">
      <c r="B965" s="38"/>
    </row>
    <row r="966" ht="15.75" customHeight="1">
      <c r="B966" s="38"/>
    </row>
    <row r="967" ht="15.75" customHeight="1">
      <c r="B967" s="38"/>
    </row>
    <row r="968" ht="15.75" customHeight="1">
      <c r="B968" s="38"/>
    </row>
    <row r="969" ht="15.75" customHeight="1">
      <c r="B969" s="38"/>
    </row>
    <row r="970" ht="15.75" customHeight="1">
      <c r="B970" s="38"/>
    </row>
    <row r="971" ht="15.75" customHeight="1">
      <c r="B971" s="38"/>
    </row>
    <row r="972" ht="15.75" customHeight="1">
      <c r="B972" s="38"/>
    </row>
    <row r="973" ht="15.75" customHeight="1">
      <c r="B973" s="38"/>
    </row>
    <row r="974" ht="15.75" customHeight="1">
      <c r="B974" s="38"/>
    </row>
    <row r="975" ht="15.75" customHeight="1">
      <c r="B975" s="38"/>
    </row>
    <row r="976" ht="15.75" customHeight="1">
      <c r="B976" s="38"/>
    </row>
    <row r="977" ht="15.75" customHeight="1">
      <c r="B977" s="38"/>
    </row>
    <row r="978" ht="15.75" customHeight="1">
      <c r="B978" s="38"/>
    </row>
    <row r="979" ht="15.75" customHeight="1">
      <c r="B979" s="38"/>
    </row>
    <row r="980" ht="15.75" customHeight="1">
      <c r="B980" s="38"/>
    </row>
    <row r="981" ht="15.75" customHeight="1">
      <c r="B981" s="38"/>
    </row>
    <row r="982" ht="15.75" customHeight="1">
      <c r="B982" s="38"/>
    </row>
    <row r="983" ht="15.75" customHeight="1">
      <c r="B983" s="38"/>
    </row>
    <row r="984" ht="15.75" customHeight="1">
      <c r="B984" s="38"/>
    </row>
    <row r="985" ht="15.75" customHeight="1">
      <c r="B985" s="38"/>
    </row>
    <row r="986" ht="15.75" customHeight="1">
      <c r="B986" s="38"/>
    </row>
    <row r="987" ht="15.75" customHeight="1">
      <c r="B987" s="38"/>
    </row>
    <row r="988" ht="15.75" customHeight="1">
      <c r="B988" s="38"/>
    </row>
    <row r="989" ht="15.75" customHeight="1">
      <c r="B989" s="38"/>
    </row>
    <row r="990" ht="15.75" customHeight="1">
      <c r="B990" s="38"/>
    </row>
    <row r="991" ht="15.75" customHeight="1">
      <c r="B991" s="38"/>
    </row>
    <row r="992" ht="15.75" customHeight="1">
      <c r="B992" s="38"/>
    </row>
    <row r="993" ht="15.75" customHeight="1">
      <c r="B993" s="38"/>
    </row>
    <row r="994" ht="15.75" customHeight="1">
      <c r="B994" s="38"/>
    </row>
    <row r="995" ht="15.75" customHeight="1">
      <c r="B995" s="38"/>
    </row>
    <row r="996" ht="15.75" customHeight="1">
      <c r="B996" s="38"/>
    </row>
    <row r="997" ht="15.75" customHeight="1">
      <c r="B997" s="38"/>
    </row>
    <row r="998" ht="15.75" customHeight="1">
      <c r="B998" s="38"/>
    </row>
    <row r="999" ht="15.75" customHeight="1">
      <c r="B999" s="38"/>
    </row>
    <row r="1000" ht="15.75" customHeight="1">
      <c r="B1000" s="38"/>
    </row>
  </sheetData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Tasso Azevedo</dc:creator>
  <cp:revision>1</cp:revision>
  <dcterms:created xsi:type="dcterms:W3CDTF">2018-08-07T23:17:42Z</dcterms:created>
  <dcterms:modified xsi:type="dcterms:W3CDTF">2026-08-08T08:49:02Z</dcterms:modified>
</cp:coreProperties>
</file>