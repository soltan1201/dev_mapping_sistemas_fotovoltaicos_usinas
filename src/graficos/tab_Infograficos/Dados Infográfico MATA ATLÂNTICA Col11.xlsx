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" sheetId="1" r:id="rId4"/>
    <sheet state="visible" name="Cópia de BRASIL" sheetId="2" r:id="rId5"/>
    <sheet state="visible" name="DADOS COBERTURA MATA ATLÂNTICA" sheetId="3" r:id="rId6"/>
    <sheet state="visible" name="GRAFICO HISTORICO" sheetId="4" r:id="rId7"/>
    <sheet state="visible" name="SANKEY" sheetId="5" r:id="rId8"/>
    <sheet state="visible" name="MANCHETES" sheetId="6" r:id="rId9"/>
    <sheet state="hidden" name="Matriz Cerrado" sheetId="7" r:id="rId10"/>
  </sheets>
  <definedNames/>
  <calcPr/>
  <extLst>
    <ext uri="GoogleSheetsCustomDataVersion2">
      <go:sheetsCustomData xmlns:go="http://customooxmlschemas.google.com/" r:id="rId11" roundtripDataChecksum="RvFt9xiopHo/d6RI9zoIUiszH28GV+yhAalHnEj9sc8="/>
    </ext>
  </extLst>
</workbook>
</file>

<file path=xl/sharedStrings.xml><?xml version="1.0" encoding="utf-8"?>
<sst xmlns="http://schemas.openxmlformats.org/spreadsheetml/2006/main" count="821" uniqueCount="108">
  <si>
    <t>Area total</t>
  </si>
  <si>
    <t>Area Mha</t>
  </si>
  <si>
    <t>%</t>
  </si>
  <si>
    <t>AMAZONIA</t>
  </si>
  <si>
    <t>Para o Grafico Circular da composição do uso da terra</t>
  </si>
  <si>
    <t>CAATINGA</t>
  </si>
  <si>
    <t>CERRADO</t>
  </si>
  <si>
    <t>Area total (ha)</t>
  </si>
  <si>
    <t>MATA ATLANTICA</t>
  </si>
  <si>
    <t>Mha</t>
  </si>
  <si>
    <t>PAMPA</t>
  </si>
  <si>
    <t>PANTANAL</t>
  </si>
  <si>
    <t>1. Forest</t>
  </si>
  <si>
    <t>Total</t>
  </si>
  <si>
    <t>Floresta</t>
  </si>
  <si>
    <t>Formação Natural não Florestal</t>
  </si>
  <si>
    <t>Agropecuária</t>
  </si>
  <si>
    <t>Área não Vegetada</t>
  </si>
  <si>
    <t>Corpo D'água</t>
  </si>
  <si>
    <t>1.1. Forest Formation</t>
  </si>
  <si>
    <t>Não Observado</t>
  </si>
  <si>
    <t>1. Floresta</t>
  </si>
  <si>
    <t>1.2. Savanna Formation</t>
  </si>
  <si>
    <t>1.3. Flooded Savanna</t>
  </si>
  <si>
    <t>1.4. Mangrove</t>
  </si>
  <si>
    <t>Transições 1985 a 2025</t>
  </si>
  <si>
    <t>Manchetes para Mata Atlântica</t>
  </si>
  <si>
    <t>Com Agricultura + Silvicultura</t>
  </si>
  <si>
    <t>1.5. Floodable Forest</t>
  </si>
  <si>
    <t>Vegetacao Nativa</t>
  </si>
  <si>
    <t>Agricultura</t>
  </si>
  <si>
    <t>Mosaico de Usos</t>
  </si>
  <si>
    <t>Cobertura por Floresta, Mangue e Restinga Arbórea no bioma Mata Atlantica em 2025</t>
  </si>
  <si>
    <t>Pastagem</t>
  </si>
  <si>
    <t>Outros</t>
  </si>
  <si>
    <t>TOTAL 1985</t>
  </si>
  <si>
    <t>1.6. Wooded Sandbank Vegetation</t>
  </si>
  <si>
    <t>2. Formação Natural não Florestal</t>
  </si>
  <si>
    <t>Crescimento das áreas de agricultura entre 1985 e 2025</t>
  </si>
  <si>
    <t>da área urbana do Brasil em 2025 encontra-se no Bioma</t>
  </si>
  <si>
    <t>2. Herbaceous and Shrubby Vegetation</t>
  </si>
  <si>
    <t>2.1. Wetland</t>
  </si>
  <si>
    <t xml:space="preserve"> Outros</t>
  </si>
  <si>
    <t>2.2. Marisma</t>
  </si>
  <si>
    <t>Total 2025</t>
  </si>
  <si>
    <t>2.3. Grassland Formation</t>
  </si>
  <si>
    <t>3. Agropecuária</t>
  </si>
  <si>
    <t>3. Farming</t>
  </si>
  <si>
    <t>3. Farming Total</t>
  </si>
  <si>
    <t>4. Non vegetated area</t>
  </si>
  <si>
    <t>5. Water</t>
  </si>
  <si>
    <t>Total Geral</t>
  </si>
  <si>
    <t/>
  </si>
  <si>
    <t>Rótulos de Linha</t>
  </si>
  <si>
    <t>3.2. Agriculture</t>
  </si>
  <si>
    <t>3.4. Mosaic of Uses</t>
  </si>
  <si>
    <t>3.1. Pasture</t>
  </si>
  <si>
    <t>3.3. Forest Plantation</t>
  </si>
  <si>
    <t>2.4. Herbaceous-Shrub Mosaic</t>
  </si>
  <si>
    <t>Formação Campestre (Campo)</t>
  </si>
  <si>
    <t>Formações Florestais</t>
  </si>
  <si>
    <t>Formações Savanicas</t>
  </si>
  <si>
    <t>Florestas Plantadas</t>
  </si>
  <si>
    <t>Cultivo Anual e Perene</t>
  </si>
  <si>
    <t>Cultivo Semi-Perene</t>
  </si>
  <si>
    <t>Mosaico de Cultivos</t>
  </si>
  <si>
    <t>Mosaico de Agricultura ou Pastagem</t>
  </si>
  <si>
    <t>Praias e dunas</t>
  </si>
  <si>
    <t>Formações Florestais Naturais</t>
  </si>
  <si>
    <t>2.5. Hypersaline Tidal Flat</t>
  </si>
  <si>
    <t>Mangue</t>
  </si>
  <si>
    <t>Infraestrutura Urbana</t>
  </si>
  <si>
    <t>Outras áreas não vegetadas</t>
  </si>
  <si>
    <t>Corpos Dágua</t>
  </si>
  <si>
    <t>Não observado</t>
  </si>
  <si>
    <t>Apicum</t>
  </si>
  <si>
    <t>Aquicultura</t>
  </si>
  <si>
    <t>Afloramento Rochoso</t>
  </si>
  <si>
    <t>Mineração</t>
  </si>
  <si>
    <t>Área Úmida Natural não Florestal</t>
  </si>
  <si>
    <t>Outra formação não Florestal</t>
  </si>
  <si>
    <t>Rios, Lagos e Oceanos</t>
  </si>
  <si>
    <t>2.6. Rocky Outcrop</t>
  </si>
  <si>
    <t>-</t>
  </si>
  <si>
    <t>2.7. Herbaceous Sandbank Vegetation</t>
  </si>
  <si>
    <t>MATA ATLÂNTICA</t>
  </si>
  <si>
    <t>4. Área não Vegetada</t>
  </si>
  <si>
    <t>ERRADO - NÃO USAR</t>
  </si>
  <si>
    <t>4.1. Beach, Dune and Sand Spot</t>
  </si>
  <si>
    <t>Silvicultura separado</t>
  </si>
  <si>
    <t>4.2. Urban Area</t>
  </si>
  <si>
    <t>5. Corpo D'água</t>
  </si>
  <si>
    <t>Silvicultura</t>
  </si>
  <si>
    <t>4.3. Mining</t>
  </si>
  <si>
    <t>4.4. Photovoltaic Power Plant (beta)</t>
  </si>
  <si>
    <t>4.5. Wind Farm</t>
  </si>
  <si>
    <t>4.6. Other non Vegetated Areas</t>
  </si>
  <si>
    <t>5.1. River, Lake and Ocean</t>
  </si>
  <si>
    <t>5.2. Aquaculture</t>
  </si>
  <si>
    <t>6. Not Observed</t>
  </si>
  <si>
    <t>% de cobertura florestal (sem savana)</t>
  </si>
  <si>
    <t>AJUSTADO</t>
  </si>
  <si>
    <t>% de cobertura por vegetação nativa</t>
  </si>
  <si>
    <t>Expansão da agricultura entre 1985 e 2025</t>
  </si>
  <si>
    <t>% das áreas urbanizadas do Brasil na Mata Atlântica</t>
  </si>
  <si>
    <t>Área urbanizada Brasil</t>
  </si>
  <si>
    <t>Mosaico de usos</t>
  </si>
  <si>
    <t>EM MILHOES DE 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</si>
</sst>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.000_);_(* \(#,##0.000\);_(* &quot;-&quot;??_);_(@_)"/>
    <numFmt numFmtId="168" formatCode="_-* #,##0.0_-;\-* #,##0.0_-;_-* &quot;-&quot;??_-;_-@"/>
    <numFmt numFmtId="169" formatCode="0.000%"/>
    <numFmt numFmtId="170" formatCode="0.000"/>
    <numFmt numFmtId="171" formatCode="_-* #,##0.00_-;\-* #,##0.00_-;_-* &quot;-&quot;??_-;_-@"/>
  </numFmts>
  <fonts count="30">
    <font>
      <sz val="12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20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sz val="12.0"/>
      <color theme="1"/>
      <name val="Arial"/>
    </font>
    <font>
      <b/>
      <sz val="21.0"/>
      <color rgb="FF000000"/>
      <name val="Calibri"/>
    </font>
    <font>
      <sz val="22.0"/>
      <color rgb="FFFF0000"/>
      <name val="Calibri"/>
    </font>
    <font>
      <sz val="12.0"/>
      <color rgb="FF006100"/>
      <name val="Calibri"/>
    </font>
    <font>
      <b/>
      <sz val="24.0"/>
      <color rgb="FF000000"/>
      <name val="Calibri"/>
    </font>
    <font>
      <sz val="18.0"/>
      <color rgb="FF000000"/>
      <name val="Calibri"/>
    </font>
    <font>
      <b/>
      <sz val="18.0"/>
      <color theme="1"/>
      <name val="Calibri"/>
    </font>
    <font>
      <b/>
      <sz val="17.0"/>
      <color theme="1"/>
      <name val="Arial"/>
    </font>
    <font>
      <b/>
      <sz val="24.0"/>
      <color theme="1"/>
      <name val="Calibri"/>
    </font>
    <font>
      <sz val="18.0"/>
      <color rgb="FF38761D"/>
      <name val="Calibri"/>
    </font>
    <font>
      <b/>
      <sz val="22.0"/>
      <color theme="1"/>
      <name val="Calibri"/>
    </font>
    <font>
      <sz val="18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rgb="FF7F7F7F"/>
      <name val="Calibri"/>
    </font>
    <font>
      <b/>
      <sz val="11.0"/>
      <color rgb="FF7F7F7F"/>
      <name val="Calibri"/>
    </font>
    <font>
      <b/>
      <sz val="11.0"/>
      <color theme="1"/>
      <name val="Arial"/>
    </font>
    <font>
      <b/>
      <sz val="20.0"/>
      <color rgb="FFFF0000"/>
      <name val="Calibri"/>
    </font>
    <font>
      <color theme="1"/>
      <name val="Calibri"/>
      <scheme val="minor"/>
    </font>
    <font>
      <sz val="12.0"/>
      <color rgb="FF9C5700"/>
      <name val="Calibri"/>
    </font>
    <font>
      <b/>
      <color theme="1"/>
      <name val="Calibri"/>
      <scheme val="minor"/>
    </font>
    <font>
      <b/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C6EFCE"/>
        <bgColor rgb="FFC6EFCE"/>
      </patternFill>
    </fill>
    <fill>
      <patternFill patternType="solid">
        <fgColor rgb="FFCCCCCC"/>
        <bgColor rgb="FFCCCCCC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</fills>
  <borders count="23">
    <border/>
    <border>
      <left/>
      <right/>
      <top/>
      <bottom/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/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8EAADB"/>
      </top>
      <bottom/>
    </border>
    <border>
      <top style="thin">
        <color rgb="FF2E75B5"/>
      </top>
      <bottom style="medium">
        <color rgb="FF2E75B5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1" numFmtId="165" xfId="0" applyFont="1" applyNumberFormat="1"/>
    <xf borderId="0" fillId="0" fontId="3" numFmtId="164" xfId="0" applyAlignment="1" applyFont="1" applyNumberFormat="1">
      <alignment horizontal="right" readingOrder="0"/>
    </xf>
    <xf borderId="0" fillId="0" fontId="1" numFmtId="9" xfId="0" applyAlignment="1" applyFont="1" applyNumberFormat="1">
      <alignment horizontal="center"/>
    </xf>
    <xf borderId="0" fillId="0" fontId="1" numFmtId="166" xfId="0" applyFont="1" applyNumberFormat="1"/>
    <xf borderId="0" fillId="0" fontId="4" numFmtId="0" xfId="0" applyFont="1"/>
    <xf borderId="0" fillId="0" fontId="1" numFmtId="0" xfId="0" applyAlignment="1" applyFont="1">
      <alignment horizontal="right"/>
    </xf>
    <xf borderId="2" fillId="3" fontId="5" numFmtId="164" xfId="0" applyAlignment="1" applyBorder="1" applyFill="1" applyFont="1" applyNumberFormat="1">
      <alignment horizontal="left"/>
    </xf>
    <xf borderId="1" fillId="2" fontId="6" numFmtId="0" xfId="0" applyBorder="1" applyFont="1"/>
    <xf borderId="2" fillId="3" fontId="5" numFmtId="164" xfId="0" applyBorder="1" applyFont="1" applyNumberFormat="1"/>
    <xf borderId="1" fillId="2" fontId="6" numFmtId="164" xfId="0" applyBorder="1" applyFont="1" applyNumberFormat="1"/>
    <xf borderId="1" fillId="2" fontId="1" numFmtId="166" xfId="0" applyBorder="1" applyFont="1" applyNumberFormat="1"/>
    <xf borderId="0" fillId="0" fontId="3" numFmtId="164" xfId="0" applyAlignment="1" applyFont="1" applyNumberFormat="1">
      <alignment horizontal="right"/>
    </xf>
    <xf borderId="2" fillId="3" fontId="5" numFmtId="167" xfId="0" applyBorder="1" applyFont="1" applyNumberFormat="1"/>
    <xf borderId="2" fillId="3" fontId="5" numFmtId="10" xfId="0" applyBorder="1" applyFont="1" applyNumberFormat="1"/>
    <xf borderId="0" fillId="0" fontId="5" numFmtId="164" xfId="0" applyAlignment="1" applyFont="1" applyNumberFormat="1">
      <alignment horizontal="left" vertical="center"/>
    </xf>
    <xf borderId="0" fillId="0" fontId="5" numFmtId="164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5" numFmtId="165" xfId="0" applyAlignment="1" applyFont="1" applyNumberFormat="1">
      <alignment vertical="center"/>
    </xf>
    <xf borderId="0" fillId="0" fontId="5" numFmtId="164" xfId="0" applyAlignment="1" applyFont="1" applyNumberFormat="1">
      <alignment horizontal="left"/>
    </xf>
    <xf borderId="1" fillId="4" fontId="1" numFmtId="0" xfId="0" applyBorder="1" applyFill="1" applyFont="1"/>
    <xf borderId="3" fillId="0" fontId="5" numFmtId="164" xfId="0" applyBorder="1" applyFont="1" applyNumberFormat="1"/>
    <xf borderId="1" fillId="4" fontId="3" numFmtId="164" xfId="0" applyAlignment="1" applyBorder="1" applyFont="1" applyNumberFormat="1">
      <alignment horizontal="right"/>
    </xf>
    <xf borderId="1" fillId="4" fontId="3" numFmtId="164" xfId="0" applyAlignment="1" applyBorder="1" applyFont="1" applyNumberFormat="1">
      <alignment horizontal="right" readingOrder="0"/>
    </xf>
    <xf borderId="0" fillId="0" fontId="5" numFmtId="167" xfId="0" applyFont="1" applyNumberFormat="1"/>
    <xf borderId="1" fillId="4" fontId="1" numFmtId="166" xfId="0" applyBorder="1" applyFont="1" applyNumberFormat="1"/>
    <xf borderId="0" fillId="0" fontId="5" numFmtId="10" xfId="0" applyFont="1" applyNumberFormat="1"/>
    <xf borderId="1" fillId="4" fontId="1" numFmtId="165" xfId="0" applyBorder="1" applyFont="1" applyNumberFormat="1"/>
    <xf borderId="4" fillId="3" fontId="5" numFmtId="164" xfId="0" applyAlignment="1" applyBorder="1" applyFont="1" applyNumberFormat="1">
      <alignment horizontal="center" vertical="center"/>
    </xf>
    <xf borderId="4" fillId="3" fontId="5" numFmtId="166" xfId="0" applyAlignment="1" applyBorder="1" applyFont="1" applyNumberFormat="1">
      <alignment horizontal="center" vertical="center"/>
    </xf>
    <xf borderId="4" fillId="3" fontId="5" numFmtId="165" xfId="0" applyAlignment="1" applyBorder="1" applyFont="1" applyNumberFormat="1">
      <alignment horizontal="center" vertical="center"/>
    </xf>
    <xf borderId="5" fillId="5" fontId="5" numFmtId="164" xfId="0" applyAlignment="1" applyBorder="1" applyFill="1" applyFont="1" applyNumberFormat="1">
      <alignment horizontal="left"/>
    </xf>
    <xf borderId="5" fillId="5" fontId="5" numFmtId="168" xfId="0" applyBorder="1" applyFont="1" applyNumberFormat="1"/>
    <xf borderId="5" fillId="5" fontId="5" numFmtId="9" xfId="0" applyAlignment="1" applyBorder="1" applyFont="1" applyNumberFormat="1">
      <alignment horizontal="center"/>
    </xf>
    <xf borderId="6" fillId="0" fontId="7" numFmtId="0" xfId="0" applyBorder="1" applyFont="1"/>
    <xf borderId="0" fillId="0" fontId="1" numFmtId="9" xfId="0" applyFont="1" applyNumberFormat="1"/>
    <xf borderId="7" fillId="0" fontId="7" numFmtId="0" xfId="0" applyBorder="1" applyFont="1"/>
    <xf borderId="0" fillId="0" fontId="1" numFmtId="0" xfId="0" applyAlignment="1" applyFont="1">
      <alignment horizontal="center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" numFmtId="164" xfId="0" applyFont="1" applyNumberFormat="1"/>
    <xf borderId="0" fillId="0" fontId="1" numFmtId="0" xfId="0" applyAlignment="1" applyFont="1">
      <alignment horizontal="center" shrinkToFit="0" vertical="center" wrapText="1"/>
    </xf>
    <xf borderId="8" fillId="0" fontId="1" numFmtId="0" xfId="0" applyAlignment="1" applyBorder="1" applyFont="1">
      <alignment shrinkToFit="0" vertical="center" wrapText="1"/>
    </xf>
    <xf borderId="9" fillId="6" fontId="11" numFmtId="0" xfId="0" applyAlignment="1" applyBorder="1" applyFill="1" applyFont="1">
      <alignment horizontal="center" shrinkToFit="0" vertical="center" wrapText="1"/>
    </xf>
    <xf borderId="0" fillId="0" fontId="12" numFmtId="165" xfId="0" applyFont="1" applyNumberFormat="1"/>
    <xf borderId="0" fillId="0" fontId="13" numFmtId="0" xfId="0" applyFont="1"/>
    <xf borderId="0" fillId="0" fontId="14" numFmtId="0" xfId="0" applyFont="1"/>
    <xf borderId="10" fillId="4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5" numFmtId="0" xfId="0" applyAlignment="1" applyFont="1">
      <alignment horizontal="center"/>
    </xf>
    <xf borderId="0" fillId="0" fontId="16" numFmtId="165" xfId="0" applyAlignment="1" applyFont="1" applyNumberFormat="1">
      <alignment horizontal="right"/>
    </xf>
    <xf borderId="0" fillId="0" fontId="17" numFmtId="0" xfId="0" applyFont="1"/>
    <xf borderId="11" fillId="6" fontId="11" numFmtId="0" xfId="0" applyBorder="1" applyFont="1"/>
    <xf borderId="0" fillId="0" fontId="18" numFmtId="165" xfId="0" applyFont="1" applyNumberFormat="1"/>
    <xf borderId="0" fillId="0" fontId="19" numFmtId="0" xfId="0" applyFont="1"/>
    <xf borderId="0" fillId="0" fontId="16" numFmtId="9" xfId="0" applyAlignment="1" applyFont="1" applyNumberFormat="1">
      <alignment horizontal="center"/>
    </xf>
    <xf borderId="0" fillId="0" fontId="1" numFmtId="3" xfId="0" applyFont="1" applyNumberFormat="1"/>
    <xf borderId="0" fillId="0" fontId="20" numFmtId="3" xfId="0" applyFont="1" applyNumberFormat="1"/>
    <xf borderId="12" fillId="4" fontId="1" numFmtId="164" xfId="0" applyBorder="1" applyFont="1" applyNumberFormat="1"/>
    <xf borderId="5" fillId="5" fontId="5" numFmtId="166" xfId="0" applyBorder="1" applyFont="1" applyNumberFormat="1"/>
    <xf borderId="13" fillId="0" fontId="7" numFmtId="0" xfId="0" applyBorder="1" applyFont="1"/>
    <xf borderId="14" fillId="5" fontId="5" numFmtId="164" xfId="0" applyAlignment="1" applyBorder="1" applyFont="1" applyNumberFormat="1">
      <alignment horizontal="left"/>
    </xf>
    <xf borderId="14" fillId="5" fontId="5" numFmtId="164" xfId="0" applyBorder="1" applyFont="1" applyNumberFormat="1"/>
    <xf borderId="14" fillId="5" fontId="5" numFmtId="166" xfId="0" applyBorder="1" applyFont="1" applyNumberFormat="1"/>
    <xf borderId="15" fillId="4" fontId="21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16" fillId="4" fontId="1" numFmtId="164" xfId="0" applyBorder="1" applyFont="1" applyNumberFormat="1"/>
    <xf borderId="17" fillId="0" fontId="1" numFmtId="9" xfId="0" applyAlignment="1" applyBorder="1" applyFont="1" applyNumberFormat="1">
      <alignment horizontal="center"/>
    </xf>
    <xf borderId="18" fillId="4" fontId="1" numFmtId="164" xfId="0" applyBorder="1" applyFont="1" applyNumberFormat="1"/>
    <xf borderId="4" fillId="3" fontId="5" numFmtId="164" xfId="0" applyAlignment="1" applyBorder="1" applyFont="1" applyNumberFormat="1">
      <alignment horizontal="left" vertical="center"/>
    </xf>
    <xf borderId="0" fillId="0" fontId="22" numFmtId="0" xfId="0" applyAlignment="1" applyFont="1">
      <alignment horizontal="center"/>
    </xf>
    <xf borderId="1" fillId="2" fontId="23" numFmtId="0" xfId="0" applyBorder="1" applyFont="1"/>
    <xf borderId="1" fillId="4" fontId="23" numFmtId="0" xfId="0" applyBorder="1" applyFont="1"/>
    <xf borderId="1" fillId="2" fontId="23" numFmtId="164" xfId="0" applyBorder="1" applyFont="1" applyNumberFormat="1"/>
    <xf borderId="0" fillId="0" fontId="22" numFmtId="0" xfId="0" applyFont="1"/>
    <xf borderId="0" fillId="0" fontId="1" numFmtId="0" xfId="0" applyAlignment="1" applyFont="1">
      <alignment horizontal="left" shrinkToFit="0" vertical="center" wrapText="1"/>
    </xf>
    <xf borderId="0" fillId="0" fontId="5" numFmtId="166" xfId="0" applyFont="1" applyNumberFormat="1"/>
    <xf borderId="2" fillId="2" fontId="23" numFmtId="164" xfId="0" applyBorder="1" applyFont="1" applyNumberFormat="1"/>
    <xf borderId="0" fillId="0" fontId="23" numFmtId="0" xfId="0" applyAlignment="1" applyFont="1">
      <alignment horizontal="left"/>
    </xf>
    <xf borderId="3" fillId="0" fontId="24" numFmtId="4" xfId="0" applyBorder="1" applyFont="1" applyNumberFormat="1"/>
    <xf borderId="0" fillId="0" fontId="1" numFmtId="164" xfId="0" applyAlignment="1" applyFont="1" applyNumberFormat="1">
      <alignment horizontal="center" shrinkToFit="0" vertical="center" wrapText="1"/>
    </xf>
    <xf borderId="0" fillId="0" fontId="22" numFmtId="0" xfId="0" applyAlignment="1" applyFont="1">
      <alignment horizontal="left"/>
    </xf>
    <xf borderId="17" fillId="0" fontId="1" numFmtId="0" xfId="0" applyAlignment="1" applyBorder="1" applyFont="1">
      <alignment vertical="center"/>
    </xf>
    <xf borderId="17" fillId="0" fontId="1" numFmtId="165" xfId="0" applyAlignment="1" applyBorder="1" applyFont="1" applyNumberFormat="1">
      <alignment vertical="center"/>
    </xf>
    <xf borderId="17" fillId="0" fontId="1" numFmtId="0" xfId="0" applyBorder="1" applyFont="1"/>
    <xf borderId="0" fillId="0" fontId="18" numFmtId="164" xfId="0" applyFont="1" applyNumberFormat="1"/>
    <xf borderId="0" fillId="0" fontId="25" numFmtId="164" xfId="0" applyFont="1" applyNumberFormat="1"/>
    <xf borderId="3" fillId="0" fontId="5" numFmtId="164" xfId="0" applyAlignment="1" applyBorder="1" applyFont="1" applyNumberFormat="1">
      <alignment horizontal="left"/>
    </xf>
    <xf borderId="3" fillId="0" fontId="5" numFmtId="167" xfId="0" applyBorder="1" applyFont="1" applyNumberFormat="1"/>
    <xf borderId="3" fillId="0" fontId="5" numFmtId="10" xfId="0" applyBorder="1" applyFont="1" applyNumberFormat="1"/>
    <xf borderId="1" fillId="6" fontId="11" numFmtId="0" xfId="0" applyBorder="1" applyFont="1"/>
    <xf borderId="1" fillId="2" fontId="23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0" fillId="7" fontId="1" numFmtId="0" xfId="0" applyAlignment="1" applyFill="1" applyFont="1">
      <alignment horizontal="center"/>
    </xf>
    <xf borderId="0" fillId="7" fontId="26" numFmtId="0" xfId="0" applyAlignment="1" applyFont="1">
      <alignment readingOrder="0"/>
    </xf>
    <xf borderId="0" fillId="7" fontId="26" numFmtId="0" xfId="0" applyFont="1"/>
    <xf borderId="0" fillId="0" fontId="5" numFmtId="0" xfId="0" applyAlignment="1" applyFont="1">
      <alignment horizontal="left"/>
    </xf>
    <xf borderId="0" fillId="7" fontId="9" numFmtId="0" xfId="0" applyFont="1"/>
    <xf borderId="0" fillId="7" fontId="10" numFmtId="0" xfId="0" applyFont="1"/>
    <xf borderId="0" fillId="7" fontId="1" numFmtId="164" xfId="0" applyFont="1" applyNumberFormat="1"/>
    <xf borderId="17" fillId="0" fontId="1" numFmtId="165" xfId="0" applyBorder="1" applyFont="1" applyNumberFormat="1"/>
    <xf borderId="8" fillId="7" fontId="1" numFmtId="0" xfId="0" applyAlignment="1" applyBorder="1" applyFont="1">
      <alignment shrinkToFit="0" vertical="center" wrapText="1"/>
    </xf>
    <xf borderId="9" fillId="7" fontId="11" numFmtId="0" xfId="0" applyAlignment="1" applyBorder="1" applyFont="1">
      <alignment horizontal="center" shrinkToFit="0" vertical="center" wrapText="1"/>
    </xf>
    <xf borderId="10" fillId="7" fontId="1" numFmtId="0" xfId="0" applyAlignment="1" applyBorder="1" applyFont="1">
      <alignment horizontal="center" vertical="center"/>
    </xf>
    <xf borderId="0" fillId="7" fontId="1" numFmtId="0" xfId="0" applyAlignment="1" applyFont="1">
      <alignment shrinkToFit="0" vertical="center" wrapText="1"/>
    </xf>
    <xf borderId="11" fillId="7" fontId="11" numFmtId="0" xfId="0" applyBorder="1" applyFont="1"/>
    <xf borderId="0" fillId="0" fontId="11" numFmtId="0" xfId="0" applyFont="1"/>
    <xf borderId="0" fillId="7" fontId="1" numFmtId="3" xfId="0" applyFont="1" applyNumberFormat="1"/>
    <xf borderId="19" fillId="8" fontId="5" numFmtId="164" xfId="0" applyAlignment="1" applyBorder="1" applyFill="1" applyFont="1" applyNumberFormat="1">
      <alignment horizontal="left"/>
    </xf>
    <xf borderId="12" fillId="7" fontId="1" numFmtId="164" xfId="0" applyBorder="1" applyFont="1" applyNumberFormat="1"/>
    <xf borderId="3" fillId="0" fontId="5" numFmtId="169" xfId="0" applyBorder="1" applyFont="1" applyNumberFormat="1"/>
    <xf borderId="0" fillId="0" fontId="5" numFmtId="164" xfId="0" applyFont="1" applyNumberFormat="1"/>
    <xf borderId="0" fillId="0" fontId="5" numFmtId="165" xfId="0" applyFont="1" applyNumberFormat="1"/>
    <xf borderId="0" fillId="0" fontId="1" numFmtId="165" xfId="0" applyAlignment="1" applyFont="1" applyNumberFormat="1">
      <alignment horizontal="center" vertical="center"/>
    </xf>
    <xf borderId="1" fillId="8" fontId="5" numFmtId="164" xfId="0" applyAlignment="1" applyBorder="1" applyFont="1" applyNumberFormat="1">
      <alignment horizontal="left"/>
    </xf>
    <xf borderId="0" fillId="0" fontId="26" numFmtId="0" xfId="0" applyFont="1"/>
    <xf borderId="20" fillId="0" fontId="5" numFmtId="164" xfId="0" applyBorder="1" applyFont="1" applyNumberFormat="1"/>
    <xf borderId="21" fillId="2" fontId="5" numFmtId="10" xfId="0" applyBorder="1" applyFont="1" applyNumberFormat="1"/>
    <xf borderId="19" fillId="8" fontId="5" numFmtId="165" xfId="0" applyBorder="1" applyFont="1" applyNumberFormat="1"/>
    <xf borderId="1" fillId="9" fontId="27" numFmtId="0" xfId="0" applyBorder="1" applyFill="1" applyFont="1"/>
    <xf borderId="21" fillId="2" fontId="5" numFmtId="164" xfId="0" applyBorder="1" applyFont="1" applyNumberFormat="1"/>
    <xf borderId="15" fillId="7" fontId="21" numFmtId="0" xfId="0" applyBorder="1" applyFont="1"/>
    <xf borderId="21" fillId="2" fontId="5" numFmtId="170" xfId="0" applyBorder="1" applyFont="1" applyNumberFormat="1"/>
    <xf borderId="0" fillId="0" fontId="8" numFmtId="165" xfId="0" applyFont="1" applyNumberFormat="1"/>
    <xf borderId="16" fillId="7" fontId="1" numFmtId="164" xfId="0" applyBorder="1" applyFont="1" applyNumberFormat="1"/>
    <xf borderId="20" fillId="0" fontId="5" numFmtId="164" xfId="0" applyAlignment="1" applyBorder="1" applyFont="1" applyNumberFormat="1">
      <alignment horizontal="left"/>
    </xf>
    <xf borderId="0" fillId="0" fontId="5" numFmtId="0" xfId="0" applyFont="1"/>
    <xf borderId="18" fillId="7" fontId="1" numFmtId="164" xfId="0" applyBorder="1" applyFont="1" applyNumberFormat="1"/>
    <xf borderId="0" fillId="10" fontId="28" numFmtId="0" xfId="0" applyAlignment="1" applyFill="1" applyFont="1">
      <alignment readingOrder="0"/>
    </xf>
    <xf borderId="20" fillId="0" fontId="2" numFmtId="164" xfId="0" applyAlignment="1" applyBorder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8" numFmtId="164" xfId="0" applyFont="1" applyNumberFormat="1"/>
    <xf borderId="0" fillId="0" fontId="3" numFmtId="164" xfId="0" applyAlignment="1" applyFont="1" applyNumberFormat="1">
      <alignment horizontal="left"/>
    </xf>
    <xf borderId="22" fillId="0" fontId="5" numFmtId="164" xfId="0" applyAlignment="1" applyBorder="1" applyFont="1" applyNumberFormat="1">
      <alignment horizontal="left"/>
    </xf>
    <xf borderId="22" fillId="0" fontId="5" numFmtId="164" xfId="0" applyBorder="1" applyFont="1" applyNumberFormat="1"/>
    <xf borderId="0" fillId="0" fontId="29" numFmtId="10" xfId="0" applyAlignment="1" applyFont="1" applyNumberFormat="1">
      <alignment horizontal="right"/>
    </xf>
    <xf borderId="0" fillId="0" fontId="29" numFmtId="0" xfId="0" applyAlignment="1" applyFont="1">
      <alignment horizontal="right"/>
    </xf>
    <xf borderId="0" fillId="0" fontId="29" numFmtId="164" xfId="0" applyAlignment="1" applyFont="1" applyNumberFormat="1">
      <alignment horizontal="right"/>
    </xf>
    <xf borderId="0" fillId="0" fontId="6" numFmtId="0" xfId="0" applyFont="1"/>
    <xf borderId="1" fillId="11" fontId="27" numFmtId="0" xfId="0" applyBorder="1" applyFill="1" applyFont="1"/>
    <xf borderId="1" fillId="11" fontId="27" numFmtId="171" xfId="0" applyBorder="1" applyFont="1" applyNumberFormat="1"/>
    <xf borderId="0" fillId="0" fontId="27" numFmtId="0" xfId="0" applyFont="1"/>
    <xf borderId="0" fillId="0" fontId="27" numFmtId="171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615994630"/>
        <c:axId val="2110444270"/>
      </c:lineChart>
      <c:catAx>
        <c:axId val="1615994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2110444270"/>
      </c:catAx>
      <c:valAx>
        <c:axId val="21104442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1599463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Vegetação Nativa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axId val="1430557984"/>
        <c:axId val="59184737"/>
      </c:lineChart>
      <c:catAx>
        <c:axId val="143055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59184737"/>
      </c:catAx>
      <c:valAx>
        <c:axId val="59184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055798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HISTORICO'!$B$50:$AN$50</c:f>
              <c:numCache/>
            </c:numRef>
          </c:val>
          <c:smooth val="0"/>
        </c:ser>
        <c:axId val="261424180"/>
        <c:axId val="1985654657"/>
      </c:lineChart>
      <c:catAx>
        <c:axId val="261424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985654657"/>
      </c:catAx>
      <c:valAx>
        <c:axId val="1985654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142418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HISTORICO'!$B$51:$AN$51</c:f>
              <c:numCache/>
            </c:numRef>
          </c:val>
          <c:smooth val="0"/>
        </c:ser>
        <c:axId val="739975223"/>
        <c:axId val="336583271"/>
      </c:lineChart>
      <c:catAx>
        <c:axId val="739975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336583271"/>
      </c:catAx>
      <c:valAx>
        <c:axId val="336583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9975223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66</xdr:row>
      <xdr:rowOff>76200</xdr:rowOff>
    </xdr:from>
    <xdr:ext cx="5143500" cy="2705100"/>
    <xdr:graphicFrame>
      <xdr:nvGraphicFramePr>
        <xdr:cNvPr id="124379357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123825</xdr:colOff>
      <xdr:row>66</xdr:row>
      <xdr:rowOff>85725</xdr:rowOff>
    </xdr:from>
    <xdr:ext cx="5191125" cy="2705100"/>
    <xdr:graphicFrame>
      <xdr:nvGraphicFramePr>
        <xdr:cNvPr id="2062564105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52</xdr:row>
      <xdr:rowOff>28575</xdr:rowOff>
    </xdr:from>
    <xdr:ext cx="5210175" cy="2705100"/>
    <xdr:graphicFrame>
      <xdr:nvGraphicFramePr>
        <xdr:cNvPr id="100586915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781050</xdr:colOff>
      <xdr:row>52</xdr:row>
      <xdr:rowOff>47625</xdr:rowOff>
    </xdr:from>
    <xdr:ext cx="5143500" cy="2705100"/>
    <xdr:graphicFrame>
      <xdr:nvGraphicFramePr>
        <xdr:cNvPr id="309719703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1"/>
      <c r="B2" s="1" t="s">
        <v>0</v>
      </c>
      <c r="C2" s="1" t="s">
        <v>1</v>
      </c>
      <c r="D2" s="1" t="s">
        <v>2</v>
      </c>
    </row>
    <row r="3" ht="15.75" customHeight="1">
      <c r="A3" s="2" t="s">
        <v>3</v>
      </c>
      <c r="B3" s="3">
        <v>4.207828033E8</v>
      </c>
      <c r="C3" s="7">
        <f t="shared" ref="C3:C9" si="1">B3/1000000</f>
        <v>420.7828033</v>
      </c>
      <c r="D3" s="4">
        <f t="shared" ref="D3:D8" si="2">C3/C$9</f>
        <v>0.4946632649</v>
      </c>
    </row>
    <row r="4" ht="15.75" customHeight="1">
      <c r="A4" s="2" t="s">
        <v>5</v>
      </c>
      <c r="B4" s="3">
        <v>8.626110405E7</v>
      </c>
      <c r="C4" s="7">
        <f t="shared" si="1"/>
        <v>86.26110405</v>
      </c>
      <c r="D4" s="4">
        <f t="shared" si="2"/>
        <v>0.1014067092</v>
      </c>
    </row>
    <row r="5" ht="15.75" customHeight="1">
      <c r="A5" s="2" t="s">
        <v>6</v>
      </c>
      <c r="B5" s="3">
        <v>2.004390674E8</v>
      </c>
      <c r="C5" s="7">
        <f t="shared" si="1"/>
        <v>200.4390674</v>
      </c>
      <c r="D5" s="4">
        <f t="shared" si="2"/>
        <v>0.2356318811</v>
      </c>
    </row>
    <row r="6" ht="15.75" customHeight="1">
      <c r="A6" s="2" t="s">
        <v>8</v>
      </c>
      <c r="B6" s="3">
        <v>1.086744891E8</v>
      </c>
      <c r="C6" s="7">
        <f t="shared" si="1"/>
        <v>108.6744891</v>
      </c>
      <c r="D6" s="4">
        <f t="shared" si="2"/>
        <v>0.1277554053</v>
      </c>
    </row>
    <row r="7" ht="15.75" customHeight="1">
      <c r="A7" s="2" t="s">
        <v>10</v>
      </c>
      <c r="B7" s="3">
        <v>1.939351615E7</v>
      </c>
      <c r="C7" s="7">
        <f t="shared" si="1"/>
        <v>19.39351615</v>
      </c>
      <c r="D7" s="4">
        <f t="shared" si="2"/>
        <v>0.02279860285</v>
      </c>
    </row>
    <row r="8" ht="15.75" customHeight="1">
      <c r="A8" s="2" t="s">
        <v>11</v>
      </c>
      <c r="B8" s="3">
        <v>1.509396001E7</v>
      </c>
      <c r="C8" s="7">
        <f t="shared" si="1"/>
        <v>15.09396001</v>
      </c>
      <c r="D8" s="4">
        <f t="shared" si="2"/>
        <v>0.0177441366</v>
      </c>
    </row>
    <row r="9" ht="15.75" customHeight="1">
      <c r="A9" s="11" t="s">
        <v>13</v>
      </c>
      <c r="B9" s="13">
        <f>SUM(B3:B8)</f>
        <v>850644940</v>
      </c>
      <c r="C9" s="14">
        <f t="shared" si="1"/>
        <v>850.64494</v>
      </c>
      <c r="D9" s="1"/>
    </row>
    <row r="10" ht="15.75" customHeight="1"/>
    <row r="11" ht="15.75" customHeight="1"/>
    <row r="12" ht="15.75" customHeight="1">
      <c r="A12" s="1"/>
      <c r="B12" s="1" t="s">
        <v>0</v>
      </c>
      <c r="C12" s="1" t="s">
        <v>1</v>
      </c>
      <c r="D12" s="1" t="s">
        <v>2</v>
      </c>
    </row>
    <row r="13" ht="15.75" customHeight="1">
      <c r="A13" s="2" t="s">
        <v>14</v>
      </c>
      <c r="B13" s="15">
        <v>5.05743963971196E8</v>
      </c>
      <c r="C13" s="7">
        <f t="shared" ref="C13:C19" si="3">B13/1000000</f>
        <v>505.743964</v>
      </c>
      <c r="D13" s="4">
        <f t="shared" ref="D13:D18" si="4">C13/C$9</f>
        <v>0.5945417885</v>
      </c>
    </row>
    <row r="14" ht="15.75" customHeight="1">
      <c r="A14" s="2" t="s">
        <v>15</v>
      </c>
      <c r="B14" s="15">
        <v>4.5916553319222786E7</v>
      </c>
      <c r="C14" s="7">
        <f t="shared" si="3"/>
        <v>45.91655332</v>
      </c>
      <c r="D14" s="4">
        <f t="shared" si="4"/>
        <v>0.05397851813</v>
      </c>
    </row>
    <row r="15" ht="15.75" customHeight="1">
      <c r="A15" s="2" t="s">
        <v>16</v>
      </c>
      <c r="B15" s="15">
        <v>2.733145849763439E8</v>
      </c>
      <c r="C15" s="7">
        <f t="shared" si="3"/>
        <v>273.314585</v>
      </c>
      <c r="D15" s="4">
        <f t="shared" si="4"/>
        <v>0.3213027811</v>
      </c>
    </row>
    <row r="16" ht="15.75" customHeight="1">
      <c r="A16" s="2" t="s">
        <v>17</v>
      </c>
      <c r="B16" s="15">
        <v>6374980.097670273</v>
      </c>
      <c r="C16" s="7">
        <f t="shared" si="3"/>
        <v>6.374980098</v>
      </c>
      <c r="D16" s="4">
        <f t="shared" si="4"/>
        <v>0.007494290271</v>
      </c>
    </row>
    <row r="17" ht="15.75" customHeight="1">
      <c r="A17" s="2" t="s">
        <v>18</v>
      </c>
      <c r="B17" s="15">
        <v>1.929361521263376E7</v>
      </c>
      <c r="C17" s="7">
        <f t="shared" si="3"/>
        <v>19.29361521</v>
      </c>
      <c r="D17" s="4">
        <f t="shared" si="4"/>
        <v>0.02268116144</v>
      </c>
    </row>
    <row r="18" ht="15.75" customHeight="1">
      <c r="A18" s="23" t="s">
        <v>20</v>
      </c>
      <c r="B18" s="25">
        <v>1242.4168973205565</v>
      </c>
      <c r="C18" s="28">
        <f t="shared" si="3"/>
        <v>0.001242416897</v>
      </c>
      <c r="D18" s="30">
        <f t="shared" si="4"/>
        <v>0.000001460558735</v>
      </c>
    </row>
    <row r="19" ht="15.75" customHeight="1">
      <c r="A19" s="11" t="s">
        <v>13</v>
      </c>
      <c r="B19" s="13">
        <f>SUM(B13:B18)</f>
        <v>850644940</v>
      </c>
      <c r="C19" s="14">
        <f t="shared" si="3"/>
        <v>850.64494</v>
      </c>
      <c r="D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1"/>
      <c r="B2" s="1" t="s">
        <v>0</v>
      </c>
      <c r="C2" s="1" t="s">
        <v>1</v>
      </c>
      <c r="D2" s="1" t="s">
        <v>2</v>
      </c>
    </row>
    <row r="3" ht="15.75" customHeight="1">
      <c r="A3" s="2" t="s">
        <v>3</v>
      </c>
      <c r="B3" s="5">
        <v>4.2084277863E8</v>
      </c>
      <c r="C3" s="7">
        <f t="shared" ref="C3:C9" si="1">B3/1000000</f>
        <v>420.8427786</v>
      </c>
      <c r="D3" s="4">
        <f t="shared" ref="D3:D8" si="2">C3/C$9</f>
        <v>0.4946988902</v>
      </c>
    </row>
    <row r="4" ht="15.75" customHeight="1">
      <c r="A4" s="2" t="s">
        <v>5</v>
      </c>
      <c r="B4" s="5">
        <v>8.626110422E7</v>
      </c>
      <c r="C4" s="7">
        <f t="shared" si="1"/>
        <v>86.26110422</v>
      </c>
      <c r="D4" s="4">
        <f t="shared" si="2"/>
        <v>0.1013995599</v>
      </c>
    </row>
    <row r="5" ht="15.75" customHeight="1">
      <c r="A5" s="2" t="s">
        <v>6</v>
      </c>
      <c r="B5" s="5">
        <v>2.0043906746E8</v>
      </c>
      <c r="C5" s="7">
        <f t="shared" si="1"/>
        <v>200.4390675</v>
      </c>
      <c r="D5" s="4">
        <f t="shared" si="2"/>
        <v>0.2356152684</v>
      </c>
    </row>
    <row r="6" ht="15.75" customHeight="1">
      <c r="A6" s="2" t="s">
        <v>8</v>
      </c>
      <c r="B6" s="5">
        <v>1.0867448969E8</v>
      </c>
      <c r="C6" s="7">
        <f t="shared" si="1"/>
        <v>108.6744897</v>
      </c>
      <c r="D6" s="4">
        <f t="shared" si="2"/>
        <v>0.1277463988</v>
      </c>
    </row>
    <row r="7" ht="15.75" customHeight="1">
      <c r="A7" s="2" t="s">
        <v>10</v>
      </c>
      <c r="B7" s="5">
        <v>1.939351713E7</v>
      </c>
      <c r="C7" s="7">
        <f t="shared" si="1"/>
        <v>19.39351713</v>
      </c>
      <c r="D7" s="4">
        <f t="shared" si="2"/>
        <v>0.02279699662</v>
      </c>
    </row>
    <row r="8" ht="15.75" customHeight="1">
      <c r="A8" s="2" t="s">
        <v>11</v>
      </c>
      <c r="B8" s="5">
        <v>1.509396043E7</v>
      </c>
      <c r="C8" s="7">
        <f t="shared" si="1"/>
        <v>15.09396043</v>
      </c>
      <c r="D8" s="4">
        <f t="shared" si="2"/>
        <v>0.01774288607</v>
      </c>
    </row>
    <row r="9" ht="15.75" customHeight="1">
      <c r="A9" s="11" t="s">
        <v>13</v>
      </c>
      <c r="B9" s="13">
        <f>SUM(B3:B8)</f>
        <v>850704917.6</v>
      </c>
      <c r="C9" s="14">
        <f t="shared" si="1"/>
        <v>850.7049176</v>
      </c>
      <c r="D9" s="1"/>
    </row>
    <row r="10" ht="15.75" customHeight="1"/>
    <row r="11" ht="15.75" customHeight="1"/>
    <row r="12" ht="15.75" customHeight="1">
      <c r="A12" s="1"/>
      <c r="B12" s="1" t="s">
        <v>0</v>
      </c>
      <c r="C12" s="1" t="s">
        <v>1</v>
      </c>
      <c r="D12" s="1" t="s">
        <v>2</v>
      </c>
    </row>
    <row r="13" ht="15.75" customHeight="1">
      <c r="A13" s="2" t="s">
        <v>14</v>
      </c>
      <c r="B13" s="5">
        <v>5.0580119104E8</v>
      </c>
      <c r="C13" s="7">
        <f t="shared" ref="C13:C19" si="3">B13/1000000</f>
        <v>505.801191</v>
      </c>
      <c r="D13" s="4">
        <f t="shared" ref="D13:D18" si="4">C13/C$9</f>
        <v>0.5945671414</v>
      </c>
    </row>
    <row r="14" ht="15.75" customHeight="1">
      <c r="A14" s="2" t="s">
        <v>15</v>
      </c>
      <c r="B14" s="5">
        <v>4.591763763E7</v>
      </c>
      <c r="C14" s="7">
        <f t="shared" si="3"/>
        <v>45.91763763</v>
      </c>
      <c r="D14" s="4">
        <f t="shared" si="4"/>
        <v>0.05397598707</v>
      </c>
    </row>
    <row r="15" ht="15.75" customHeight="1">
      <c r="A15" s="2" t="s">
        <v>16</v>
      </c>
      <c r="B15" s="5">
        <v>2.7331463597E8</v>
      </c>
      <c r="C15" s="7">
        <f t="shared" si="3"/>
        <v>273.314636</v>
      </c>
      <c r="D15" s="4">
        <f t="shared" si="4"/>
        <v>0.3212801881</v>
      </c>
    </row>
    <row r="16" ht="15.75" customHeight="1">
      <c r="A16" s="2" t="s">
        <v>17</v>
      </c>
      <c r="B16" s="5">
        <v>6375038.54</v>
      </c>
      <c r="C16" s="7">
        <f t="shared" si="3"/>
        <v>6.37503854</v>
      </c>
      <c r="D16" s="4">
        <f t="shared" si="4"/>
        <v>0.007493830597</v>
      </c>
    </row>
    <row r="17" ht="15.75" customHeight="1">
      <c r="A17" s="2" t="s">
        <v>18</v>
      </c>
      <c r="B17" s="5">
        <v>1.929517197E7</v>
      </c>
      <c r="C17" s="7">
        <f t="shared" si="3"/>
        <v>19.29517197</v>
      </c>
      <c r="D17" s="4">
        <f t="shared" si="4"/>
        <v>0.0226813923</v>
      </c>
    </row>
    <row r="18" ht="15.75" customHeight="1">
      <c r="A18" s="23" t="s">
        <v>20</v>
      </c>
      <c r="B18" s="26">
        <v>1242.42</v>
      </c>
      <c r="C18" s="28">
        <f t="shared" si="3"/>
        <v>0.00124242</v>
      </c>
      <c r="D18" s="30">
        <f t="shared" si="4"/>
        <v>0.000001460459408</v>
      </c>
    </row>
    <row r="19" ht="15.75" customHeight="1">
      <c r="A19" s="11" t="s">
        <v>13</v>
      </c>
      <c r="B19" s="13">
        <f>SUM(B13:B18)</f>
        <v>850704917.6</v>
      </c>
      <c r="C19" s="14">
        <f t="shared" si="3"/>
        <v>850.7049176</v>
      </c>
      <c r="D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34.0"/>
    <col customWidth="1" min="3" max="3" width="21.56"/>
    <col customWidth="1" min="4" max="4" width="22.44"/>
    <col customWidth="1" min="5" max="5" width="16.44"/>
    <col customWidth="1" min="6" max="6" width="11.0"/>
    <col customWidth="1" min="7" max="7" width="18.11"/>
    <col customWidth="1" min="8" max="8" width="12.11"/>
    <col customWidth="1" min="9" max="9" width="6.56"/>
    <col customWidth="1" min="10" max="10" width="6.67"/>
    <col customWidth="1" min="11" max="11" width="17.44"/>
    <col customWidth="1" min="12" max="12" width="13.56"/>
    <col customWidth="1" min="13" max="13" width="11.0"/>
    <col customWidth="1" min="14" max="14" width="10.56"/>
    <col customWidth="1" min="15" max="15" width="21.11"/>
    <col customWidth="1" min="16" max="16" width="13.56"/>
    <col customWidth="1" min="17" max="22" width="11.0"/>
    <col customWidth="1" min="23" max="26" width="11.44"/>
  </cols>
  <sheetData>
    <row r="1">
      <c r="J1" s="4"/>
      <c r="N1" s="6"/>
    </row>
    <row r="2">
      <c r="A2" s="8" t="s">
        <v>4</v>
      </c>
      <c r="J2" s="4"/>
      <c r="N2" s="6"/>
    </row>
    <row r="3" ht="15.75" customHeight="1">
      <c r="G3" s="2"/>
      <c r="H3" s="2"/>
      <c r="I3" s="2"/>
      <c r="J3" s="4"/>
      <c r="K3" s="2"/>
      <c r="L3" s="2"/>
      <c r="M3" s="2"/>
      <c r="N3" s="6"/>
    </row>
    <row r="4" ht="15.75" customHeight="1">
      <c r="C4" s="9" t="s">
        <v>7</v>
      </c>
      <c r="D4" s="9" t="s">
        <v>9</v>
      </c>
      <c r="G4" s="2"/>
      <c r="H4" s="2"/>
      <c r="I4" s="2"/>
      <c r="J4" s="4"/>
      <c r="K4" s="2"/>
      <c r="L4" s="2"/>
      <c r="M4" s="2"/>
      <c r="N4" s="6"/>
    </row>
    <row r="5" ht="15.75" customHeight="1">
      <c r="B5" s="10" t="s">
        <v>12</v>
      </c>
      <c r="C5" s="12">
        <v>3.0833318416779846E7</v>
      </c>
      <c r="D5" s="16">
        <f t="shared" ref="D5:D36" si="1">C5/1000000</f>
        <v>30.83331842</v>
      </c>
      <c r="E5" s="17">
        <f t="shared" ref="E5:E35" si="2">C5/$C$36</f>
        <v>0.2837217701</v>
      </c>
      <c r="G5" s="18"/>
      <c r="H5" s="19"/>
      <c r="I5" s="20"/>
      <c r="J5" s="21"/>
      <c r="K5" s="2"/>
      <c r="L5" s="2"/>
      <c r="M5" s="2"/>
      <c r="N5" s="6"/>
    </row>
    <row r="6" ht="15.75" customHeight="1">
      <c r="B6" s="22" t="s">
        <v>19</v>
      </c>
      <c r="C6" s="24">
        <v>2.766971542369688E7</v>
      </c>
      <c r="D6" s="27">
        <f t="shared" si="1"/>
        <v>27.66971542</v>
      </c>
      <c r="E6" s="29">
        <f t="shared" si="2"/>
        <v>0.2546109547</v>
      </c>
      <c r="G6" s="31" t="s">
        <v>21</v>
      </c>
      <c r="H6" s="31">
        <f>C5</f>
        <v>30833318.42</v>
      </c>
      <c r="I6" s="32">
        <f>H6/1000000</f>
        <v>30.83331842</v>
      </c>
      <c r="J6" s="33">
        <f>E5</f>
        <v>0.2837217701</v>
      </c>
      <c r="K6" s="34" t="str">
        <f t="shared" ref="K6:L6" si="3">B6</f>
        <v>1.1. Forest Formation</v>
      </c>
      <c r="L6" s="34">
        <f t="shared" si="3"/>
        <v>27669715.42</v>
      </c>
      <c r="M6" s="35">
        <f t="shared" ref="M6:M9" si="5">L6/1000000</f>
        <v>27.66971542</v>
      </c>
      <c r="N6" s="36">
        <f t="shared" ref="N6:N9" si="6">M6/I$6</f>
        <v>0.89739661</v>
      </c>
    </row>
    <row r="7" ht="15.75" customHeight="1">
      <c r="B7" s="22" t="s">
        <v>22</v>
      </c>
      <c r="C7" s="24">
        <v>2457147.7107152385</v>
      </c>
      <c r="D7" s="27">
        <f t="shared" si="1"/>
        <v>2.457147711</v>
      </c>
      <c r="E7" s="29">
        <f t="shared" si="2"/>
        <v>0.02261016114</v>
      </c>
      <c r="G7" s="37"/>
      <c r="H7" s="37"/>
      <c r="I7" s="37"/>
      <c r="J7" s="37"/>
      <c r="K7" s="34" t="str">
        <f t="shared" ref="K7:L7" si="4">B7</f>
        <v>1.2. Savanna Formation</v>
      </c>
      <c r="L7" s="34">
        <f t="shared" si="4"/>
        <v>2457147.711</v>
      </c>
      <c r="M7" s="35">
        <f t="shared" si="5"/>
        <v>2.457147711</v>
      </c>
      <c r="N7" s="36">
        <f t="shared" si="6"/>
        <v>0.07969131566</v>
      </c>
    </row>
    <row r="8" ht="15.75" customHeight="1">
      <c r="B8" s="22" t="s">
        <v>23</v>
      </c>
      <c r="C8" s="24"/>
      <c r="D8" s="27">
        <f t="shared" si="1"/>
        <v>0</v>
      </c>
      <c r="E8" s="29">
        <f t="shared" si="2"/>
        <v>0</v>
      </c>
      <c r="G8" s="37"/>
      <c r="H8" s="37"/>
      <c r="I8" s="37"/>
      <c r="J8" s="37"/>
      <c r="K8" s="34" t="str">
        <f t="shared" ref="K8:L8" si="7">B9</f>
        <v>1.4. Mangrove</v>
      </c>
      <c r="L8" s="34">
        <f t="shared" si="7"/>
        <v>198062.4132</v>
      </c>
      <c r="M8" s="35">
        <f t="shared" si="5"/>
        <v>0.1980624132</v>
      </c>
      <c r="N8" s="36">
        <f t="shared" si="6"/>
        <v>0.006423648941</v>
      </c>
      <c r="O8" s="38"/>
    </row>
    <row r="9" ht="15.75" customHeight="1">
      <c r="B9" s="22" t="s">
        <v>24</v>
      </c>
      <c r="C9" s="24">
        <v>198062.41319688817</v>
      </c>
      <c r="D9" s="27">
        <f t="shared" si="1"/>
        <v>0.1980624132</v>
      </c>
      <c r="E9" s="29">
        <f t="shared" si="2"/>
        <v>0.001822529048</v>
      </c>
      <c r="G9" s="39"/>
      <c r="H9" s="39"/>
      <c r="I9" s="39"/>
      <c r="J9" s="39"/>
      <c r="K9" s="34" t="str">
        <f t="shared" ref="K9:L9" si="8">B11</f>
        <v>1.6. Wooded Sandbank Vegetation</v>
      </c>
      <c r="L9" s="34">
        <f t="shared" si="8"/>
        <v>508392.8692</v>
      </c>
      <c r="M9" s="35">
        <f t="shared" si="5"/>
        <v>0.5083928692</v>
      </c>
      <c r="N9" s="36">
        <f t="shared" si="6"/>
        <v>0.01648842536</v>
      </c>
      <c r="O9" s="38"/>
    </row>
    <row r="10" ht="15.75" customHeight="1">
      <c r="B10" s="22" t="s">
        <v>28</v>
      </c>
      <c r="C10" s="24"/>
      <c r="D10" s="27">
        <f t="shared" si="1"/>
        <v>0</v>
      </c>
      <c r="E10" s="29">
        <f t="shared" si="2"/>
        <v>0</v>
      </c>
      <c r="G10" s="18"/>
      <c r="H10" s="19"/>
      <c r="I10" s="20"/>
      <c r="J10" s="21"/>
      <c r="K10" s="2"/>
      <c r="L10" s="2"/>
      <c r="M10" s="2"/>
      <c r="N10" s="6"/>
    </row>
    <row r="11" ht="15.75" customHeight="1">
      <c r="B11" s="22" t="s">
        <v>36</v>
      </c>
      <c r="C11" s="22">
        <v>508392.8691708405</v>
      </c>
      <c r="D11" s="27">
        <f t="shared" si="1"/>
        <v>0.5083928692</v>
      </c>
      <c r="E11" s="29">
        <f t="shared" si="2"/>
        <v>0.004678125228</v>
      </c>
      <c r="G11" s="31" t="s">
        <v>37</v>
      </c>
      <c r="H11" s="31">
        <f>C12</f>
        <v>4140233.987</v>
      </c>
      <c r="I11" s="32">
        <f>H11/1000000</f>
        <v>4.140233987</v>
      </c>
      <c r="J11" s="33">
        <f>E12</f>
        <v>0.03809757028</v>
      </c>
      <c r="K11" s="34" t="str">
        <f t="shared" ref="K11:L11" si="9">B13</f>
        <v>2.1. Wetland</v>
      </c>
      <c r="L11" s="34">
        <f t="shared" si="9"/>
        <v>1342475.309</v>
      </c>
      <c r="M11" s="63">
        <f t="shared" ref="M11:M13" si="11">L11/1000000</f>
        <v>1.342475309</v>
      </c>
      <c r="N11" s="36">
        <f t="shared" ref="N11:N13" si="12">M11/I$11</f>
        <v>0.324251072</v>
      </c>
    </row>
    <row r="12" ht="15.75" customHeight="1">
      <c r="B12" s="10" t="s">
        <v>40</v>
      </c>
      <c r="C12" s="12">
        <v>4140233.9869282385</v>
      </c>
      <c r="D12" s="16">
        <f t="shared" si="1"/>
        <v>4.140233987</v>
      </c>
      <c r="E12" s="17">
        <f t="shared" si="2"/>
        <v>0.03809757028</v>
      </c>
      <c r="G12" s="37"/>
      <c r="H12" s="37"/>
      <c r="I12" s="37"/>
      <c r="J12" s="37"/>
      <c r="K12" s="34" t="str">
        <f t="shared" ref="K12:L12" si="10">B15</f>
        <v>2.3. Grassland Formation</v>
      </c>
      <c r="L12" s="34">
        <f t="shared" si="10"/>
        <v>2458098.033</v>
      </c>
      <c r="M12" s="63">
        <f t="shared" si="11"/>
        <v>2.458098033</v>
      </c>
      <c r="N12" s="36">
        <f t="shared" si="12"/>
        <v>0.5937099306</v>
      </c>
    </row>
    <row r="13" ht="15.75" customHeight="1">
      <c r="B13" s="22" t="s">
        <v>41</v>
      </c>
      <c r="C13" s="24">
        <v>1342475.3085950348</v>
      </c>
      <c r="D13" s="27">
        <f t="shared" si="1"/>
        <v>1.342475309</v>
      </c>
      <c r="E13" s="29">
        <f t="shared" si="2"/>
        <v>0.012353178</v>
      </c>
      <c r="G13" s="64"/>
      <c r="H13" s="64"/>
      <c r="I13" s="64"/>
      <c r="J13" s="64"/>
      <c r="K13" s="65" t="s">
        <v>42</v>
      </c>
      <c r="L13" s="66">
        <f>SUM(C14,C16,C17,C19,C18)</f>
        <v>339660.6454</v>
      </c>
      <c r="M13" s="67">
        <f t="shared" si="11"/>
        <v>0.3396606454</v>
      </c>
      <c r="N13" s="36">
        <f t="shared" si="12"/>
        <v>0.08203899743</v>
      </c>
    </row>
    <row r="14" ht="15.75" customHeight="1">
      <c r="B14" s="22" t="s">
        <v>43</v>
      </c>
      <c r="C14" s="24">
        <v>30.495512329101537</v>
      </c>
      <c r="D14" s="27">
        <f t="shared" si="1"/>
        <v>0.00003049551233</v>
      </c>
      <c r="E14" s="29">
        <f t="shared" si="2"/>
        <v>0.0000002806133489</v>
      </c>
      <c r="G14" s="69"/>
      <c r="H14" s="70"/>
      <c r="I14" s="70"/>
      <c r="J14" s="71"/>
      <c r="K14" s="2"/>
      <c r="L14" s="2"/>
      <c r="M14" s="2"/>
      <c r="N14" s="73"/>
    </row>
    <row r="15" ht="15.75" customHeight="1">
      <c r="B15" s="22" t="s">
        <v>45</v>
      </c>
      <c r="C15" s="24">
        <v>2458098.0329071092</v>
      </c>
      <c r="D15" s="27">
        <f t="shared" si="1"/>
        <v>2.458098033</v>
      </c>
      <c r="E15" s="29">
        <f t="shared" si="2"/>
        <v>0.02261890581</v>
      </c>
      <c r="G15" s="75" t="s">
        <v>46</v>
      </c>
      <c r="H15" s="31">
        <f>C20</f>
        <v>68904567.72</v>
      </c>
      <c r="I15" s="32">
        <f>H15/1000000</f>
        <v>68.90456772</v>
      </c>
      <c r="J15" s="33">
        <f>E20</f>
        <v>0.6340454717</v>
      </c>
      <c r="K15" s="34" t="str">
        <f t="shared" ref="K15:L15" si="13">B21</f>
        <v>3.1. Pasture</v>
      </c>
      <c r="L15" s="34">
        <f t="shared" si="13"/>
        <v>33658252.06</v>
      </c>
      <c r="M15" s="63">
        <f t="shared" ref="M15:M18" si="15">L15/1000000</f>
        <v>33.65825206</v>
      </c>
      <c r="N15" s="36">
        <f t="shared" ref="N15:N18" si="16">M15/I$15</f>
        <v>0.4884763547</v>
      </c>
      <c r="O15" s="82"/>
    </row>
    <row r="16" ht="15.75" customHeight="1">
      <c r="B16" s="22" t="s">
        <v>58</v>
      </c>
      <c r="C16" s="24"/>
      <c r="D16" s="27">
        <f t="shared" si="1"/>
        <v>0</v>
      </c>
      <c r="E16" s="29">
        <f t="shared" si="2"/>
        <v>0</v>
      </c>
      <c r="G16" s="37"/>
      <c r="H16" s="37"/>
      <c r="I16" s="37"/>
      <c r="J16" s="37"/>
      <c r="K16" s="34" t="str">
        <f t="shared" ref="K16:L16" si="14">B22</f>
        <v>3.2. Agriculture</v>
      </c>
      <c r="L16" s="34">
        <f t="shared" si="14"/>
        <v>20463313.04</v>
      </c>
      <c r="M16" s="63">
        <f t="shared" si="15"/>
        <v>20.46331304</v>
      </c>
      <c r="N16" s="36">
        <f t="shared" si="16"/>
        <v>0.2969805009</v>
      </c>
      <c r="O16" s="82"/>
    </row>
    <row r="17" ht="15.75" customHeight="1">
      <c r="B17" s="22" t="s">
        <v>69</v>
      </c>
      <c r="C17" s="24">
        <v>8047.6649808960055</v>
      </c>
      <c r="D17" s="27">
        <f t="shared" si="1"/>
        <v>0.008047664981</v>
      </c>
      <c r="E17" s="29">
        <f t="shared" si="2"/>
        <v>0.00007405293594</v>
      </c>
      <c r="G17" s="37"/>
      <c r="H17" s="37"/>
      <c r="I17" s="37"/>
      <c r="J17" s="37"/>
      <c r="K17" s="34" t="str">
        <f t="shared" ref="K17:L17" si="17">B23</f>
        <v>3.3. Forest Plantation</v>
      </c>
      <c r="L17" s="34">
        <f t="shared" si="17"/>
        <v>4922329.181</v>
      </c>
      <c r="M17" s="63">
        <f t="shared" si="15"/>
        <v>4.922329181</v>
      </c>
      <c r="N17" s="36">
        <f t="shared" si="16"/>
        <v>0.07143690679</v>
      </c>
    </row>
    <row r="18" ht="15.75" customHeight="1">
      <c r="B18" s="22" t="s">
        <v>82</v>
      </c>
      <c r="C18" s="24">
        <v>77443.43392560417</v>
      </c>
      <c r="D18" s="27">
        <f t="shared" si="1"/>
        <v>0.07744343393</v>
      </c>
      <c r="E18" s="29">
        <f t="shared" si="2"/>
        <v>0.000712618339</v>
      </c>
      <c r="G18" s="39"/>
      <c r="H18" s="39"/>
      <c r="I18" s="39"/>
      <c r="J18" s="39"/>
      <c r="K18" s="34" t="str">
        <f t="shared" ref="K18:L18" si="18">B24</f>
        <v>3.4. Mosaic of Uses</v>
      </c>
      <c r="L18" s="34">
        <f t="shared" si="18"/>
        <v>9860673.442</v>
      </c>
      <c r="M18" s="63">
        <f t="shared" si="15"/>
        <v>9.860673442</v>
      </c>
      <c r="N18" s="36">
        <f t="shared" si="16"/>
        <v>0.1431062376</v>
      </c>
      <c r="O18" s="82"/>
    </row>
    <row r="19" ht="15.75" customHeight="1">
      <c r="B19" s="22" t="s">
        <v>84</v>
      </c>
      <c r="C19" s="24">
        <v>254139.05100726557</v>
      </c>
      <c r="D19" s="27">
        <f t="shared" si="1"/>
        <v>0.254139051</v>
      </c>
      <c r="E19" s="29">
        <f t="shared" si="2"/>
        <v>0.002338534582</v>
      </c>
      <c r="G19" s="88"/>
      <c r="H19" s="88"/>
      <c r="I19" s="88"/>
      <c r="J19" s="89"/>
      <c r="K19" s="90"/>
      <c r="L19" s="90"/>
      <c r="M19" s="90"/>
      <c r="N19" s="73"/>
      <c r="O19" s="82"/>
    </row>
    <row r="20" ht="15.75" customHeight="1">
      <c r="B20" s="10" t="s">
        <v>47</v>
      </c>
      <c r="C20" s="12">
        <v>6.890456771670507E7</v>
      </c>
      <c r="D20" s="16">
        <f t="shared" si="1"/>
        <v>68.90456772</v>
      </c>
      <c r="E20" s="17">
        <f t="shared" si="2"/>
        <v>0.6340454717</v>
      </c>
      <c r="G20" s="31" t="s">
        <v>86</v>
      </c>
      <c r="H20" s="31">
        <f>C25</f>
        <v>2540153.156</v>
      </c>
      <c r="I20" s="32">
        <f>H20/1000000</f>
        <v>2.540153156</v>
      </c>
      <c r="J20" s="33">
        <f>E25</f>
        <v>0.02337395995</v>
      </c>
      <c r="K20" s="34" t="str">
        <f t="shared" ref="K20:L20" si="19">B26</f>
        <v>4.1. Beach, Dune and Sand Spot</v>
      </c>
      <c r="L20" s="34">
        <f t="shared" si="19"/>
        <v>59193.18349</v>
      </c>
      <c r="M20" s="63">
        <f t="shared" ref="M20:M25" si="21">L20/1000000</f>
        <v>0.05919318349</v>
      </c>
      <c r="N20" s="36">
        <f t="shared" ref="N20:N25" si="22">M20/$I$20</f>
        <v>0.02330299783</v>
      </c>
      <c r="O20" s="82"/>
    </row>
    <row r="21" ht="15.75" customHeight="1">
      <c r="B21" s="22" t="s">
        <v>56</v>
      </c>
      <c r="C21" s="24">
        <v>3.365825205776818E7</v>
      </c>
      <c r="D21" s="27">
        <f t="shared" si="1"/>
        <v>33.65825206</v>
      </c>
      <c r="E21" s="29">
        <f t="shared" si="2"/>
        <v>0.3097162207</v>
      </c>
      <c r="G21" s="37"/>
      <c r="H21" s="37"/>
      <c r="I21" s="37"/>
      <c r="J21" s="37"/>
      <c r="K21" s="34" t="str">
        <f t="shared" ref="K21:L21" si="20">B27</f>
        <v>4.2. Urban Area</v>
      </c>
      <c r="L21" s="34">
        <f t="shared" si="20"/>
        <v>2290295.414</v>
      </c>
      <c r="M21" s="63">
        <f t="shared" si="21"/>
        <v>2.290295414</v>
      </c>
      <c r="N21" s="36">
        <f t="shared" si="22"/>
        <v>0.9016367415</v>
      </c>
      <c r="O21" s="82"/>
    </row>
    <row r="22" ht="15.75" customHeight="1">
      <c r="B22" s="93" t="s">
        <v>54</v>
      </c>
      <c r="C22" s="24">
        <v>2.046331303543315E7</v>
      </c>
      <c r="D22" s="94">
        <f t="shared" si="1"/>
        <v>20.46331304</v>
      </c>
      <c r="E22" s="95">
        <f t="shared" si="2"/>
        <v>0.1882991418</v>
      </c>
      <c r="G22" s="37"/>
      <c r="H22" s="37"/>
      <c r="I22" s="37"/>
      <c r="J22" s="37"/>
      <c r="K22" s="34" t="str">
        <f t="shared" ref="K22:L22" si="23">B28</f>
        <v>4.3. Mining</v>
      </c>
      <c r="L22" s="34">
        <f t="shared" si="23"/>
        <v>88486.0306</v>
      </c>
      <c r="M22" s="63">
        <f t="shared" si="21"/>
        <v>0.0884860306</v>
      </c>
      <c r="N22" s="36">
        <f t="shared" si="22"/>
        <v>0.03483491946</v>
      </c>
    </row>
    <row r="23" ht="15.75" customHeight="1">
      <c r="B23" s="22" t="s">
        <v>57</v>
      </c>
      <c r="C23" s="24">
        <v>4922329.181445938</v>
      </c>
      <c r="D23" s="27">
        <f t="shared" si="1"/>
        <v>4.922329181</v>
      </c>
      <c r="E23" s="29">
        <f t="shared" si="2"/>
        <v>0.04529424726</v>
      </c>
      <c r="G23" s="37"/>
      <c r="H23" s="37"/>
      <c r="I23" s="37"/>
      <c r="J23" s="37"/>
      <c r="K23" s="34" t="str">
        <f t="shared" ref="K23:L23" si="24">B29</f>
        <v>4.4. Photovoltaic Power Plant (beta)</v>
      </c>
      <c r="L23" s="34">
        <f t="shared" si="24"/>
        <v>2162.929402</v>
      </c>
      <c r="M23" s="63">
        <f t="shared" si="21"/>
        <v>0.002162929402</v>
      </c>
      <c r="N23" s="36">
        <f t="shared" si="22"/>
        <v>0.0008514956657</v>
      </c>
    </row>
    <row r="24" ht="15.75" customHeight="1">
      <c r="B24" s="22" t="s">
        <v>55</v>
      </c>
      <c r="C24" s="24">
        <v>9860673.442057801</v>
      </c>
      <c r="D24" s="27">
        <f t="shared" si="1"/>
        <v>9.860673442</v>
      </c>
      <c r="E24" s="29">
        <f t="shared" si="2"/>
        <v>0.09073586195</v>
      </c>
      <c r="G24" s="37"/>
      <c r="H24" s="37"/>
      <c r="I24" s="37"/>
      <c r="J24" s="37"/>
      <c r="K24" s="34" t="str">
        <f t="shared" ref="K24:L24" si="25">B30</f>
        <v>4.5. Wind Farm</v>
      </c>
      <c r="L24" s="34">
        <f t="shared" si="25"/>
        <v>357.8189834</v>
      </c>
      <c r="M24" s="63">
        <f t="shared" si="21"/>
        <v>0.0003578189834</v>
      </c>
      <c r="N24" s="36">
        <f t="shared" si="22"/>
        <v>0.0001408651217</v>
      </c>
      <c r="O24" s="82"/>
    </row>
    <row r="25" ht="15.75" customHeight="1">
      <c r="B25" s="10" t="s">
        <v>49</v>
      </c>
      <c r="C25" s="12">
        <v>2540153.155862663</v>
      </c>
      <c r="D25" s="16">
        <f t="shared" si="1"/>
        <v>2.540153156</v>
      </c>
      <c r="E25" s="17">
        <f t="shared" si="2"/>
        <v>0.02337395995</v>
      </c>
      <c r="G25" s="64"/>
      <c r="H25" s="64"/>
      <c r="I25" s="64"/>
      <c r="J25" s="64"/>
      <c r="K25" s="34" t="str">
        <f t="shared" ref="K25:L25" si="26">B31</f>
        <v>4.6. Other non Vegetated Areas</v>
      </c>
      <c r="L25" s="34">
        <f t="shared" si="26"/>
        <v>99657.77907</v>
      </c>
      <c r="M25" s="63">
        <f t="shared" si="21"/>
        <v>0.09965777907</v>
      </c>
      <c r="N25" s="36">
        <f t="shared" si="22"/>
        <v>0.03923298043</v>
      </c>
      <c r="O25" s="82"/>
    </row>
    <row r="26" ht="15.75" customHeight="1">
      <c r="B26" s="102" t="s">
        <v>88</v>
      </c>
      <c r="C26" s="24">
        <v>59193.18348918417</v>
      </c>
      <c r="D26" s="27">
        <f t="shared" si="1"/>
        <v>0.05919318349</v>
      </c>
      <c r="E26" s="29">
        <f t="shared" si="2"/>
        <v>0.000544683338</v>
      </c>
      <c r="G26" s="90"/>
      <c r="H26" s="90"/>
      <c r="I26" s="90"/>
      <c r="J26" s="106"/>
      <c r="K26" s="90"/>
      <c r="L26" s="90"/>
      <c r="M26" s="90"/>
      <c r="N26" s="73"/>
      <c r="O26" s="82"/>
    </row>
    <row r="27" ht="15.75" customHeight="1">
      <c r="B27" s="22" t="s">
        <v>90</v>
      </c>
      <c r="C27" s="24">
        <v>2290295.4143195837</v>
      </c>
      <c r="D27" s="27">
        <f t="shared" si="1"/>
        <v>2.290295414</v>
      </c>
      <c r="E27" s="29">
        <f t="shared" si="2"/>
        <v>0.02107482108</v>
      </c>
      <c r="G27" s="31" t="s">
        <v>91</v>
      </c>
      <c r="H27" s="31">
        <f>C32</f>
        <v>2256215.842</v>
      </c>
      <c r="I27" s="32">
        <f>H27/1000000</f>
        <v>2.256215842</v>
      </c>
      <c r="J27" s="33">
        <f>E32</f>
        <v>0.02076122796</v>
      </c>
      <c r="K27" s="34" t="str">
        <f t="shared" ref="K27:L27" si="27">B33</f>
        <v>5.1. River, Lake and Ocean</v>
      </c>
      <c r="L27" s="34">
        <f t="shared" si="27"/>
        <v>2243009.83</v>
      </c>
      <c r="M27" s="63">
        <f t="shared" ref="M27:M28" si="29">L27/1000000</f>
        <v>2.24300983</v>
      </c>
      <c r="N27" s="36">
        <f t="shared" ref="N27:N28" si="30">M27/$I$27</f>
        <v>0.9941468312</v>
      </c>
      <c r="O27" s="82"/>
    </row>
    <row r="28" ht="15.75" customHeight="1">
      <c r="B28" s="93" t="s">
        <v>93</v>
      </c>
      <c r="C28" s="24">
        <v>88486.03060260067</v>
      </c>
      <c r="D28" s="94">
        <f t="shared" si="1"/>
        <v>0.0884860306</v>
      </c>
      <c r="E28" s="116">
        <f t="shared" si="2"/>
        <v>0.0008142300122</v>
      </c>
      <c r="G28" s="39"/>
      <c r="H28" s="39"/>
      <c r="I28" s="39"/>
      <c r="J28" s="39"/>
      <c r="K28" s="34" t="str">
        <f t="shared" ref="K28:L28" si="28">B34</f>
        <v>5.2. Aquaculture</v>
      </c>
      <c r="L28" s="34">
        <f t="shared" si="28"/>
        <v>13206.01209</v>
      </c>
      <c r="M28" s="63">
        <f t="shared" si="29"/>
        <v>0.01320601209</v>
      </c>
      <c r="N28" s="36">
        <f t="shared" si="30"/>
        <v>0.005853168761</v>
      </c>
      <c r="O28" s="82"/>
    </row>
    <row r="29" ht="15.75" customHeight="1">
      <c r="B29" s="22" t="s">
        <v>94</v>
      </c>
      <c r="C29" s="24">
        <v>2162.929402404797</v>
      </c>
      <c r="D29" s="27">
        <f t="shared" si="1"/>
        <v>0.002162929402</v>
      </c>
      <c r="E29" s="29">
        <f t="shared" si="2"/>
        <v>0.00001990282558</v>
      </c>
      <c r="G29" s="70"/>
      <c r="H29" s="70"/>
      <c r="I29" s="70"/>
      <c r="J29" s="71"/>
      <c r="K29" s="2"/>
      <c r="L29" s="2"/>
      <c r="M29" s="2"/>
      <c r="N29" s="6"/>
    </row>
    <row r="30" ht="15.75" customHeight="1">
      <c r="B30" s="22" t="s">
        <v>95</v>
      </c>
      <c r="C30" s="24">
        <v>357.8189833984377</v>
      </c>
      <c r="D30" s="27">
        <f t="shared" si="1"/>
        <v>0.0003578189834</v>
      </c>
      <c r="E30" s="29">
        <f t="shared" si="2"/>
        <v>0.000003292575712</v>
      </c>
      <c r="G30" s="22"/>
      <c r="H30" s="117"/>
      <c r="I30" s="82"/>
      <c r="J30" s="118"/>
      <c r="K30" s="2"/>
      <c r="L30" s="2"/>
      <c r="M30" s="2"/>
      <c r="N30" s="6"/>
      <c r="O30" s="82"/>
    </row>
    <row r="31" ht="15.75" customHeight="1">
      <c r="B31" s="93" t="s">
        <v>96</v>
      </c>
      <c r="C31" s="24">
        <v>99657.77906549067</v>
      </c>
      <c r="D31" s="94">
        <f t="shared" si="1"/>
        <v>0.09965777907</v>
      </c>
      <c r="E31" s="95">
        <f t="shared" si="2"/>
        <v>0.0009170301133</v>
      </c>
      <c r="G31" s="118"/>
      <c r="H31" s="2"/>
      <c r="I31" s="2"/>
      <c r="J31" s="2"/>
      <c r="K31" s="6"/>
      <c r="L31" s="82"/>
      <c r="O31" s="82"/>
    </row>
    <row r="32" ht="15.75" customHeight="1">
      <c r="B32" s="10" t="s">
        <v>50</v>
      </c>
      <c r="C32" s="12">
        <v>2256215.842150894</v>
      </c>
      <c r="D32" s="16">
        <f t="shared" si="1"/>
        <v>2.256215842</v>
      </c>
      <c r="E32" s="17">
        <f t="shared" si="2"/>
        <v>0.02076122796</v>
      </c>
      <c r="G32" s="119"/>
      <c r="H32" s="2"/>
      <c r="I32" s="2"/>
      <c r="J32" s="2"/>
      <c r="K32" s="6"/>
    </row>
    <row r="33" ht="15.75" customHeight="1">
      <c r="B33" s="121" t="s">
        <v>97</v>
      </c>
      <c r="C33" s="121">
        <v>2243009.8300652923</v>
      </c>
      <c r="D33" s="94">
        <f t="shared" si="1"/>
        <v>2.24300983</v>
      </c>
      <c r="E33" s="95">
        <f t="shared" si="2"/>
        <v>0.02063970899</v>
      </c>
      <c r="G33" s="4"/>
      <c r="K33" s="6"/>
    </row>
    <row r="34" ht="15.75" customHeight="1">
      <c r="B34" s="121" t="s">
        <v>98</v>
      </c>
      <c r="C34" s="121">
        <v>13206.012085601784</v>
      </c>
      <c r="D34" s="94">
        <f t="shared" si="1"/>
        <v>0.01320601209</v>
      </c>
      <c r="E34" s="95">
        <f t="shared" si="2"/>
        <v>0.0001215189709</v>
      </c>
      <c r="G34" s="4"/>
      <c r="K34" s="6"/>
    </row>
    <row r="35" ht="15.75" customHeight="1">
      <c r="B35" s="10" t="s">
        <v>99</v>
      </c>
      <c r="C35" s="12">
        <v>0.0</v>
      </c>
      <c r="D35" s="16">
        <f t="shared" si="1"/>
        <v>0</v>
      </c>
      <c r="E35" s="17">
        <f t="shared" si="2"/>
        <v>0</v>
      </c>
      <c r="G35" s="4"/>
      <c r="K35" s="6"/>
    </row>
    <row r="36" ht="15.75" customHeight="1">
      <c r="B36" s="123" t="s">
        <v>51</v>
      </c>
      <c r="C36" s="126">
        <f>SUM(C5,C12,C20,C25,C32,C35)</f>
        <v>108674489.1</v>
      </c>
      <c r="D36" s="128">
        <f t="shared" si="1"/>
        <v>108.6744891</v>
      </c>
      <c r="E36" s="123"/>
      <c r="G36" s="4"/>
      <c r="K36" s="6"/>
    </row>
    <row r="37" ht="15.75" customHeight="1">
      <c r="G37" s="4"/>
      <c r="K37" s="6"/>
    </row>
    <row r="38" ht="15.75" customHeight="1">
      <c r="G38" s="4"/>
      <c r="K38" s="6"/>
    </row>
    <row r="39" ht="15.75" customHeight="1">
      <c r="G39" s="4"/>
      <c r="K39" s="6"/>
    </row>
    <row r="40" ht="15.75" customHeight="1">
      <c r="G40" s="4"/>
      <c r="K40" s="6"/>
    </row>
    <row r="41" ht="15.75" customHeight="1">
      <c r="G41" s="4"/>
      <c r="K41" s="6"/>
    </row>
    <row r="42" ht="15.75" customHeight="1">
      <c r="G42" s="4"/>
      <c r="K42" s="6"/>
    </row>
    <row r="43" ht="15.75" customHeight="1">
      <c r="G43" s="4"/>
      <c r="K43" s="6"/>
    </row>
    <row r="44" ht="15.75" customHeight="1">
      <c r="G44" s="4"/>
      <c r="K44" s="6"/>
    </row>
    <row r="45" ht="15.75" customHeight="1">
      <c r="G45" s="4"/>
      <c r="K45" s="6"/>
    </row>
    <row r="46" ht="15.75" customHeight="1">
      <c r="G46" s="4"/>
      <c r="K46" s="6"/>
    </row>
    <row r="47" ht="15.75" customHeight="1">
      <c r="G47" s="4"/>
      <c r="K47" s="6"/>
    </row>
    <row r="48" ht="15.75" customHeight="1">
      <c r="G48" s="4"/>
      <c r="K48" s="6"/>
    </row>
    <row r="49" ht="15.75" customHeight="1">
      <c r="G49" s="4"/>
      <c r="K49" s="6"/>
    </row>
    <row r="50" ht="15.75" customHeight="1">
      <c r="G50" s="4"/>
      <c r="K50" s="6"/>
    </row>
    <row r="51" ht="15.75" customHeight="1">
      <c r="J51" s="4"/>
      <c r="N51" s="6"/>
    </row>
    <row r="52" ht="15.75" customHeight="1">
      <c r="J52" s="4"/>
      <c r="N52" s="6"/>
    </row>
    <row r="53" ht="15.75" customHeight="1">
      <c r="J53" s="4"/>
      <c r="N53" s="6"/>
    </row>
    <row r="54" ht="15.75" customHeight="1">
      <c r="J54" s="4"/>
      <c r="N54" s="6"/>
    </row>
    <row r="55" ht="15.75" customHeight="1">
      <c r="J55" s="4"/>
      <c r="N55" s="6"/>
    </row>
    <row r="56" ht="15.75" customHeight="1">
      <c r="J56" s="4"/>
      <c r="N56" s="6"/>
    </row>
    <row r="57" ht="15.75" customHeight="1">
      <c r="J57" s="4"/>
      <c r="N57" s="6"/>
    </row>
    <row r="58" ht="15.75" customHeight="1">
      <c r="J58" s="4"/>
      <c r="N58" s="6"/>
    </row>
    <row r="59" ht="15.75" customHeight="1">
      <c r="J59" s="4"/>
      <c r="N59" s="6"/>
    </row>
    <row r="60" ht="15.75" customHeight="1">
      <c r="J60" s="4"/>
      <c r="N60" s="6"/>
    </row>
    <row r="61" ht="15.75" customHeight="1">
      <c r="J61" s="4"/>
      <c r="N61" s="6"/>
    </row>
    <row r="62" ht="15.75" customHeight="1">
      <c r="J62" s="4"/>
      <c r="N62" s="6"/>
    </row>
    <row r="63" ht="15.75" customHeight="1">
      <c r="J63" s="4"/>
      <c r="N63" s="6"/>
    </row>
    <row r="64" ht="15.75" customHeight="1">
      <c r="J64" s="4"/>
      <c r="N64" s="6"/>
    </row>
    <row r="65" ht="15.75" customHeight="1">
      <c r="J65" s="4"/>
      <c r="N65" s="6"/>
    </row>
    <row r="66" ht="15.75" customHeight="1">
      <c r="J66" s="4"/>
      <c r="N66" s="6"/>
    </row>
    <row r="67" ht="15.75" customHeight="1">
      <c r="J67" s="4"/>
      <c r="N67" s="6"/>
    </row>
    <row r="68" ht="15.75" customHeight="1">
      <c r="J68" s="4"/>
      <c r="N68" s="6"/>
    </row>
    <row r="69" ht="15.75" customHeight="1">
      <c r="J69" s="4"/>
      <c r="N69" s="6"/>
    </row>
    <row r="70" ht="15.75" customHeight="1">
      <c r="J70" s="4"/>
      <c r="N70" s="6"/>
    </row>
    <row r="71" ht="15.75" customHeight="1">
      <c r="J71" s="4"/>
      <c r="N71" s="6"/>
    </row>
    <row r="72" ht="15.75" customHeight="1">
      <c r="J72" s="4"/>
      <c r="N72" s="6"/>
    </row>
    <row r="73" ht="15.75" customHeight="1">
      <c r="J73" s="4"/>
      <c r="N73" s="6"/>
    </row>
    <row r="74" ht="15.75" customHeight="1">
      <c r="J74" s="4"/>
      <c r="N74" s="6"/>
    </row>
    <row r="75" ht="15.75" customHeight="1">
      <c r="J75" s="4"/>
      <c r="N75" s="6"/>
    </row>
    <row r="76" ht="15.75" customHeight="1">
      <c r="J76" s="4"/>
      <c r="N76" s="6"/>
    </row>
    <row r="77" ht="15.75" customHeight="1">
      <c r="J77" s="4"/>
      <c r="N77" s="6"/>
    </row>
    <row r="78" ht="15.75" customHeight="1">
      <c r="J78" s="4"/>
      <c r="N78" s="6"/>
    </row>
    <row r="79" ht="15.75" customHeight="1">
      <c r="J79" s="4"/>
      <c r="N79" s="6"/>
    </row>
    <row r="80" ht="15.75" customHeight="1">
      <c r="J80" s="4"/>
      <c r="N80" s="6"/>
    </row>
    <row r="81" ht="15.75" customHeight="1">
      <c r="J81" s="4"/>
      <c r="N81" s="6"/>
    </row>
    <row r="82" ht="15.75" customHeight="1">
      <c r="J82" s="4"/>
      <c r="N82" s="6"/>
    </row>
    <row r="83" ht="15.75" customHeight="1">
      <c r="J83" s="4"/>
      <c r="N83" s="6"/>
    </row>
    <row r="84" ht="15.75" customHeight="1">
      <c r="J84" s="4"/>
      <c r="N84" s="6"/>
    </row>
    <row r="85" ht="15.75" customHeight="1">
      <c r="J85" s="4"/>
      <c r="N85" s="6"/>
    </row>
    <row r="86" ht="15.75" customHeight="1">
      <c r="J86" s="4"/>
      <c r="N86" s="6"/>
    </row>
    <row r="87" ht="15.75" customHeight="1">
      <c r="J87" s="4"/>
      <c r="N87" s="6"/>
    </row>
    <row r="88" ht="15.75" customHeight="1">
      <c r="J88" s="4"/>
      <c r="N88" s="6"/>
    </row>
    <row r="89" ht="15.75" customHeight="1">
      <c r="J89" s="4"/>
      <c r="N89" s="6"/>
    </row>
    <row r="90" ht="15.75" customHeight="1">
      <c r="J90" s="4"/>
      <c r="N90" s="6"/>
    </row>
    <row r="91" ht="15.75" customHeight="1">
      <c r="J91" s="4"/>
      <c r="N91" s="6"/>
    </row>
    <row r="92" ht="15.75" customHeight="1">
      <c r="J92" s="4"/>
      <c r="N92" s="6"/>
    </row>
    <row r="93" ht="15.75" customHeight="1">
      <c r="J93" s="4"/>
      <c r="N93" s="6"/>
    </row>
    <row r="94" ht="15.75" customHeight="1">
      <c r="J94" s="4"/>
      <c r="N94" s="6"/>
    </row>
    <row r="95" ht="15.75" customHeight="1">
      <c r="J95" s="4"/>
      <c r="N95" s="6"/>
    </row>
    <row r="96" ht="15.75" customHeight="1">
      <c r="J96" s="4"/>
      <c r="N96" s="6"/>
    </row>
    <row r="97" ht="15.75" customHeight="1">
      <c r="J97" s="4"/>
      <c r="N97" s="6"/>
    </row>
    <row r="98" ht="15.75" customHeight="1">
      <c r="J98" s="4"/>
      <c r="N98" s="6"/>
    </row>
    <row r="99" ht="15.75" customHeight="1">
      <c r="J99" s="4"/>
      <c r="N99" s="6"/>
    </row>
    <row r="100" ht="15.75" customHeight="1">
      <c r="J100" s="4"/>
      <c r="N100" s="6"/>
    </row>
    <row r="101" ht="15.75" customHeight="1">
      <c r="J101" s="4"/>
      <c r="N101" s="6"/>
    </row>
    <row r="102" ht="15.75" customHeight="1">
      <c r="J102" s="4"/>
      <c r="N102" s="6"/>
    </row>
    <row r="103" ht="15.75" customHeight="1">
      <c r="J103" s="4"/>
      <c r="N103" s="6"/>
    </row>
    <row r="104" ht="15.75" customHeight="1">
      <c r="J104" s="4"/>
      <c r="N104" s="6"/>
    </row>
    <row r="105" ht="15.75" customHeight="1">
      <c r="J105" s="4"/>
      <c r="N105" s="6"/>
    </row>
    <row r="106" ht="15.75" customHeight="1">
      <c r="J106" s="4"/>
      <c r="N106" s="6"/>
    </row>
    <row r="107" ht="15.75" customHeight="1">
      <c r="J107" s="4"/>
      <c r="N107" s="6"/>
    </row>
    <row r="108" ht="15.75" customHeight="1">
      <c r="J108" s="4"/>
      <c r="N108" s="6"/>
    </row>
    <row r="109" ht="15.75" customHeight="1">
      <c r="J109" s="4"/>
      <c r="N109" s="6"/>
    </row>
    <row r="110" ht="15.75" customHeight="1">
      <c r="J110" s="4"/>
      <c r="N110" s="6"/>
    </row>
    <row r="111" ht="15.75" customHeight="1">
      <c r="J111" s="4"/>
      <c r="N111" s="6"/>
    </row>
    <row r="112" ht="15.75" customHeight="1">
      <c r="J112" s="4"/>
      <c r="N112" s="6"/>
    </row>
    <row r="113" ht="15.75" customHeight="1">
      <c r="J113" s="4"/>
      <c r="N113" s="6"/>
    </row>
    <row r="114" ht="15.75" customHeight="1">
      <c r="J114" s="4"/>
      <c r="N114" s="6"/>
    </row>
    <row r="115" ht="15.75" customHeight="1">
      <c r="J115" s="4"/>
      <c r="N115" s="6"/>
    </row>
    <row r="116" ht="15.75" customHeight="1">
      <c r="J116" s="4"/>
      <c r="N116" s="6"/>
    </row>
    <row r="117" ht="15.75" customHeight="1">
      <c r="J117" s="4"/>
      <c r="N117" s="6"/>
    </row>
    <row r="118" ht="15.75" customHeight="1">
      <c r="J118" s="4"/>
      <c r="N118" s="6"/>
    </row>
    <row r="119" ht="15.75" customHeight="1">
      <c r="J119" s="4"/>
      <c r="N119" s="6"/>
    </row>
    <row r="120" ht="15.75" customHeight="1">
      <c r="J120" s="4"/>
      <c r="N120" s="6"/>
    </row>
    <row r="121" ht="15.75" customHeight="1">
      <c r="J121" s="4"/>
      <c r="N121" s="6"/>
    </row>
    <row r="122" ht="15.75" customHeight="1">
      <c r="J122" s="4"/>
      <c r="N122" s="6"/>
    </row>
    <row r="123" ht="15.75" customHeight="1">
      <c r="J123" s="4"/>
      <c r="N123" s="6"/>
    </row>
    <row r="124" ht="15.75" customHeight="1">
      <c r="J124" s="4"/>
      <c r="N124" s="6"/>
    </row>
    <row r="125" ht="15.75" customHeight="1">
      <c r="J125" s="4"/>
      <c r="N125" s="6"/>
    </row>
    <row r="126" ht="15.75" customHeight="1">
      <c r="J126" s="4"/>
      <c r="N126" s="6"/>
    </row>
    <row r="127" ht="15.75" customHeight="1">
      <c r="J127" s="4"/>
      <c r="N127" s="6"/>
    </row>
    <row r="128" ht="15.75" customHeight="1">
      <c r="J128" s="4"/>
      <c r="N128" s="6"/>
    </row>
    <row r="129" ht="15.75" customHeight="1">
      <c r="J129" s="4"/>
      <c r="N129" s="6"/>
    </row>
    <row r="130" ht="15.75" customHeight="1">
      <c r="J130" s="4"/>
      <c r="N130" s="6"/>
    </row>
    <row r="131" ht="15.75" customHeight="1">
      <c r="J131" s="4"/>
      <c r="N131" s="6"/>
    </row>
    <row r="132" ht="15.75" customHeight="1">
      <c r="J132" s="4"/>
      <c r="N132" s="6"/>
    </row>
    <row r="133" ht="15.75" customHeight="1">
      <c r="J133" s="4"/>
      <c r="N133" s="6"/>
    </row>
    <row r="134" ht="15.75" customHeight="1">
      <c r="J134" s="4"/>
      <c r="N134" s="6"/>
    </row>
    <row r="135" ht="15.75" customHeight="1">
      <c r="J135" s="4"/>
      <c r="N135" s="6"/>
    </row>
    <row r="136" ht="15.75" customHeight="1">
      <c r="J136" s="4"/>
      <c r="N136" s="6"/>
    </row>
    <row r="137" ht="15.75" customHeight="1">
      <c r="J137" s="4"/>
      <c r="N137" s="6"/>
    </row>
    <row r="138" ht="15.75" customHeight="1">
      <c r="J138" s="4"/>
      <c r="N138" s="6"/>
    </row>
    <row r="139" ht="15.75" customHeight="1">
      <c r="J139" s="4"/>
      <c r="N139" s="6"/>
    </row>
    <row r="140" ht="15.75" customHeight="1">
      <c r="J140" s="4"/>
      <c r="N140" s="6"/>
    </row>
    <row r="141" ht="15.75" customHeight="1">
      <c r="J141" s="4"/>
      <c r="N141" s="6"/>
    </row>
    <row r="142" ht="15.75" customHeight="1">
      <c r="J142" s="4"/>
      <c r="N142" s="6"/>
    </row>
    <row r="143" ht="15.75" customHeight="1">
      <c r="J143" s="4"/>
      <c r="N143" s="6"/>
    </row>
    <row r="144" ht="15.75" customHeight="1">
      <c r="J144" s="4"/>
      <c r="N144" s="6"/>
    </row>
    <row r="145" ht="15.75" customHeight="1">
      <c r="J145" s="4"/>
      <c r="N145" s="6"/>
    </row>
    <row r="146" ht="15.75" customHeight="1">
      <c r="J146" s="4"/>
      <c r="N146" s="6"/>
    </row>
    <row r="147" ht="15.75" customHeight="1">
      <c r="J147" s="4"/>
      <c r="N147" s="6"/>
    </row>
    <row r="148" ht="15.75" customHeight="1">
      <c r="J148" s="4"/>
      <c r="N148" s="6"/>
    </row>
    <row r="149" ht="15.75" customHeight="1">
      <c r="J149" s="4"/>
      <c r="N149" s="6"/>
    </row>
    <row r="150" ht="15.75" customHeight="1">
      <c r="J150" s="4"/>
      <c r="N150" s="6"/>
    </row>
    <row r="151" ht="15.75" customHeight="1">
      <c r="J151" s="4"/>
      <c r="N151" s="6"/>
    </row>
    <row r="152" ht="15.75" customHeight="1">
      <c r="J152" s="4"/>
      <c r="N152" s="6"/>
    </row>
    <row r="153" ht="15.75" customHeight="1">
      <c r="J153" s="4"/>
      <c r="N153" s="6"/>
    </row>
    <row r="154" ht="15.75" customHeight="1">
      <c r="J154" s="4"/>
      <c r="N154" s="6"/>
    </row>
    <row r="155" ht="15.75" customHeight="1">
      <c r="J155" s="4"/>
      <c r="N155" s="6"/>
    </row>
    <row r="156" ht="15.75" customHeight="1">
      <c r="J156" s="4"/>
      <c r="N156" s="6"/>
    </row>
    <row r="157" ht="15.75" customHeight="1">
      <c r="J157" s="4"/>
      <c r="N157" s="6"/>
    </row>
    <row r="158" ht="15.75" customHeight="1">
      <c r="J158" s="4"/>
      <c r="N158" s="6"/>
    </row>
    <row r="159" ht="15.75" customHeight="1">
      <c r="J159" s="4"/>
      <c r="N159" s="6"/>
    </row>
    <row r="160" ht="15.75" customHeight="1">
      <c r="J160" s="4"/>
      <c r="N160" s="6"/>
    </row>
    <row r="161" ht="15.75" customHeight="1">
      <c r="J161" s="4"/>
      <c r="N161" s="6"/>
    </row>
    <row r="162" ht="15.75" customHeight="1">
      <c r="J162" s="4"/>
      <c r="N162" s="6"/>
    </row>
    <row r="163" ht="15.75" customHeight="1">
      <c r="J163" s="4"/>
      <c r="N163" s="6"/>
    </row>
    <row r="164" ht="15.75" customHeight="1">
      <c r="J164" s="4"/>
      <c r="N164" s="6"/>
    </row>
    <row r="165" ht="15.75" customHeight="1">
      <c r="J165" s="4"/>
      <c r="N165" s="6"/>
    </row>
    <row r="166" ht="15.75" customHeight="1">
      <c r="J166" s="4"/>
      <c r="N166" s="6"/>
    </row>
    <row r="167" ht="15.75" customHeight="1">
      <c r="J167" s="4"/>
      <c r="N167" s="6"/>
    </row>
    <row r="168" ht="15.75" customHeight="1">
      <c r="J168" s="4"/>
      <c r="N168" s="6"/>
    </row>
    <row r="169" ht="15.75" customHeight="1">
      <c r="J169" s="4"/>
      <c r="N169" s="6"/>
    </row>
    <row r="170" ht="15.75" customHeight="1">
      <c r="J170" s="4"/>
      <c r="N170" s="6"/>
    </row>
    <row r="171" ht="15.75" customHeight="1">
      <c r="J171" s="4"/>
      <c r="N171" s="6"/>
    </row>
    <row r="172" ht="15.75" customHeight="1">
      <c r="J172" s="4"/>
      <c r="N172" s="6"/>
    </row>
    <row r="173" ht="15.75" customHeight="1">
      <c r="J173" s="4"/>
      <c r="N173" s="6"/>
    </row>
    <row r="174" ht="15.75" customHeight="1">
      <c r="J174" s="4"/>
      <c r="N174" s="6"/>
    </row>
    <row r="175" ht="15.75" customHeight="1">
      <c r="J175" s="4"/>
      <c r="N175" s="6"/>
    </row>
    <row r="176" ht="15.75" customHeight="1">
      <c r="J176" s="4"/>
      <c r="N176" s="6"/>
    </row>
    <row r="177" ht="15.75" customHeight="1">
      <c r="J177" s="4"/>
      <c r="N177" s="6"/>
    </row>
    <row r="178" ht="15.75" customHeight="1">
      <c r="J178" s="4"/>
      <c r="N178" s="6"/>
    </row>
    <row r="179" ht="15.75" customHeight="1">
      <c r="J179" s="4"/>
      <c r="N179" s="6"/>
    </row>
    <row r="180" ht="15.75" customHeight="1">
      <c r="J180" s="4"/>
      <c r="N180" s="6"/>
    </row>
    <row r="181" ht="15.75" customHeight="1">
      <c r="J181" s="4"/>
      <c r="N181" s="6"/>
    </row>
    <row r="182" ht="15.75" customHeight="1">
      <c r="J182" s="4"/>
      <c r="N182" s="6"/>
    </row>
    <row r="183" ht="15.75" customHeight="1">
      <c r="J183" s="4"/>
      <c r="N183" s="6"/>
    </row>
    <row r="184" ht="15.75" customHeight="1">
      <c r="J184" s="4"/>
      <c r="N184" s="6"/>
    </row>
    <row r="185" ht="15.75" customHeight="1">
      <c r="J185" s="4"/>
      <c r="N185" s="6"/>
    </row>
    <row r="186" ht="15.75" customHeight="1">
      <c r="J186" s="4"/>
      <c r="N186" s="6"/>
    </row>
    <row r="187" ht="15.75" customHeight="1">
      <c r="J187" s="4"/>
      <c r="N187" s="6"/>
    </row>
    <row r="188" ht="15.75" customHeight="1">
      <c r="J188" s="4"/>
      <c r="N188" s="6"/>
    </row>
    <row r="189" ht="15.75" customHeight="1">
      <c r="J189" s="4"/>
      <c r="N189" s="6"/>
    </row>
    <row r="190" ht="15.75" customHeight="1">
      <c r="J190" s="4"/>
      <c r="N190" s="6"/>
    </row>
    <row r="191" ht="15.75" customHeight="1">
      <c r="J191" s="4"/>
      <c r="N191" s="6"/>
    </row>
    <row r="192" ht="15.75" customHeight="1">
      <c r="J192" s="4"/>
      <c r="N192" s="6"/>
    </row>
    <row r="193" ht="15.75" customHeight="1">
      <c r="J193" s="4"/>
      <c r="N193" s="6"/>
    </row>
    <row r="194" ht="15.75" customHeight="1">
      <c r="J194" s="4"/>
      <c r="N194" s="6"/>
    </row>
    <row r="195" ht="15.75" customHeight="1">
      <c r="J195" s="4"/>
      <c r="N195" s="6"/>
    </row>
    <row r="196" ht="15.75" customHeight="1">
      <c r="J196" s="4"/>
      <c r="N196" s="6"/>
    </row>
    <row r="197" ht="15.75" customHeight="1">
      <c r="J197" s="4"/>
      <c r="N197" s="6"/>
    </row>
    <row r="198" ht="15.75" customHeight="1">
      <c r="J198" s="4"/>
      <c r="N198" s="6"/>
    </row>
    <row r="199" ht="15.75" customHeight="1">
      <c r="J199" s="4"/>
      <c r="N199" s="6"/>
    </row>
    <row r="200" ht="15.75" customHeight="1">
      <c r="J200" s="4"/>
      <c r="N200" s="6"/>
    </row>
    <row r="201" ht="15.75" customHeight="1">
      <c r="J201" s="4"/>
      <c r="N201" s="6"/>
    </row>
    <row r="202" ht="15.75" customHeight="1">
      <c r="J202" s="4"/>
      <c r="N202" s="6"/>
    </row>
    <row r="203" ht="15.75" customHeight="1">
      <c r="J203" s="4"/>
      <c r="N203" s="6"/>
    </row>
    <row r="204" ht="15.75" customHeight="1">
      <c r="J204" s="4"/>
      <c r="N204" s="6"/>
    </row>
    <row r="205" ht="15.75" customHeight="1">
      <c r="J205" s="4"/>
      <c r="N205" s="6"/>
    </row>
    <row r="206" ht="15.75" customHeight="1">
      <c r="J206" s="4"/>
      <c r="N206" s="6"/>
    </row>
    <row r="207" ht="15.75" customHeight="1">
      <c r="J207" s="4"/>
      <c r="N207" s="6"/>
    </row>
    <row r="208" ht="15.75" customHeight="1">
      <c r="J208" s="4"/>
      <c r="N208" s="6"/>
    </row>
    <row r="209" ht="15.75" customHeight="1">
      <c r="J209" s="4"/>
      <c r="N209" s="6"/>
    </row>
    <row r="210" ht="15.75" customHeight="1">
      <c r="J210" s="4"/>
      <c r="N210" s="6"/>
    </row>
    <row r="211" ht="15.75" customHeight="1">
      <c r="J211" s="4"/>
      <c r="N211" s="6"/>
    </row>
    <row r="212" ht="15.75" customHeight="1">
      <c r="J212" s="4"/>
      <c r="N212" s="6"/>
    </row>
    <row r="213" ht="15.75" customHeight="1">
      <c r="J213" s="4"/>
      <c r="N213" s="6"/>
    </row>
    <row r="214" ht="15.75" customHeight="1">
      <c r="J214" s="4"/>
      <c r="N214" s="6"/>
    </row>
    <row r="215" ht="15.75" customHeight="1">
      <c r="J215" s="4"/>
      <c r="N215" s="6"/>
    </row>
    <row r="216" ht="15.75" customHeight="1">
      <c r="J216" s="4"/>
      <c r="N216" s="6"/>
    </row>
    <row r="217" ht="15.75" customHeight="1">
      <c r="J217" s="4"/>
      <c r="N217" s="6"/>
    </row>
    <row r="218" ht="15.75" customHeight="1">
      <c r="J218" s="4"/>
      <c r="N218" s="6"/>
    </row>
    <row r="219" ht="15.75" customHeight="1">
      <c r="J219" s="4"/>
      <c r="N219" s="6"/>
    </row>
    <row r="220" ht="15.75" customHeight="1">
      <c r="J220" s="4"/>
      <c r="N220" s="6"/>
    </row>
    <row r="221" ht="15.75" customHeight="1">
      <c r="J221" s="4"/>
      <c r="N221" s="6"/>
    </row>
    <row r="222" ht="15.75" customHeight="1">
      <c r="J222" s="4"/>
      <c r="N222" s="6"/>
    </row>
    <row r="223" ht="15.75" customHeight="1">
      <c r="J223" s="4"/>
      <c r="N223" s="6"/>
    </row>
    <row r="224" ht="15.75" customHeight="1">
      <c r="J224" s="4"/>
      <c r="N224" s="6"/>
    </row>
    <row r="225" ht="15.75" customHeight="1">
      <c r="J225" s="4"/>
      <c r="N225" s="6"/>
    </row>
    <row r="226" ht="15.75" customHeight="1">
      <c r="J226" s="4"/>
      <c r="N226" s="6"/>
    </row>
    <row r="227" ht="15.75" customHeight="1">
      <c r="J227" s="4"/>
      <c r="N227" s="6"/>
    </row>
    <row r="228" ht="15.75" customHeight="1">
      <c r="J228" s="4"/>
      <c r="N228" s="6"/>
    </row>
    <row r="229" ht="15.75" customHeight="1">
      <c r="J229" s="4"/>
      <c r="N229" s="6"/>
    </row>
    <row r="230" ht="15.75" customHeight="1">
      <c r="J230" s="4"/>
      <c r="N230" s="6"/>
    </row>
    <row r="231" ht="15.75" customHeight="1">
      <c r="J231" s="4"/>
      <c r="N231" s="6"/>
    </row>
    <row r="232" ht="15.75" customHeight="1">
      <c r="J232" s="4"/>
      <c r="N232" s="6"/>
    </row>
    <row r="233" ht="15.75" customHeight="1">
      <c r="J233" s="4"/>
      <c r="N233" s="6"/>
    </row>
    <row r="234" ht="15.75" customHeight="1">
      <c r="J234" s="4"/>
      <c r="N234" s="6"/>
    </row>
    <row r="235" ht="15.75" customHeight="1">
      <c r="J235" s="4"/>
      <c r="N235" s="6"/>
    </row>
    <row r="236" ht="15.75" customHeight="1">
      <c r="J236" s="4"/>
      <c r="N236" s="6"/>
    </row>
    <row r="237" ht="15.75" customHeight="1">
      <c r="J237" s="4"/>
      <c r="N237" s="6"/>
    </row>
    <row r="238" ht="15.75" customHeight="1">
      <c r="J238" s="4"/>
      <c r="N238" s="6"/>
    </row>
    <row r="239" ht="15.75" customHeight="1">
      <c r="J239" s="4"/>
      <c r="N239" s="6"/>
    </row>
    <row r="240" ht="15.75" customHeight="1">
      <c r="J240" s="4"/>
      <c r="N240" s="6"/>
    </row>
    <row r="241" ht="15.75" customHeight="1">
      <c r="J241" s="4"/>
      <c r="N241" s="6"/>
    </row>
    <row r="242" ht="15.75" customHeight="1">
      <c r="J242" s="4"/>
      <c r="N242" s="6"/>
    </row>
    <row r="243" ht="15.75" customHeight="1">
      <c r="J243" s="4"/>
      <c r="N243" s="6"/>
    </row>
    <row r="244" ht="15.75" customHeight="1">
      <c r="J244" s="4"/>
      <c r="N244" s="6"/>
    </row>
    <row r="245" ht="15.75" customHeight="1">
      <c r="J245" s="4"/>
      <c r="N245" s="6"/>
    </row>
    <row r="246" ht="15.75" customHeight="1">
      <c r="J246" s="4"/>
      <c r="N246" s="6"/>
    </row>
    <row r="247" ht="15.75" customHeight="1">
      <c r="J247" s="4"/>
      <c r="N247" s="6"/>
    </row>
    <row r="248" ht="15.75" customHeight="1">
      <c r="J248" s="4"/>
      <c r="N248" s="6"/>
    </row>
    <row r="249" ht="15.75" customHeight="1">
      <c r="J249" s="4"/>
      <c r="N249" s="6"/>
    </row>
    <row r="250" ht="15.75" customHeight="1">
      <c r="J250" s="4"/>
      <c r="N250" s="6"/>
    </row>
    <row r="251" ht="15.75" customHeight="1">
      <c r="J251" s="4"/>
      <c r="N251" s="6"/>
    </row>
    <row r="252" ht="15.75" customHeight="1">
      <c r="J252" s="4"/>
      <c r="N252" s="6"/>
    </row>
    <row r="253" ht="15.75" customHeight="1">
      <c r="J253" s="4"/>
      <c r="N253" s="6"/>
    </row>
    <row r="254" ht="15.75" customHeight="1">
      <c r="J254" s="4"/>
      <c r="N254" s="6"/>
    </row>
    <row r="255" ht="15.75" customHeight="1">
      <c r="J255" s="4"/>
      <c r="N255" s="6"/>
    </row>
    <row r="256" ht="15.75" customHeight="1">
      <c r="J256" s="4"/>
      <c r="N256" s="6"/>
    </row>
    <row r="257" ht="15.75" customHeight="1">
      <c r="J257" s="4"/>
      <c r="N257" s="6"/>
    </row>
    <row r="258" ht="15.75" customHeight="1">
      <c r="J258" s="4"/>
      <c r="N258" s="6"/>
    </row>
    <row r="259" ht="15.75" customHeight="1">
      <c r="J259" s="4"/>
      <c r="N259" s="6"/>
    </row>
    <row r="260" ht="15.75" customHeight="1">
      <c r="J260" s="4"/>
      <c r="N260" s="6"/>
    </row>
    <row r="261" ht="15.75" customHeight="1">
      <c r="J261" s="4"/>
      <c r="N261" s="6"/>
    </row>
    <row r="262" ht="15.75" customHeight="1">
      <c r="J262" s="4"/>
      <c r="N262" s="6"/>
    </row>
    <row r="263" ht="15.75" customHeight="1">
      <c r="J263" s="4"/>
      <c r="N263" s="6"/>
    </row>
    <row r="264" ht="15.75" customHeight="1">
      <c r="J264" s="4"/>
      <c r="N264" s="6"/>
    </row>
    <row r="265" ht="15.75" customHeight="1">
      <c r="J265" s="4"/>
      <c r="N265" s="6"/>
    </row>
    <row r="266" ht="15.75" customHeight="1">
      <c r="J266" s="4"/>
      <c r="N266" s="6"/>
    </row>
    <row r="267" ht="15.75" customHeight="1">
      <c r="J267" s="4"/>
      <c r="N267" s="6"/>
    </row>
    <row r="268" ht="15.75" customHeight="1">
      <c r="J268" s="4"/>
      <c r="N268" s="6"/>
    </row>
    <row r="269" ht="15.75" customHeight="1">
      <c r="J269" s="4"/>
      <c r="N269" s="6"/>
    </row>
    <row r="270" ht="15.75" customHeight="1">
      <c r="J270" s="4"/>
      <c r="N270" s="6"/>
    </row>
    <row r="271" ht="15.75" customHeight="1">
      <c r="J271" s="4"/>
      <c r="N271" s="6"/>
    </row>
    <row r="272" ht="15.75" customHeight="1">
      <c r="J272" s="4"/>
      <c r="N272" s="6"/>
    </row>
    <row r="273" ht="15.75" customHeight="1">
      <c r="J273" s="4"/>
      <c r="N273" s="6"/>
    </row>
    <row r="274" ht="15.75" customHeight="1">
      <c r="J274" s="4"/>
      <c r="N274" s="6"/>
    </row>
    <row r="275" ht="15.75" customHeight="1">
      <c r="J275" s="4"/>
      <c r="N275" s="6"/>
    </row>
    <row r="276" ht="15.75" customHeight="1">
      <c r="J276" s="4"/>
      <c r="N276" s="6"/>
    </row>
    <row r="277" ht="15.75" customHeight="1">
      <c r="J277" s="4"/>
      <c r="N277" s="6"/>
    </row>
    <row r="278" ht="15.75" customHeight="1">
      <c r="J278" s="4"/>
      <c r="N278" s="6"/>
    </row>
    <row r="279" ht="15.75" customHeight="1">
      <c r="J279" s="4"/>
      <c r="N279" s="6"/>
    </row>
    <row r="280" ht="15.75" customHeight="1">
      <c r="J280" s="4"/>
      <c r="N280" s="6"/>
    </row>
    <row r="281" ht="15.75" customHeight="1">
      <c r="J281" s="4"/>
      <c r="N281" s="6"/>
    </row>
    <row r="282" ht="15.75" customHeight="1">
      <c r="J282" s="4"/>
      <c r="N282" s="6"/>
    </row>
    <row r="283" ht="15.75" customHeight="1">
      <c r="J283" s="4"/>
      <c r="N283" s="6"/>
    </row>
    <row r="284" ht="15.75" customHeight="1">
      <c r="J284" s="4"/>
      <c r="N284" s="6"/>
    </row>
    <row r="285" ht="15.75" customHeight="1">
      <c r="J285" s="4"/>
      <c r="N285" s="6"/>
    </row>
    <row r="286" ht="15.75" customHeight="1">
      <c r="J286" s="4"/>
      <c r="N286" s="6"/>
    </row>
    <row r="287" ht="15.75" customHeight="1">
      <c r="J287" s="4"/>
      <c r="N287" s="6"/>
    </row>
    <row r="288" ht="15.75" customHeight="1">
      <c r="J288" s="4"/>
      <c r="N288" s="6"/>
    </row>
    <row r="289" ht="15.75" customHeight="1">
      <c r="J289" s="4"/>
      <c r="N289" s="6"/>
    </row>
    <row r="290" ht="15.75" customHeight="1">
      <c r="J290" s="4"/>
      <c r="N290" s="6"/>
    </row>
    <row r="291" ht="15.75" customHeight="1">
      <c r="J291" s="4"/>
      <c r="N291" s="6"/>
    </row>
    <row r="292" ht="15.75" customHeight="1">
      <c r="J292" s="4"/>
      <c r="N292" s="6"/>
    </row>
    <row r="293" ht="15.75" customHeight="1">
      <c r="J293" s="4"/>
      <c r="N293" s="6"/>
    </row>
    <row r="294" ht="15.75" customHeight="1">
      <c r="J294" s="4"/>
      <c r="N294" s="6"/>
    </row>
    <row r="295" ht="15.75" customHeight="1">
      <c r="J295" s="4"/>
      <c r="N295" s="6"/>
    </row>
    <row r="296" ht="15.75" customHeight="1">
      <c r="J296" s="4"/>
      <c r="N296" s="6"/>
    </row>
    <row r="297" ht="15.75" customHeight="1">
      <c r="J297" s="4"/>
      <c r="N297" s="6"/>
    </row>
    <row r="298" ht="15.75" customHeight="1">
      <c r="J298" s="4"/>
      <c r="N298" s="6"/>
    </row>
    <row r="299" ht="15.75" customHeight="1">
      <c r="J299" s="4"/>
      <c r="N299" s="6"/>
    </row>
    <row r="300" ht="15.75" customHeight="1">
      <c r="J300" s="4"/>
      <c r="N300" s="6"/>
    </row>
    <row r="301" ht="15.75" customHeight="1">
      <c r="J301" s="4"/>
      <c r="N301" s="6"/>
    </row>
    <row r="302" ht="15.75" customHeight="1">
      <c r="J302" s="4"/>
      <c r="N302" s="6"/>
    </row>
    <row r="303" ht="15.75" customHeight="1">
      <c r="J303" s="4"/>
      <c r="N303" s="6"/>
    </row>
    <row r="304" ht="15.75" customHeight="1">
      <c r="J304" s="4"/>
      <c r="N304" s="6"/>
    </row>
    <row r="305" ht="15.75" customHeight="1">
      <c r="J305" s="4"/>
      <c r="N305" s="6"/>
    </row>
    <row r="306" ht="15.75" customHeight="1">
      <c r="J306" s="4"/>
      <c r="N306" s="6"/>
    </row>
    <row r="307" ht="15.75" customHeight="1">
      <c r="J307" s="4"/>
      <c r="N307" s="6"/>
    </row>
    <row r="308" ht="15.75" customHeight="1">
      <c r="J308" s="4"/>
      <c r="N308" s="6"/>
    </row>
    <row r="309" ht="15.75" customHeight="1">
      <c r="J309" s="4"/>
      <c r="N309" s="6"/>
    </row>
    <row r="310" ht="15.75" customHeight="1">
      <c r="J310" s="4"/>
      <c r="N310" s="6"/>
    </row>
    <row r="311" ht="15.75" customHeight="1">
      <c r="J311" s="4"/>
      <c r="N311" s="6"/>
    </row>
    <row r="312" ht="15.75" customHeight="1">
      <c r="J312" s="4"/>
      <c r="N312" s="6"/>
    </row>
    <row r="313" ht="15.75" customHeight="1">
      <c r="J313" s="4"/>
      <c r="N313" s="6"/>
    </row>
    <row r="314" ht="15.75" customHeight="1">
      <c r="J314" s="4"/>
      <c r="N314" s="6"/>
    </row>
    <row r="315" ht="15.75" customHeight="1">
      <c r="J315" s="4"/>
      <c r="N315" s="6"/>
    </row>
    <row r="316" ht="15.75" customHeight="1">
      <c r="J316" s="4"/>
      <c r="N316" s="6"/>
    </row>
    <row r="317" ht="15.75" customHeight="1">
      <c r="J317" s="4"/>
      <c r="N317" s="6"/>
    </row>
    <row r="318" ht="15.75" customHeight="1">
      <c r="J318" s="4"/>
      <c r="N318" s="6"/>
    </row>
    <row r="319" ht="15.75" customHeight="1">
      <c r="J319" s="4"/>
      <c r="N319" s="6"/>
    </row>
    <row r="320" ht="15.75" customHeight="1">
      <c r="J320" s="4"/>
      <c r="N320" s="6"/>
    </row>
    <row r="321" ht="15.75" customHeight="1">
      <c r="J321" s="4"/>
      <c r="N321" s="6"/>
    </row>
    <row r="322" ht="15.75" customHeight="1">
      <c r="J322" s="4"/>
      <c r="N322" s="6"/>
    </row>
    <row r="323" ht="15.75" customHeight="1">
      <c r="J323" s="4"/>
      <c r="N323" s="6"/>
    </row>
    <row r="324" ht="15.75" customHeight="1">
      <c r="J324" s="4"/>
      <c r="N324" s="6"/>
    </row>
    <row r="325" ht="15.75" customHeight="1">
      <c r="J325" s="4"/>
      <c r="N325" s="6"/>
    </row>
    <row r="326" ht="15.75" customHeight="1">
      <c r="J326" s="4"/>
      <c r="N326" s="6"/>
    </row>
    <row r="327" ht="15.75" customHeight="1">
      <c r="J327" s="4"/>
      <c r="N327" s="6"/>
    </row>
    <row r="328" ht="15.75" customHeight="1">
      <c r="J328" s="4"/>
      <c r="N328" s="6"/>
    </row>
    <row r="329" ht="15.75" customHeight="1">
      <c r="J329" s="4"/>
      <c r="N329" s="6"/>
    </row>
    <row r="330" ht="15.75" customHeight="1">
      <c r="J330" s="4"/>
      <c r="N330" s="6"/>
    </row>
    <row r="331" ht="15.75" customHeight="1">
      <c r="J331" s="4"/>
      <c r="N331" s="6"/>
    </row>
    <row r="332" ht="15.75" customHeight="1">
      <c r="J332" s="4"/>
      <c r="N332" s="6"/>
    </row>
    <row r="333" ht="15.75" customHeight="1">
      <c r="J333" s="4"/>
      <c r="N333" s="6"/>
    </row>
    <row r="334" ht="15.75" customHeight="1">
      <c r="J334" s="4"/>
      <c r="N334" s="6"/>
    </row>
    <row r="335" ht="15.75" customHeight="1">
      <c r="J335" s="4"/>
      <c r="N335" s="6"/>
    </row>
    <row r="336" ht="15.75" customHeight="1">
      <c r="J336" s="4"/>
      <c r="N336" s="6"/>
    </row>
    <row r="337" ht="15.75" customHeight="1">
      <c r="J337" s="4"/>
      <c r="N337" s="6"/>
    </row>
    <row r="338" ht="15.75" customHeight="1">
      <c r="J338" s="4"/>
      <c r="N338" s="6"/>
    </row>
    <row r="339" ht="15.75" customHeight="1">
      <c r="J339" s="4"/>
      <c r="N339" s="6"/>
    </row>
    <row r="340" ht="15.75" customHeight="1">
      <c r="J340" s="4"/>
      <c r="N340" s="6"/>
    </row>
    <row r="341" ht="15.75" customHeight="1">
      <c r="J341" s="4"/>
      <c r="N341" s="6"/>
    </row>
    <row r="342" ht="15.75" customHeight="1">
      <c r="J342" s="4"/>
      <c r="N342" s="6"/>
    </row>
    <row r="343" ht="15.75" customHeight="1">
      <c r="J343" s="4"/>
      <c r="N343" s="6"/>
    </row>
    <row r="344" ht="15.75" customHeight="1">
      <c r="J344" s="4"/>
      <c r="N344" s="6"/>
    </row>
    <row r="345" ht="15.75" customHeight="1">
      <c r="J345" s="4"/>
      <c r="N345" s="6"/>
    </row>
    <row r="346" ht="15.75" customHeight="1">
      <c r="J346" s="4"/>
      <c r="N346" s="6"/>
    </row>
    <row r="347" ht="15.75" customHeight="1">
      <c r="J347" s="4"/>
      <c r="N347" s="6"/>
    </row>
    <row r="348" ht="15.75" customHeight="1">
      <c r="J348" s="4"/>
      <c r="N348" s="6"/>
    </row>
    <row r="349" ht="15.75" customHeight="1">
      <c r="J349" s="4"/>
      <c r="N349" s="6"/>
    </row>
    <row r="350" ht="15.75" customHeight="1">
      <c r="J350" s="4"/>
      <c r="N350" s="6"/>
    </row>
    <row r="351" ht="15.75" customHeight="1">
      <c r="J351" s="4"/>
      <c r="N351" s="6"/>
    </row>
    <row r="352" ht="15.75" customHeight="1">
      <c r="J352" s="4"/>
      <c r="N352" s="6"/>
    </row>
    <row r="353" ht="15.75" customHeight="1">
      <c r="J353" s="4"/>
      <c r="N353" s="6"/>
    </row>
    <row r="354" ht="15.75" customHeight="1">
      <c r="J354" s="4"/>
      <c r="N354" s="6"/>
    </row>
    <row r="355" ht="15.75" customHeight="1">
      <c r="J355" s="4"/>
      <c r="N355" s="6"/>
    </row>
    <row r="356" ht="15.75" customHeight="1">
      <c r="J356" s="4"/>
      <c r="N356" s="6"/>
    </row>
    <row r="357" ht="15.75" customHeight="1">
      <c r="J357" s="4"/>
      <c r="N357" s="6"/>
    </row>
    <row r="358" ht="15.75" customHeight="1">
      <c r="J358" s="4"/>
      <c r="N358" s="6"/>
    </row>
    <row r="359" ht="15.75" customHeight="1">
      <c r="J359" s="4"/>
      <c r="N359" s="6"/>
    </row>
    <row r="360" ht="15.75" customHeight="1">
      <c r="J360" s="4"/>
      <c r="N360" s="6"/>
    </row>
    <row r="361" ht="15.75" customHeight="1">
      <c r="J361" s="4"/>
      <c r="N361" s="6"/>
    </row>
    <row r="362" ht="15.75" customHeight="1">
      <c r="J362" s="4"/>
      <c r="N362" s="6"/>
    </row>
    <row r="363" ht="15.75" customHeight="1">
      <c r="J363" s="4"/>
      <c r="N363" s="6"/>
    </row>
    <row r="364" ht="15.75" customHeight="1">
      <c r="J364" s="4"/>
      <c r="N364" s="6"/>
    </row>
    <row r="365" ht="15.75" customHeight="1">
      <c r="J365" s="4"/>
      <c r="N365" s="6"/>
    </row>
    <row r="366" ht="15.75" customHeight="1">
      <c r="J366" s="4"/>
      <c r="N366" s="6"/>
    </row>
    <row r="367" ht="15.75" customHeight="1">
      <c r="J367" s="4"/>
      <c r="N367" s="6"/>
    </row>
    <row r="368" ht="15.75" customHeight="1">
      <c r="J368" s="4"/>
      <c r="N368" s="6"/>
    </row>
    <row r="369" ht="15.75" customHeight="1">
      <c r="J369" s="4"/>
      <c r="N369" s="6"/>
    </row>
    <row r="370" ht="15.75" customHeight="1">
      <c r="J370" s="4"/>
      <c r="N370" s="6"/>
    </row>
    <row r="371" ht="15.75" customHeight="1">
      <c r="J371" s="4"/>
      <c r="N371" s="6"/>
    </row>
    <row r="372" ht="15.75" customHeight="1">
      <c r="J372" s="4"/>
      <c r="N372" s="6"/>
    </row>
    <row r="373" ht="15.75" customHeight="1">
      <c r="J373" s="4"/>
      <c r="N373" s="6"/>
    </row>
    <row r="374" ht="15.75" customHeight="1">
      <c r="J374" s="4"/>
      <c r="N374" s="6"/>
    </row>
    <row r="375" ht="15.75" customHeight="1">
      <c r="J375" s="4"/>
      <c r="N375" s="6"/>
    </row>
    <row r="376" ht="15.75" customHeight="1">
      <c r="J376" s="4"/>
      <c r="N376" s="6"/>
    </row>
    <row r="377" ht="15.75" customHeight="1">
      <c r="J377" s="4"/>
      <c r="N377" s="6"/>
    </row>
    <row r="378" ht="15.75" customHeight="1">
      <c r="J378" s="4"/>
      <c r="N378" s="6"/>
    </row>
    <row r="379" ht="15.75" customHeight="1">
      <c r="J379" s="4"/>
      <c r="N379" s="6"/>
    </row>
    <row r="380" ht="15.75" customHeight="1">
      <c r="J380" s="4"/>
      <c r="N380" s="6"/>
    </row>
    <row r="381" ht="15.75" customHeight="1">
      <c r="J381" s="4"/>
      <c r="N381" s="6"/>
    </row>
    <row r="382" ht="15.75" customHeight="1">
      <c r="J382" s="4"/>
      <c r="N382" s="6"/>
    </row>
    <row r="383" ht="15.75" customHeight="1">
      <c r="J383" s="4"/>
      <c r="N383" s="6"/>
    </row>
    <row r="384" ht="15.75" customHeight="1">
      <c r="J384" s="4"/>
      <c r="N384" s="6"/>
    </row>
    <row r="385" ht="15.75" customHeight="1">
      <c r="J385" s="4"/>
      <c r="N385" s="6"/>
    </row>
    <row r="386" ht="15.75" customHeight="1">
      <c r="J386" s="4"/>
      <c r="N386" s="6"/>
    </row>
    <row r="387" ht="15.75" customHeight="1">
      <c r="J387" s="4"/>
      <c r="N387" s="6"/>
    </row>
    <row r="388" ht="15.75" customHeight="1">
      <c r="J388" s="4"/>
      <c r="N388" s="6"/>
    </row>
    <row r="389" ht="15.75" customHeight="1">
      <c r="J389" s="4"/>
      <c r="N389" s="6"/>
    </row>
    <row r="390" ht="15.75" customHeight="1">
      <c r="J390" s="4"/>
      <c r="N390" s="6"/>
    </row>
    <row r="391" ht="15.75" customHeight="1">
      <c r="J391" s="4"/>
      <c r="N391" s="6"/>
    </row>
    <row r="392" ht="15.75" customHeight="1">
      <c r="J392" s="4"/>
      <c r="N392" s="6"/>
    </row>
    <row r="393" ht="15.75" customHeight="1">
      <c r="J393" s="4"/>
      <c r="N393" s="6"/>
    </row>
    <row r="394" ht="15.75" customHeight="1">
      <c r="J394" s="4"/>
      <c r="N394" s="6"/>
    </row>
    <row r="395" ht="15.75" customHeight="1">
      <c r="J395" s="4"/>
      <c r="N395" s="6"/>
    </row>
    <row r="396" ht="15.75" customHeight="1">
      <c r="J396" s="4"/>
      <c r="N396" s="6"/>
    </row>
    <row r="397" ht="15.75" customHeight="1">
      <c r="J397" s="4"/>
      <c r="N397" s="6"/>
    </row>
    <row r="398" ht="15.75" customHeight="1">
      <c r="J398" s="4"/>
      <c r="N398" s="6"/>
    </row>
    <row r="399" ht="15.75" customHeight="1">
      <c r="J399" s="4"/>
      <c r="N399" s="6"/>
    </row>
    <row r="400" ht="15.75" customHeight="1">
      <c r="J400" s="4"/>
      <c r="N400" s="6"/>
    </row>
    <row r="401" ht="15.75" customHeight="1">
      <c r="J401" s="4"/>
      <c r="N401" s="6"/>
    </row>
    <row r="402" ht="15.75" customHeight="1">
      <c r="J402" s="4"/>
      <c r="N402" s="6"/>
    </row>
    <row r="403" ht="15.75" customHeight="1">
      <c r="J403" s="4"/>
      <c r="N403" s="6"/>
    </row>
    <row r="404" ht="15.75" customHeight="1">
      <c r="J404" s="4"/>
      <c r="N404" s="6"/>
    </row>
    <row r="405" ht="15.75" customHeight="1">
      <c r="J405" s="4"/>
      <c r="N405" s="6"/>
    </row>
    <row r="406" ht="15.75" customHeight="1">
      <c r="J406" s="4"/>
      <c r="N406" s="6"/>
    </row>
    <row r="407" ht="15.75" customHeight="1">
      <c r="J407" s="4"/>
      <c r="N407" s="6"/>
    </row>
    <row r="408" ht="15.75" customHeight="1">
      <c r="J408" s="4"/>
      <c r="N408" s="6"/>
    </row>
    <row r="409" ht="15.75" customHeight="1">
      <c r="J409" s="4"/>
      <c r="N409" s="6"/>
    </row>
    <row r="410" ht="15.75" customHeight="1">
      <c r="J410" s="4"/>
      <c r="N410" s="6"/>
    </row>
    <row r="411" ht="15.75" customHeight="1">
      <c r="J411" s="4"/>
      <c r="N411" s="6"/>
    </row>
    <row r="412" ht="15.75" customHeight="1">
      <c r="J412" s="4"/>
      <c r="N412" s="6"/>
    </row>
    <row r="413" ht="15.75" customHeight="1">
      <c r="J413" s="4"/>
      <c r="N413" s="6"/>
    </row>
    <row r="414" ht="15.75" customHeight="1">
      <c r="J414" s="4"/>
      <c r="N414" s="6"/>
    </row>
    <row r="415" ht="15.75" customHeight="1">
      <c r="J415" s="4"/>
      <c r="N415" s="6"/>
    </row>
    <row r="416" ht="15.75" customHeight="1">
      <c r="J416" s="4"/>
      <c r="N416" s="6"/>
    </row>
    <row r="417" ht="15.75" customHeight="1">
      <c r="J417" s="4"/>
      <c r="N417" s="6"/>
    </row>
    <row r="418" ht="15.75" customHeight="1">
      <c r="J418" s="4"/>
      <c r="N418" s="6"/>
    </row>
    <row r="419" ht="15.75" customHeight="1">
      <c r="J419" s="4"/>
      <c r="N419" s="6"/>
    </row>
    <row r="420" ht="15.75" customHeight="1">
      <c r="J420" s="4"/>
      <c r="N420" s="6"/>
    </row>
    <row r="421" ht="15.75" customHeight="1">
      <c r="J421" s="4"/>
      <c r="N421" s="6"/>
    </row>
    <row r="422" ht="15.75" customHeight="1">
      <c r="J422" s="4"/>
      <c r="N422" s="6"/>
    </row>
    <row r="423" ht="15.75" customHeight="1">
      <c r="J423" s="4"/>
      <c r="N423" s="6"/>
    </row>
    <row r="424" ht="15.75" customHeight="1">
      <c r="J424" s="4"/>
      <c r="N424" s="6"/>
    </row>
    <row r="425" ht="15.75" customHeight="1">
      <c r="J425" s="4"/>
      <c r="N425" s="6"/>
    </row>
    <row r="426" ht="15.75" customHeight="1">
      <c r="J426" s="4"/>
      <c r="N426" s="6"/>
    </row>
    <row r="427" ht="15.75" customHeight="1">
      <c r="J427" s="4"/>
      <c r="N427" s="6"/>
    </row>
    <row r="428" ht="15.75" customHeight="1">
      <c r="J428" s="4"/>
      <c r="N428" s="6"/>
    </row>
    <row r="429" ht="15.75" customHeight="1">
      <c r="J429" s="4"/>
      <c r="N429" s="6"/>
    </row>
    <row r="430" ht="15.75" customHeight="1">
      <c r="J430" s="4"/>
      <c r="N430" s="6"/>
    </row>
    <row r="431" ht="15.75" customHeight="1">
      <c r="J431" s="4"/>
      <c r="N431" s="6"/>
    </row>
    <row r="432" ht="15.75" customHeight="1">
      <c r="J432" s="4"/>
      <c r="N432" s="6"/>
    </row>
    <row r="433" ht="15.75" customHeight="1">
      <c r="J433" s="4"/>
      <c r="N433" s="6"/>
    </row>
    <row r="434" ht="15.75" customHeight="1">
      <c r="J434" s="4"/>
      <c r="N434" s="6"/>
    </row>
    <row r="435" ht="15.75" customHeight="1">
      <c r="J435" s="4"/>
      <c r="N435" s="6"/>
    </row>
    <row r="436" ht="15.75" customHeight="1">
      <c r="J436" s="4"/>
      <c r="N436" s="6"/>
    </row>
    <row r="437" ht="15.75" customHeight="1">
      <c r="J437" s="4"/>
      <c r="N437" s="6"/>
    </row>
    <row r="438" ht="15.75" customHeight="1">
      <c r="J438" s="4"/>
      <c r="N438" s="6"/>
    </row>
    <row r="439" ht="15.75" customHeight="1">
      <c r="J439" s="4"/>
      <c r="N439" s="6"/>
    </row>
    <row r="440" ht="15.75" customHeight="1">
      <c r="J440" s="4"/>
      <c r="N440" s="6"/>
    </row>
    <row r="441" ht="15.75" customHeight="1">
      <c r="J441" s="4"/>
      <c r="N441" s="6"/>
    </row>
    <row r="442" ht="15.75" customHeight="1">
      <c r="J442" s="4"/>
      <c r="N442" s="6"/>
    </row>
    <row r="443" ht="15.75" customHeight="1">
      <c r="J443" s="4"/>
      <c r="N443" s="6"/>
    </row>
    <row r="444" ht="15.75" customHeight="1">
      <c r="J444" s="4"/>
      <c r="N444" s="6"/>
    </row>
    <row r="445" ht="15.75" customHeight="1">
      <c r="J445" s="4"/>
      <c r="N445" s="6"/>
    </row>
    <row r="446" ht="15.75" customHeight="1">
      <c r="J446" s="4"/>
      <c r="N446" s="6"/>
    </row>
    <row r="447" ht="15.75" customHeight="1">
      <c r="J447" s="4"/>
      <c r="N447" s="6"/>
    </row>
    <row r="448" ht="15.75" customHeight="1">
      <c r="J448" s="4"/>
      <c r="N448" s="6"/>
    </row>
    <row r="449" ht="15.75" customHeight="1">
      <c r="J449" s="4"/>
      <c r="N449" s="6"/>
    </row>
    <row r="450" ht="15.75" customHeight="1">
      <c r="J450" s="4"/>
      <c r="N450" s="6"/>
    </row>
    <row r="451" ht="15.75" customHeight="1">
      <c r="J451" s="4"/>
      <c r="N451" s="6"/>
    </row>
    <row r="452" ht="15.75" customHeight="1">
      <c r="J452" s="4"/>
      <c r="N452" s="6"/>
    </row>
    <row r="453" ht="15.75" customHeight="1">
      <c r="J453" s="4"/>
      <c r="N453" s="6"/>
    </row>
    <row r="454" ht="15.75" customHeight="1">
      <c r="J454" s="4"/>
      <c r="N454" s="6"/>
    </row>
    <row r="455" ht="15.75" customHeight="1">
      <c r="J455" s="4"/>
      <c r="N455" s="6"/>
    </row>
    <row r="456" ht="15.75" customHeight="1">
      <c r="J456" s="4"/>
      <c r="N456" s="6"/>
    </row>
    <row r="457" ht="15.75" customHeight="1">
      <c r="J457" s="4"/>
      <c r="N457" s="6"/>
    </row>
    <row r="458" ht="15.75" customHeight="1">
      <c r="J458" s="4"/>
      <c r="N458" s="6"/>
    </row>
    <row r="459" ht="15.75" customHeight="1">
      <c r="J459" s="4"/>
      <c r="N459" s="6"/>
    </row>
    <row r="460" ht="15.75" customHeight="1">
      <c r="J460" s="4"/>
      <c r="N460" s="6"/>
    </row>
    <row r="461" ht="15.75" customHeight="1">
      <c r="J461" s="4"/>
      <c r="N461" s="6"/>
    </row>
    <row r="462" ht="15.75" customHeight="1">
      <c r="J462" s="4"/>
      <c r="N462" s="6"/>
    </row>
    <row r="463" ht="15.75" customHeight="1">
      <c r="J463" s="4"/>
      <c r="N463" s="6"/>
    </row>
    <row r="464" ht="15.75" customHeight="1">
      <c r="J464" s="4"/>
      <c r="N464" s="6"/>
    </row>
    <row r="465" ht="15.75" customHeight="1">
      <c r="J465" s="4"/>
      <c r="N465" s="6"/>
    </row>
    <row r="466" ht="15.75" customHeight="1">
      <c r="J466" s="4"/>
      <c r="N466" s="6"/>
    </row>
    <row r="467" ht="15.75" customHeight="1">
      <c r="J467" s="4"/>
      <c r="N467" s="6"/>
    </row>
    <row r="468" ht="15.75" customHeight="1">
      <c r="J468" s="4"/>
      <c r="N468" s="6"/>
    </row>
    <row r="469" ht="15.75" customHeight="1">
      <c r="J469" s="4"/>
      <c r="N469" s="6"/>
    </row>
    <row r="470" ht="15.75" customHeight="1">
      <c r="J470" s="4"/>
      <c r="N470" s="6"/>
    </row>
    <row r="471" ht="15.75" customHeight="1">
      <c r="J471" s="4"/>
      <c r="N471" s="6"/>
    </row>
    <row r="472" ht="15.75" customHeight="1">
      <c r="J472" s="4"/>
      <c r="N472" s="6"/>
    </row>
    <row r="473" ht="15.75" customHeight="1">
      <c r="J473" s="4"/>
      <c r="N473" s="6"/>
    </row>
    <row r="474" ht="15.75" customHeight="1">
      <c r="J474" s="4"/>
      <c r="N474" s="6"/>
    </row>
    <row r="475" ht="15.75" customHeight="1">
      <c r="J475" s="4"/>
      <c r="N475" s="6"/>
    </row>
    <row r="476" ht="15.75" customHeight="1">
      <c r="J476" s="4"/>
      <c r="N476" s="6"/>
    </row>
    <row r="477" ht="15.75" customHeight="1">
      <c r="J477" s="4"/>
      <c r="N477" s="6"/>
    </row>
    <row r="478" ht="15.75" customHeight="1">
      <c r="J478" s="4"/>
      <c r="N478" s="6"/>
    </row>
    <row r="479" ht="15.75" customHeight="1">
      <c r="J479" s="4"/>
      <c r="N479" s="6"/>
    </row>
    <row r="480" ht="15.75" customHeight="1">
      <c r="J480" s="4"/>
      <c r="N480" s="6"/>
    </row>
    <row r="481" ht="15.75" customHeight="1">
      <c r="J481" s="4"/>
      <c r="N481" s="6"/>
    </row>
    <row r="482" ht="15.75" customHeight="1">
      <c r="J482" s="4"/>
      <c r="N482" s="6"/>
    </row>
    <row r="483" ht="15.75" customHeight="1">
      <c r="J483" s="4"/>
      <c r="N483" s="6"/>
    </row>
    <row r="484" ht="15.75" customHeight="1">
      <c r="J484" s="4"/>
      <c r="N484" s="6"/>
    </row>
    <row r="485" ht="15.75" customHeight="1">
      <c r="J485" s="4"/>
      <c r="N485" s="6"/>
    </row>
    <row r="486" ht="15.75" customHeight="1">
      <c r="J486" s="4"/>
      <c r="N486" s="6"/>
    </row>
    <row r="487" ht="15.75" customHeight="1">
      <c r="J487" s="4"/>
      <c r="N487" s="6"/>
    </row>
    <row r="488" ht="15.75" customHeight="1">
      <c r="J488" s="4"/>
      <c r="N488" s="6"/>
    </row>
    <row r="489" ht="15.75" customHeight="1">
      <c r="J489" s="4"/>
      <c r="N489" s="6"/>
    </row>
    <row r="490" ht="15.75" customHeight="1">
      <c r="J490" s="4"/>
      <c r="N490" s="6"/>
    </row>
    <row r="491" ht="15.75" customHeight="1">
      <c r="J491" s="4"/>
      <c r="N491" s="6"/>
    </row>
    <row r="492" ht="15.75" customHeight="1">
      <c r="J492" s="4"/>
      <c r="N492" s="6"/>
    </row>
    <row r="493" ht="15.75" customHeight="1">
      <c r="J493" s="4"/>
      <c r="N493" s="6"/>
    </row>
    <row r="494" ht="15.75" customHeight="1">
      <c r="J494" s="4"/>
      <c r="N494" s="6"/>
    </row>
    <row r="495" ht="15.75" customHeight="1">
      <c r="J495" s="4"/>
      <c r="N495" s="6"/>
    </row>
    <row r="496" ht="15.75" customHeight="1">
      <c r="J496" s="4"/>
      <c r="N496" s="6"/>
    </row>
    <row r="497" ht="15.75" customHeight="1">
      <c r="J497" s="4"/>
      <c r="N497" s="6"/>
    </row>
    <row r="498" ht="15.75" customHeight="1">
      <c r="J498" s="4"/>
      <c r="N498" s="6"/>
    </row>
    <row r="499" ht="15.75" customHeight="1">
      <c r="J499" s="4"/>
      <c r="N499" s="6"/>
    </row>
    <row r="500" ht="15.75" customHeight="1">
      <c r="J500" s="4"/>
      <c r="N500" s="6"/>
    </row>
    <row r="501" ht="15.75" customHeight="1">
      <c r="J501" s="4"/>
      <c r="N501" s="6"/>
    </row>
    <row r="502" ht="15.75" customHeight="1">
      <c r="J502" s="4"/>
      <c r="N502" s="6"/>
    </row>
    <row r="503" ht="15.75" customHeight="1">
      <c r="J503" s="4"/>
      <c r="N503" s="6"/>
    </row>
    <row r="504" ht="15.75" customHeight="1">
      <c r="J504" s="4"/>
      <c r="N504" s="6"/>
    </row>
    <row r="505" ht="15.75" customHeight="1">
      <c r="J505" s="4"/>
      <c r="N505" s="6"/>
    </row>
    <row r="506" ht="15.75" customHeight="1">
      <c r="J506" s="4"/>
      <c r="N506" s="6"/>
    </row>
    <row r="507" ht="15.75" customHeight="1">
      <c r="J507" s="4"/>
      <c r="N507" s="6"/>
    </row>
    <row r="508" ht="15.75" customHeight="1">
      <c r="J508" s="4"/>
      <c r="N508" s="6"/>
    </row>
    <row r="509" ht="15.75" customHeight="1">
      <c r="J509" s="4"/>
      <c r="N509" s="6"/>
    </row>
    <row r="510" ht="15.75" customHeight="1">
      <c r="J510" s="4"/>
      <c r="N510" s="6"/>
    </row>
    <row r="511" ht="15.75" customHeight="1">
      <c r="J511" s="4"/>
      <c r="N511" s="6"/>
    </row>
    <row r="512" ht="15.75" customHeight="1">
      <c r="J512" s="4"/>
      <c r="N512" s="6"/>
    </row>
    <row r="513" ht="15.75" customHeight="1">
      <c r="J513" s="4"/>
      <c r="N513" s="6"/>
    </row>
    <row r="514" ht="15.75" customHeight="1">
      <c r="J514" s="4"/>
      <c r="N514" s="6"/>
    </row>
    <row r="515" ht="15.75" customHeight="1">
      <c r="J515" s="4"/>
      <c r="N515" s="6"/>
    </row>
    <row r="516" ht="15.75" customHeight="1">
      <c r="J516" s="4"/>
      <c r="N516" s="6"/>
    </row>
    <row r="517" ht="15.75" customHeight="1">
      <c r="J517" s="4"/>
      <c r="N517" s="6"/>
    </row>
    <row r="518" ht="15.75" customHeight="1">
      <c r="J518" s="4"/>
      <c r="N518" s="6"/>
    </row>
    <row r="519" ht="15.75" customHeight="1">
      <c r="J519" s="4"/>
      <c r="N519" s="6"/>
    </row>
    <row r="520" ht="15.75" customHeight="1">
      <c r="J520" s="4"/>
      <c r="N520" s="6"/>
    </row>
    <row r="521" ht="15.75" customHeight="1">
      <c r="J521" s="4"/>
      <c r="N521" s="6"/>
    </row>
    <row r="522" ht="15.75" customHeight="1">
      <c r="J522" s="4"/>
      <c r="N522" s="6"/>
    </row>
    <row r="523" ht="15.75" customHeight="1">
      <c r="J523" s="4"/>
      <c r="N523" s="6"/>
    </row>
    <row r="524" ht="15.75" customHeight="1">
      <c r="J524" s="4"/>
      <c r="N524" s="6"/>
    </row>
    <row r="525" ht="15.75" customHeight="1">
      <c r="J525" s="4"/>
      <c r="N525" s="6"/>
    </row>
    <row r="526" ht="15.75" customHeight="1">
      <c r="J526" s="4"/>
      <c r="N526" s="6"/>
    </row>
    <row r="527" ht="15.75" customHeight="1">
      <c r="J527" s="4"/>
      <c r="N527" s="6"/>
    </row>
    <row r="528" ht="15.75" customHeight="1">
      <c r="J528" s="4"/>
      <c r="N528" s="6"/>
    </row>
    <row r="529" ht="15.75" customHeight="1">
      <c r="J529" s="4"/>
      <c r="N529" s="6"/>
    </row>
    <row r="530" ht="15.75" customHeight="1">
      <c r="J530" s="4"/>
      <c r="N530" s="6"/>
    </row>
    <row r="531" ht="15.75" customHeight="1">
      <c r="J531" s="4"/>
      <c r="N531" s="6"/>
    </row>
    <row r="532" ht="15.75" customHeight="1">
      <c r="J532" s="4"/>
      <c r="N532" s="6"/>
    </row>
    <row r="533" ht="15.75" customHeight="1">
      <c r="J533" s="4"/>
      <c r="N533" s="6"/>
    </row>
    <row r="534" ht="15.75" customHeight="1">
      <c r="J534" s="4"/>
      <c r="N534" s="6"/>
    </row>
    <row r="535" ht="15.75" customHeight="1">
      <c r="J535" s="4"/>
      <c r="N535" s="6"/>
    </row>
    <row r="536" ht="15.75" customHeight="1">
      <c r="J536" s="4"/>
      <c r="N536" s="6"/>
    </row>
    <row r="537" ht="15.75" customHeight="1">
      <c r="J537" s="4"/>
      <c r="N537" s="6"/>
    </row>
    <row r="538" ht="15.75" customHeight="1">
      <c r="J538" s="4"/>
      <c r="N538" s="6"/>
    </row>
    <row r="539" ht="15.75" customHeight="1">
      <c r="J539" s="4"/>
      <c r="N539" s="6"/>
    </row>
    <row r="540" ht="15.75" customHeight="1">
      <c r="J540" s="4"/>
      <c r="N540" s="6"/>
    </row>
    <row r="541" ht="15.75" customHeight="1">
      <c r="J541" s="4"/>
      <c r="N541" s="6"/>
    </row>
    <row r="542" ht="15.75" customHeight="1">
      <c r="J542" s="4"/>
      <c r="N542" s="6"/>
    </row>
    <row r="543" ht="15.75" customHeight="1">
      <c r="J543" s="4"/>
      <c r="N543" s="6"/>
    </row>
    <row r="544" ht="15.75" customHeight="1">
      <c r="J544" s="4"/>
      <c r="N544" s="6"/>
    </row>
    <row r="545" ht="15.75" customHeight="1">
      <c r="J545" s="4"/>
      <c r="N545" s="6"/>
    </row>
    <row r="546" ht="15.75" customHeight="1">
      <c r="J546" s="4"/>
      <c r="N546" s="6"/>
    </row>
    <row r="547" ht="15.75" customHeight="1">
      <c r="J547" s="4"/>
      <c r="N547" s="6"/>
    </row>
    <row r="548" ht="15.75" customHeight="1">
      <c r="J548" s="4"/>
      <c r="N548" s="6"/>
    </row>
    <row r="549" ht="15.75" customHeight="1">
      <c r="J549" s="4"/>
      <c r="N549" s="6"/>
    </row>
    <row r="550" ht="15.75" customHeight="1">
      <c r="J550" s="4"/>
      <c r="N550" s="6"/>
    </row>
    <row r="551" ht="15.75" customHeight="1">
      <c r="J551" s="4"/>
      <c r="N551" s="6"/>
    </row>
    <row r="552" ht="15.75" customHeight="1">
      <c r="J552" s="4"/>
      <c r="N552" s="6"/>
    </row>
    <row r="553" ht="15.75" customHeight="1">
      <c r="J553" s="4"/>
      <c r="N553" s="6"/>
    </row>
    <row r="554" ht="15.75" customHeight="1">
      <c r="J554" s="4"/>
      <c r="N554" s="6"/>
    </row>
    <row r="555" ht="15.75" customHeight="1">
      <c r="J555" s="4"/>
      <c r="N555" s="6"/>
    </row>
    <row r="556" ht="15.75" customHeight="1">
      <c r="J556" s="4"/>
      <c r="N556" s="6"/>
    </row>
    <row r="557" ht="15.75" customHeight="1">
      <c r="J557" s="4"/>
      <c r="N557" s="6"/>
    </row>
    <row r="558" ht="15.75" customHeight="1">
      <c r="J558" s="4"/>
      <c r="N558" s="6"/>
    </row>
    <row r="559" ht="15.75" customHeight="1">
      <c r="J559" s="4"/>
      <c r="N559" s="6"/>
    </row>
    <row r="560" ht="15.75" customHeight="1">
      <c r="J560" s="4"/>
      <c r="N560" s="6"/>
    </row>
    <row r="561" ht="15.75" customHeight="1">
      <c r="J561" s="4"/>
      <c r="N561" s="6"/>
    </row>
    <row r="562" ht="15.75" customHeight="1">
      <c r="J562" s="4"/>
      <c r="N562" s="6"/>
    </row>
    <row r="563" ht="15.75" customHeight="1">
      <c r="J563" s="4"/>
      <c r="N563" s="6"/>
    </row>
    <row r="564" ht="15.75" customHeight="1">
      <c r="J564" s="4"/>
      <c r="N564" s="6"/>
    </row>
    <row r="565" ht="15.75" customHeight="1">
      <c r="J565" s="4"/>
      <c r="N565" s="6"/>
    </row>
    <row r="566" ht="15.75" customHeight="1">
      <c r="J566" s="4"/>
      <c r="N566" s="6"/>
    </row>
    <row r="567" ht="15.75" customHeight="1">
      <c r="J567" s="4"/>
      <c r="N567" s="6"/>
    </row>
    <row r="568" ht="15.75" customHeight="1">
      <c r="J568" s="4"/>
      <c r="N568" s="6"/>
    </row>
    <row r="569" ht="15.75" customHeight="1">
      <c r="J569" s="4"/>
      <c r="N569" s="6"/>
    </row>
    <row r="570" ht="15.75" customHeight="1">
      <c r="J570" s="4"/>
      <c r="N570" s="6"/>
    </row>
    <row r="571" ht="15.75" customHeight="1">
      <c r="J571" s="4"/>
      <c r="N571" s="6"/>
    </row>
    <row r="572" ht="15.75" customHeight="1">
      <c r="J572" s="4"/>
      <c r="N572" s="6"/>
    </row>
    <row r="573" ht="15.75" customHeight="1">
      <c r="J573" s="4"/>
      <c r="N573" s="6"/>
    </row>
    <row r="574" ht="15.75" customHeight="1">
      <c r="J574" s="4"/>
      <c r="N574" s="6"/>
    </row>
    <row r="575" ht="15.75" customHeight="1">
      <c r="J575" s="4"/>
      <c r="N575" s="6"/>
    </row>
    <row r="576" ht="15.75" customHeight="1">
      <c r="J576" s="4"/>
      <c r="N576" s="6"/>
    </row>
    <row r="577" ht="15.75" customHeight="1">
      <c r="J577" s="4"/>
      <c r="N577" s="6"/>
    </row>
    <row r="578" ht="15.75" customHeight="1">
      <c r="J578" s="4"/>
      <c r="N578" s="6"/>
    </row>
    <row r="579" ht="15.75" customHeight="1">
      <c r="J579" s="4"/>
      <c r="N579" s="6"/>
    </row>
    <row r="580" ht="15.75" customHeight="1">
      <c r="J580" s="4"/>
      <c r="N580" s="6"/>
    </row>
    <row r="581" ht="15.75" customHeight="1">
      <c r="J581" s="4"/>
      <c r="N581" s="6"/>
    </row>
    <row r="582" ht="15.75" customHeight="1">
      <c r="J582" s="4"/>
      <c r="N582" s="6"/>
    </row>
    <row r="583" ht="15.75" customHeight="1">
      <c r="J583" s="4"/>
      <c r="N583" s="6"/>
    </row>
    <row r="584" ht="15.75" customHeight="1">
      <c r="J584" s="4"/>
      <c r="N584" s="6"/>
    </row>
    <row r="585" ht="15.75" customHeight="1">
      <c r="J585" s="4"/>
      <c r="N585" s="6"/>
    </row>
    <row r="586" ht="15.75" customHeight="1">
      <c r="J586" s="4"/>
      <c r="N586" s="6"/>
    </row>
    <row r="587" ht="15.75" customHeight="1">
      <c r="J587" s="4"/>
      <c r="N587" s="6"/>
    </row>
    <row r="588" ht="15.75" customHeight="1">
      <c r="J588" s="4"/>
      <c r="N588" s="6"/>
    </row>
    <row r="589" ht="15.75" customHeight="1">
      <c r="J589" s="4"/>
      <c r="N589" s="6"/>
    </row>
    <row r="590" ht="15.75" customHeight="1">
      <c r="J590" s="4"/>
      <c r="N590" s="6"/>
    </row>
    <row r="591" ht="15.75" customHeight="1">
      <c r="J591" s="4"/>
      <c r="N591" s="6"/>
    </row>
    <row r="592" ht="15.75" customHeight="1">
      <c r="J592" s="4"/>
      <c r="N592" s="6"/>
    </row>
    <row r="593" ht="15.75" customHeight="1">
      <c r="J593" s="4"/>
      <c r="N593" s="6"/>
    </row>
    <row r="594" ht="15.75" customHeight="1">
      <c r="J594" s="4"/>
      <c r="N594" s="6"/>
    </row>
    <row r="595" ht="15.75" customHeight="1">
      <c r="J595" s="4"/>
      <c r="N595" s="6"/>
    </row>
    <row r="596" ht="15.75" customHeight="1">
      <c r="J596" s="4"/>
      <c r="N596" s="6"/>
    </row>
    <row r="597" ht="15.75" customHeight="1">
      <c r="J597" s="4"/>
      <c r="N597" s="6"/>
    </row>
    <row r="598" ht="15.75" customHeight="1">
      <c r="J598" s="4"/>
      <c r="N598" s="6"/>
    </row>
    <row r="599" ht="15.75" customHeight="1">
      <c r="J599" s="4"/>
      <c r="N599" s="6"/>
    </row>
    <row r="600" ht="15.75" customHeight="1">
      <c r="J600" s="4"/>
      <c r="N600" s="6"/>
    </row>
    <row r="601" ht="15.75" customHeight="1">
      <c r="J601" s="4"/>
      <c r="N601" s="6"/>
    </row>
    <row r="602" ht="15.75" customHeight="1">
      <c r="J602" s="4"/>
      <c r="N602" s="6"/>
    </row>
    <row r="603" ht="15.75" customHeight="1">
      <c r="J603" s="4"/>
      <c r="N603" s="6"/>
    </row>
    <row r="604" ht="15.75" customHeight="1">
      <c r="J604" s="4"/>
      <c r="N604" s="6"/>
    </row>
    <row r="605" ht="15.75" customHeight="1">
      <c r="J605" s="4"/>
      <c r="N605" s="6"/>
    </row>
    <row r="606" ht="15.75" customHeight="1">
      <c r="J606" s="4"/>
      <c r="N606" s="6"/>
    </row>
    <row r="607" ht="15.75" customHeight="1">
      <c r="J607" s="4"/>
      <c r="N607" s="6"/>
    </row>
    <row r="608" ht="15.75" customHeight="1">
      <c r="J608" s="4"/>
      <c r="N608" s="6"/>
    </row>
    <row r="609" ht="15.75" customHeight="1">
      <c r="J609" s="4"/>
      <c r="N609" s="6"/>
    </row>
    <row r="610" ht="15.75" customHeight="1">
      <c r="J610" s="4"/>
      <c r="N610" s="6"/>
    </row>
    <row r="611" ht="15.75" customHeight="1">
      <c r="J611" s="4"/>
      <c r="N611" s="6"/>
    </row>
    <row r="612" ht="15.75" customHeight="1">
      <c r="J612" s="4"/>
      <c r="N612" s="6"/>
    </row>
    <row r="613" ht="15.75" customHeight="1">
      <c r="J613" s="4"/>
      <c r="N613" s="6"/>
    </row>
    <row r="614" ht="15.75" customHeight="1">
      <c r="J614" s="4"/>
      <c r="N614" s="6"/>
    </row>
    <row r="615" ht="15.75" customHeight="1">
      <c r="J615" s="4"/>
      <c r="N615" s="6"/>
    </row>
    <row r="616" ht="15.75" customHeight="1">
      <c r="J616" s="4"/>
      <c r="N616" s="6"/>
    </row>
    <row r="617" ht="15.75" customHeight="1">
      <c r="J617" s="4"/>
      <c r="N617" s="6"/>
    </row>
    <row r="618" ht="15.75" customHeight="1">
      <c r="J618" s="4"/>
      <c r="N618" s="6"/>
    </row>
    <row r="619" ht="15.75" customHeight="1">
      <c r="J619" s="4"/>
      <c r="N619" s="6"/>
    </row>
    <row r="620" ht="15.75" customHeight="1">
      <c r="J620" s="4"/>
      <c r="N620" s="6"/>
    </row>
    <row r="621" ht="15.75" customHeight="1">
      <c r="J621" s="4"/>
      <c r="N621" s="6"/>
    </row>
    <row r="622" ht="15.75" customHeight="1">
      <c r="J622" s="4"/>
      <c r="N622" s="6"/>
    </row>
    <row r="623" ht="15.75" customHeight="1">
      <c r="J623" s="4"/>
      <c r="N623" s="6"/>
    </row>
    <row r="624" ht="15.75" customHeight="1">
      <c r="J624" s="4"/>
      <c r="N624" s="6"/>
    </row>
    <row r="625" ht="15.75" customHeight="1">
      <c r="J625" s="4"/>
      <c r="N625" s="6"/>
    </row>
    <row r="626" ht="15.75" customHeight="1">
      <c r="J626" s="4"/>
      <c r="N626" s="6"/>
    </row>
    <row r="627" ht="15.75" customHeight="1">
      <c r="J627" s="4"/>
      <c r="N627" s="6"/>
    </row>
    <row r="628" ht="15.75" customHeight="1">
      <c r="J628" s="4"/>
      <c r="N628" s="6"/>
    </row>
    <row r="629" ht="15.75" customHeight="1">
      <c r="J629" s="4"/>
      <c r="N629" s="6"/>
    </row>
    <row r="630" ht="15.75" customHeight="1">
      <c r="J630" s="4"/>
      <c r="N630" s="6"/>
    </row>
    <row r="631" ht="15.75" customHeight="1">
      <c r="J631" s="4"/>
      <c r="N631" s="6"/>
    </row>
    <row r="632" ht="15.75" customHeight="1">
      <c r="J632" s="4"/>
      <c r="N632" s="6"/>
    </row>
    <row r="633" ht="15.75" customHeight="1">
      <c r="J633" s="4"/>
      <c r="N633" s="6"/>
    </row>
    <row r="634" ht="15.75" customHeight="1">
      <c r="J634" s="4"/>
      <c r="N634" s="6"/>
    </row>
    <row r="635" ht="15.75" customHeight="1">
      <c r="J635" s="4"/>
      <c r="N635" s="6"/>
    </row>
    <row r="636" ht="15.75" customHeight="1">
      <c r="J636" s="4"/>
      <c r="N636" s="6"/>
    </row>
    <row r="637" ht="15.75" customHeight="1">
      <c r="J637" s="4"/>
      <c r="N637" s="6"/>
    </row>
    <row r="638" ht="15.75" customHeight="1">
      <c r="J638" s="4"/>
      <c r="N638" s="6"/>
    </row>
    <row r="639" ht="15.75" customHeight="1">
      <c r="J639" s="4"/>
      <c r="N639" s="6"/>
    </row>
    <row r="640" ht="15.75" customHeight="1">
      <c r="J640" s="4"/>
      <c r="N640" s="6"/>
    </row>
    <row r="641" ht="15.75" customHeight="1">
      <c r="J641" s="4"/>
      <c r="N641" s="6"/>
    </row>
    <row r="642" ht="15.75" customHeight="1">
      <c r="J642" s="4"/>
      <c r="N642" s="6"/>
    </row>
    <row r="643" ht="15.75" customHeight="1">
      <c r="J643" s="4"/>
      <c r="N643" s="6"/>
    </row>
    <row r="644" ht="15.75" customHeight="1">
      <c r="J644" s="4"/>
      <c r="N644" s="6"/>
    </row>
    <row r="645" ht="15.75" customHeight="1">
      <c r="J645" s="4"/>
      <c r="N645" s="6"/>
    </row>
    <row r="646" ht="15.75" customHeight="1">
      <c r="J646" s="4"/>
      <c r="N646" s="6"/>
    </row>
    <row r="647" ht="15.75" customHeight="1">
      <c r="J647" s="4"/>
      <c r="N647" s="6"/>
    </row>
    <row r="648" ht="15.75" customHeight="1">
      <c r="J648" s="4"/>
      <c r="N648" s="6"/>
    </row>
    <row r="649" ht="15.75" customHeight="1">
      <c r="J649" s="4"/>
      <c r="N649" s="6"/>
    </row>
    <row r="650" ht="15.75" customHeight="1">
      <c r="J650" s="4"/>
      <c r="N650" s="6"/>
    </row>
    <row r="651" ht="15.75" customHeight="1">
      <c r="J651" s="4"/>
      <c r="N651" s="6"/>
    </row>
    <row r="652" ht="15.75" customHeight="1">
      <c r="J652" s="4"/>
      <c r="N652" s="6"/>
    </row>
    <row r="653" ht="15.75" customHeight="1">
      <c r="J653" s="4"/>
      <c r="N653" s="6"/>
    </row>
    <row r="654" ht="15.75" customHeight="1">
      <c r="J654" s="4"/>
      <c r="N654" s="6"/>
    </row>
    <row r="655" ht="15.75" customHeight="1">
      <c r="J655" s="4"/>
      <c r="N655" s="6"/>
    </row>
    <row r="656" ht="15.75" customHeight="1">
      <c r="J656" s="4"/>
      <c r="N656" s="6"/>
    </row>
    <row r="657" ht="15.75" customHeight="1">
      <c r="J657" s="4"/>
      <c r="N657" s="6"/>
    </row>
    <row r="658" ht="15.75" customHeight="1">
      <c r="J658" s="4"/>
      <c r="N658" s="6"/>
    </row>
    <row r="659" ht="15.75" customHeight="1">
      <c r="J659" s="4"/>
      <c r="N659" s="6"/>
    </row>
    <row r="660" ht="15.75" customHeight="1">
      <c r="J660" s="4"/>
      <c r="N660" s="6"/>
    </row>
    <row r="661" ht="15.75" customHeight="1">
      <c r="J661" s="4"/>
      <c r="N661" s="6"/>
    </row>
    <row r="662" ht="15.75" customHeight="1">
      <c r="J662" s="4"/>
      <c r="N662" s="6"/>
    </row>
    <row r="663" ht="15.75" customHeight="1">
      <c r="J663" s="4"/>
      <c r="N663" s="6"/>
    </row>
    <row r="664" ht="15.75" customHeight="1">
      <c r="J664" s="4"/>
      <c r="N664" s="6"/>
    </row>
    <row r="665" ht="15.75" customHeight="1">
      <c r="J665" s="4"/>
      <c r="N665" s="6"/>
    </row>
    <row r="666" ht="15.75" customHeight="1">
      <c r="J666" s="4"/>
      <c r="N666" s="6"/>
    </row>
    <row r="667" ht="15.75" customHeight="1">
      <c r="J667" s="4"/>
      <c r="N667" s="6"/>
    </row>
    <row r="668" ht="15.75" customHeight="1">
      <c r="J668" s="4"/>
      <c r="N668" s="6"/>
    </row>
    <row r="669" ht="15.75" customHeight="1">
      <c r="J669" s="4"/>
      <c r="N669" s="6"/>
    </row>
    <row r="670" ht="15.75" customHeight="1">
      <c r="J670" s="4"/>
      <c r="N670" s="6"/>
    </row>
    <row r="671" ht="15.75" customHeight="1">
      <c r="J671" s="4"/>
      <c r="N671" s="6"/>
    </row>
    <row r="672" ht="15.75" customHeight="1">
      <c r="J672" s="4"/>
      <c r="N672" s="6"/>
    </row>
    <row r="673" ht="15.75" customHeight="1">
      <c r="J673" s="4"/>
      <c r="N673" s="6"/>
    </row>
    <row r="674" ht="15.75" customHeight="1">
      <c r="J674" s="4"/>
      <c r="N674" s="6"/>
    </row>
    <row r="675" ht="15.75" customHeight="1">
      <c r="J675" s="4"/>
      <c r="N675" s="6"/>
    </row>
    <row r="676" ht="15.75" customHeight="1">
      <c r="J676" s="4"/>
      <c r="N676" s="6"/>
    </row>
    <row r="677" ht="15.75" customHeight="1">
      <c r="J677" s="4"/>
      <c r="N677" s="6"/>
    </row>
    <row r="678" ht="15.75" customHeight="1">
      <c r="J678" s="4"/>
      <c r="N678" s="6"/>
    </row>
    <row r="679" ht="15.75" customHeight="1">
      <c r="J679" s="4"/>
      <c r="N679" s="6"/>
    </row>
    <row r="680" ht="15.75" customHeight="1">
      <c r="J680" s="4"/>
      <c r="N680" s="6"/>
    </row>
    <row r="681" ht="15.75" customHeight="1">
      <c r="J681" s="4"/>
      <c r="N681" s="6"/>
    </row>
    <row r="682" ht="15.75" customHeight="1">
      <c r="J682" s="4"/>
      <c r="N682" s="6"/>
    </row>
    <row r="683" ht="15.75" customHeight="1">
      <c r="J683" s="4"/>
      <c r="N683" s="6"/>
    </row>
    <row r="684" ht="15.75" customHeight="1">
      <c r="J684" s="4"/>
      <c r="N684" s="6"/>
    </row>
    <row r="685" ht="15.75" customHeight="1">
      <c r="J685" s="4"/>
      <c r="N685" s="6"/>
    </row>
    <row r="686" ht="15.75" customHeight="1">
      <c r="J686" s="4"/>
      <c r="N686" s="6"/>
    </row>
    <row r="687" ht="15.75" customHeight="1">
      <c r="J687" s="4"/>
      <c r="N687" s="6"/>
    </row>
    <row r="688" ht="15.75" customHeight="1">
      <c r="J688" s="4"/>
      <c r="N688" s="6"/>
    </row>
    <row r="689" ht="15.75" customHeight="1">
      <c r="J689" s="4"/>
      <c r="N689" s="6"/>
    </row>
    <row r="690" ht="15.75" customHeight="1">
      <c r="J690" s="4"/>
      <c r="N690" s="6"/>
    </row>
    <row r="691" ht="15.75" customHeight="1">
      <c r="J691" s="4"/>
      <c r="N691" s="6"/>
    </row>
    <row r="692" ht="15.75" customHeight="1">
      <c r="J692" s="4"/>
      <c r="N692" s="6"/>
    </row>
    <row r="693" ht="15.75" customHeight="1">
      <c r="J693" s="4"/>
      <c r="N693" s="6"/>
    </row>
    <row r="694" ht="15.75" customHeight="1">
      <c r="J694" s="4"/>
      <c r="N694" s="6"/>
    </row>
    <row r="695" ht="15.75" customHeight="1">
      <c r="J695" s="4"/>
      <c r="N695" s="6"/>
    </row>
    <row r="696" ht="15.75" customHeight="1">
      <c r="J696" s="4"/>
      <c r="N696" s="6"/>
    </row>
    <row r="697" ht="15.75" customHeight="1">
      <c r="J697" s="4"/>
      <c r="N697" s="6"/>
    </row>
    <row r="698" ht="15.75" customHeight="1">
      <c r="J698" s="4"/>
      <c r="N698" s="6"/>
    </row>
    <row r="699" ht="15.75" customHeight="1">
      <c r="J699" s="4"/>
      <c r="N699" s="6"/>
    </row>
    <row r="700" ht="15.75" customHeight="1">
      <c r="J700" s="4"/>
      <c r="N700" s="6"/>
    </row>
    <row r="701" ht="15.75" customHeight="1">
      <c r="J701" s="4"/>
      <c r="N701" s="6"/>
    </row>
    <row r="702" ht="15.75" customHeight="1">
      <c r="J702" s="4"/>
      <c r="N702" s="6"/>
    </row>
    <row r="703" ht="15.75" customHeight="1">
      <c r="J703" s="4"/>
      <c r="N703" s="6"/>
    </row>
    <row r="704" ht="15.75" customHeight="1">
      <c r="J704" s="4"/>
      <c r="N704" s="6"/>
    </row>
    <row r="705" ht="15.75" customHeight="1">
      <c r="J705" s="4"/>
      <c r="N705" s="6"/>
    </row>
    <row r="706" ht="15.75" customHeight="1">
      <c r="J706" s="4"/>
      <c r="N706" s="6"/>
    </row>
    <row r="707" ht="15.75" customHeight="1">
      <c r="J707" s="4"/>
      <c r="N707" s="6"/>
    </row>
    <row r="708" ht="15.75" customHeight="1">
      <c r="J708" s="4"/>
      <c r="N708" s="6"/>
    </row>
    <row r="709" ht="15.75" customHeight="1">
      <c r="J709" s="4"/>
      <c r="N709" s="6"/>
    </row>
    <row r="710" ht="15.75" customHeight="1">
      <c r="J710" s="4"/>
      <c r="N710" s="6"/>
    </row>
    <row r="711" ht="15.75" customHeight="1">
      <c r="J711" s="4"/>
      <c r="N711" s="6"/>
    </row>
    <row r="712" ht="15.75" customHeight="1">
      <c r="J712" s="4"/>
      <c r="N712" s="6"/>
    </row>
    <row r="713" ht="15.75" customHeight="1">
      <c r="J713" s="4"/>
      <c r="N713" s="6"/>
    </row>
    <row r="714" ht="15.75" customHeight="1">
      <c r="J714" s="4"/>
      <c r="N714" s="6"/>
    </row>
    <row r="715" ht="15.75" customHeight="1">
      <c r="J715" s="4"/>
      <c r="N715" s="6"/>
    </row>
    <row r="716" ht="15.75" customHeight="1">
      <c r="J716" s="4"/>
      <c r="N716" s="6"/>
    </row>
    <row r="717" ht="15.75" customHeight="1">
      <c r="J717" s="4"/>
      <c r="N717" s="6"/>
    </row>
    <row r="718" ht="15.75" customHeight="1">
      <c r="J718" s="4"/>
      <c r="N718" s="6"/>
    </row>
    <row r="719" ht="15.75" customHeight="1">
      <c r="J719" s="4"/>
      <c r="N719" s="6"/>
    </row>
    <row r="720" ht="15.75" customHeight="1">
      <c r="J720" s="4"/>
      <c r="N720" s="6"/>
    </row>
    <row r="721" ht="15.75" customHeight="1">
      <c r="J721" s="4"/>
      <c r="N721" s="6"/>
    </row>
    <row r="722" ht="15.75" customHeight="1">
      <c r="J722" s="4"/>
      <c r="N722" s="6"/>
    </row>
    <row r="723" ht="15.75" customHeight="1">
      <c r="J723" s="4"/>
      <c r="N723" s="6"/>
    </row>
    <row r="724" ht="15.75" customHeight="1">
      <c r="J724" s="4"/>
      <c r="N724" s="6"/>
    </row>
    <row r="725" ht="15.75" customHeight="1">
      <c r="J725" s="4"/>
      <c r="N725" s="6"/>
    </row>
    <row r="726" ht="15.75" customHeight="1">
      <c r="J726" s="4"/>
      <c r="N726" s="6"/>
    </row>
    <row r="727" ht="15.75" customHeight="1">
      <c r="J727" s="4"/>
      <c r="N727" s="6"/>
    </row>
    <row r="728" ht="15.75" customHeight="1">
      <c r="J728" s="4"/>
      <c r="N728" s="6"/>
    </row>
    <row r="729" ht="15.75" customHeight="1">
      <c r="J729" s="4"/>
      <c r="N729" s="6"/>
    </row>
    <row r="730" ht="15.75" customHeight="1">
      <c r="J730" s="4"/>
      <c r="N730" s="6"/>
    </row>
    <row r="731" ht="15.75" customHeight="1">
      <c r="J731" s="4"/>
      <c r="N731" s="6"/>
    </row>
    <row r="732" ht="15.75" customHeight="1">
      <c r="J732" s="4"/>
      <c r="N732" s="6"/>
    </row>
    <row r="733" ht="15.75" customHeight="1">
      <c r="J733" s="4"/>
      <c r="N733" s="6"/>
    </row>
    <row r="734" ht="15.75" customHeight="1">
      <c r="J734" s="4"/>
      <c r="N734" s="6"/>
    </row>
    <row r="735" ht="15.75" customHeight="1">
      <c r="J735" s="4"/>
      <c r="N735" s="6"/>
    </row>
    <row r="736" ht="15.75" customHeight="1">
      <c r="J736" s="4"/>
      <c r="N736" s="6"/>
    </row>
    <row r="737" ht="15.75" customHeight="1">
      <c r="J737" s="4"/>
      <c r="N737" s="6"/>
    </row>
    <row r="738" ht="15.75" customHeight="1">
      <c r="J738" s="4"/>
      <c r="N738" s="6"/>
    </row>
    <row r="739" ht="15.75" customHeight="1">
      <c r="J739" s="4"/>
      <c r="N739" s="6"/>
    </row>
    <row r="740" ht="15.75" customHeight="1">
      <c r="J740" s="4"/>
      <c r="N740" s="6"/>
    </row>
    <row r="741" ht="15.75" customHeight="1">
      <c r="J741" s="4"/>
      <c r="N741" s="6"/>
    </row>
    <row r="742" ht="15.75" customHeight="1">
      <c r="J742" s="4"/>
      <c r="N742" s="6"/>
    </row>
    <row r="743" ht="15.75" customHeight="1">
      <c r="J743" s="4"/>
      <c r="N743" s="6"/>
    </row>
    <row r="744" ht="15.75" customHeight="1">
      <c r="J744" s="4"/>
      <c r="N744" s="6"/>
    </row>
    <row r="745" ht="15.75" customHeight="1">
      <c r="J745" s="4"/>
      <c r="N745" s="6"/>
    </row>
    <row r="746" ht="15.75" customHeight="1">
      <c r="J746" s="4"/>
      <c r="N746" s="6"/>
    </row>
    <row r="747" ht="15.75" customHeight="1">
      <c r="J747" s="4"/>
      <c r="N747" s="6"/>
    </row>
    <row r="748" ht="15.75" customHeight="1">
      <c r="J748" s="4"/>
      <c r="N748" s="6"/>
    </row>
    <row r="749" ht="15.75" customHeight="1">
      <c r="J749" s="4"/>
      <c r="N749" s="6"/>
    </row>
    <row r="750" ht="15.75" customHeight="1">
      <c r="J750" s="4"/>
      <c r="N750" s="6"/>
    </row>
    <row r="751" ht="15.75" customHeight="1">
      <c r="J751" s="4"/>
      <c r="N751" s="6"/>
    </row>
    <row r="752" ht="15.75" customHeight="1">
      <c r="J752" s="4"/>
      <c r="N752" s="6"/>
    </row>
    <row r="753" ht="15.75" customHeight="1">
      <c r="J753" s="4"/>
      <c r="N753" s="6"/>
    </row>
    <row r="754" ht="15.75" customHeight="1">
      <c r="J754" s="4"/>
      <c r="N754" s="6"/>
    </row>
    <row r="755" ht="15.75" customHeight="1">
      <c r="J755" s="4"/>
      <c r="N755" s="6"/>
    </row>
    <row r="756" ht="15.75" customHeight="1">
      <c r="J756" s="4"/>
      <c r="N756" s="6"/>
    </row>
    <row r="757" ht="15.75" customHeight="1">
      <c r="J757" s="4"/>
      <c r="N757" s="6"/>
    </row>
    <row r="758" ht="15.75" customHeight="1">
      <c r="J758" s="4"/>
      <c r="N758" s="6"/>
    </row>
    <row r="759" ht="15.75" customHeight="1">
      <c r="J759" s="4"/>
      <c r="N759" s="6"/>
    </row>
    <row r="760" ht="15.75" customHeight="1">
      <c r="J760" s="4"/>
      <c r="N760" s="6"/>
    </row>
    <row r="761" ht="15.75" customHeight="1">
      <c r="J761" s="4"/>
      <c r="N761" s="6"/>
    </row>
    <row r="762" ht="15.75" customHeight="1">
      <c r="J762" s="4"/>
      <c r="N762" s="6"/>
    </row>
    <row r="763" ht="15.75" customHeight="1">
      <c r="J763" s="4"/>
      <c r="N763" s="6"/>
    </row>
    <row r="764" ht="15.75" customHeight="1">
      <c r="J764" s="4"/>
      <c r="N764" s="6"/>
    </row>
    <row r="765" ht="15.75" customHeight="1">
      <c r="J765" s="4"/>
      <c r="N765" s="6"/>
    </row>
    <row r="766" ht="15.75" customHeight="1">
      <c r="J766" s="4"/>
      <c r="N766" s="6"/>
    </row>
    <row r="767" ht="15.75" customHeight="1">
      <c r="J767" s="4"/>
      <c r="N767" s="6"/>
    </row>
    <row r="768" ht="15.75" customHeight="1">
      <c r="J768" s="4"/>
      <c r="N768" s="6"/>
    </row>
    <row r="769" ht="15.75" customHeight="1">
      <c r="J769" s="4"/>
      <c r="N769" s="6"/>
    </row>
    <row r="770" ht="15.75" customHeight="1">
      <c r="J770" s="4"/>
      <c r="N770" s="6"/>
    </row>
    <row r="771" ht="15.75" customHeight="1">
      <c r="J771" s="4"/>
      <c r="N771" s="6"/>
    </row>
    <row r="772" ht="15.75" customHeight="1">
      <c r="J772" s="4"/>
      <c r="N772" s="6"/>
    </row>
    <row r="773" ht="15.75" customHeight="1">
      <c r="J773" s="4"/>
      <c r="N773" s="6"/>
    </row>
    <row r="774" ht="15.75" customHeight="1">
      <c r="J774" s="4"/>
      <c r="N774" s="6"/>
    </row>
    <row r="775" ht="15.75" customHeight="1">
      <c r="J775" s="4"/>
      <c r="N775" s="6"/>
    </row>
    <row r="776" ht="15.75" customHeight="1">
      <c r="J776" s="4"/>
      <c r="N776" s="6"/>
    </row>
    <row r="777" ht="15.75" customHeight="1">
      <c r="J777" s="4"/>
      <c r="N777" s="6"/>
    </row>
    <row r="778" ht="15.75" customHeight="1">
      <c r="J778" s="4"/>
      <c r="N778" s="6"/>
    </row>
    <row r="779" ht="15.75" customHeight="1">
      <c r="J779" s="4"/>
      <c r="N779" s="6"/>
    </row>
    <row r="780" ht="15.75" customHeight="1">
      <c r="J780" s="4"/>
      <c r="N780" s="6"/>
    </row>
    <row r="781" ht="15.75" customHeight="1">
      <c r="J781" s="4"/>
      <c r="N781" s="6"/>
    </row>
    <row r="782" ht="15.75" customHeight="1">
      <c r="J782" s="4"/>
      <c r="N782" s="6"/>
    </row>
    <row r="783" ht="15.75" customHeight="1">
      <c r="J783" s="4"/>
      <c r="N783" s="6"/>
    </row>
    <row r="784" ht="15.75" customHeight="1">
      <c r="J784" s="4"/>
      <c r="N784" s="6"/>
    </row>
    <row r="785" ht="15.75" customHeight="1">
      <c r="J785" s="4"/>
      <c r="N785" s="6"/>
    </row>
    <row r="786" ht="15.75" customHeight="1">
      <c r="J786" s="4"/>
      <c r="N786" s="6"/>
    </row>
    <row r="787" ht="15.75" customHeight="1">
      <c r="J787" s="4"/>
      <c r="N787" s="6"/>
    </row>
    <row r="788" ht="15.75" customHeight="1">
      <c r="J788" s="4"/>
      <c r="N788" s="6"/>
    </row>
    <row r="789" ht="15.75" customHeight="1">
      <c r="J789" s="4"/>
      <c r="N789" s="6"/>
    </row>
    <row r="790" ht="15.75" customHeight="1">
      <c r="J790" s="4"/>
      <c r="N790" s="6"/>
    </row>
    <row r="791" ht="15.75" customHeight="1">
      <c r="J791" s="4"/>
      <c r="N791" s="6"/>
    </row>
    <row r="792" ht="15.75" customHeight="1">
      <c r="J792" s="4"/>
      <c r="N792" s="6"/>
    </row>
    <row r="793" ht="15.75" customHeight="1">
      <c r="J793" s="4"/>
      <c r="N793" s="6"/>
    </row>
    <row r="794" ht="15.75" customHeight="1">
      <c r="J794" s="4"/>
      <c r="N794" s="6"/>
    </row>
    <row r="795" ht="15.75" customHeight="1">
      <c r="J795" s="4"/>
      <c r="N795" s="6"/>
    </row>
    <row r="796" ht="15.75" customHeight="1">
      <c r="J796" s="4"/>
      <c r="N796" s="6"/>
    </row>
    <row r="797" ht="15.75" customHeight="1">
      <c r="J797" s="4"/>
      <c r="N797" s="6"/>
    </row>
    <row r="798" ht="15.75" customHeight="1">
      <c r="J798" s="4"/>
      <c r="N798" s="6"/>
    </row>
    <row r="799" ht="15.75" customHeight="1">
      <c r="J799" s="4"/>
      <c r="N799" s="6"/>
    </row>
    <row r="800" ht="15.75" customHeight="1">
      <c r="J800" s="4"/>
      <c r="N800" s="6"/>
    </row>
    <row r="801" ht="15.75" customHeight="1">
      <c r="J801" s="4"/>
      <c r="N801" s="6"/>
    </row>
    <row r="802" ht="15.75" customHeight="1">
      <c r="J802" s="4"/>
      <c r="N802" s="6"/>
    </row>
    <row r="803" ht="15.75" customHeight="1">
      <c r="J803" s="4"/>
      <c r="N803" s="6"/>
    </row>
    <row r="804" ht="15.75" customHeight="1">
      <c r="J804" s="4"/>
      <c r="N804" s="6"/>
    </row>
    <row r="805" ht="15.75" customHeight="1">
      <c r="J805" s="4"/>
      <c r="N805" s="6"/>
    </row>
    <row r="806" ht="15.75" customHeight="1">
      <c r="J806" s="4"/>
      <c r="N806" s="6"/>
    </row>
    <row r="807" ht="15.75" customHeight="1">
      <c r="J807" s="4"/>
      <c r="N807" s="6"/>
    </row>
    <row r="808" ht="15.75" customHeight="1">
      <c r="J808" s="4"/>
      <c r="N808" s="6"/>
    </row>
    <row r="809" ht="15.75" customHeight="1">
      <c r="J809" s="4"/>
      <c r="N809" s="6"/>
    </row>
    <row r="810" ht="15.75" customHeight="1">
      <c r="J810" s="4"/>
      <c r="N810" s="6"/>
    </row>
    <row r="811" ht="15.75" customHeight="1">
      <c r="J811" s="4"/>
      <c r="N811" s="6"/>
    </row>
    <row r="812" ht="15.75" customHeight="1">
      <c r="J812" s="4"/>
      <c r="N812" s="6"/>
    </row>
    <row r="813" ht="15.75" customHeight="1">
      <c r="J813" s="4"/>
      <c r="N813" s="6"/>
    </row>
    <row r="814" ht="15.75" customHeight="1">
      <c r="J814" s="4"/>
      <c r="N814" s="6"/>
    </row>
    <row r="815" ht="15.75" customHeight="1">
      <c r="J815" s="4"/>
      <c r="N815" s="6"/>
    </row>
    <row r="816" ht="15.75" customHeight="1">
      <c r="J816" s="4"/>
      <c r="N816" s="6"/>
    </row>
    <row r="817" ht="15.75" customHeight="1">
      <c r="J817" s="4"/>
      <c r="N817" s="6"/>
    </row>
    <row r="818" ht="15.75" customHeight="1">
      <c r="J818" s="4"/>
      <c r="N818" s="6"/>
    </row>
    <row r="819" ht="15.75" customHeight="1">
      <c r="J819" s="4"/>
      <c r="N819" s="6"/>
    </row>
    <row r="820" ht="15.75" customHeight="1">
      <c r="J820" s="4"/>
      <c r="N820" s="6"/>
    </row>
    <row r="821" ht="15.75" customHeight="1">
      <c r="J821" s="4"/>
      <c r="N821" s="6"/>
    </row>
    <row r="822" ht="15.75" customHeight="1">
      <c r="J822" s="4"/>
      <c r="N822" s="6"/>
    </row>
    <row r="823" ht="15.75" customHeight="1">
      <c r="J823" s="4"/>
      <c r="N823" s="6"/>
    </row>
    <row r="824" ht="15.75" customHeight="1">
      <c r="J824" s="4"/>
      <c r="N824" s="6"/>
    </row>
    <row r="825" ht="15.75" customHeight="1">
      <c r="J825" s="4"/>
      <c r="N825" s="6"/>
    </row>
    <row r="826" ht="15.75" customHeight="1">
      <c r="J826" s="4"/>
      <c r="N826" s="6"/>
    </row>
    <row r="827" ht="15.75" customHeight="1">
      <c r="J827" s="4"/>
      <c r="N827" s="6"/>
    </row>
    <row r="828" ht="15.75" customHeight="1">
      <c r="J828" s="4"/>
      <c r="N828" s="6"/>
    </row>
    <row r="829" ht="15.75" customHeight="1">
      <c r="J829" s="4"/>
      <c r="N829" s="6"/>
    </row>
    <row r="830" ht="15.75" customHeight="1">
      <c r="J830" s="4"/>
      <c r="N830" s="6"/>
    </row>
    <row r="831" ht="15.75" customHeight="1">
      <c r="J831" s="4"/>
      <c r="N831" s="6"/>
    </row>
    <row r="832" ht="15.75" customHeight="1">
      <c r="J832" s="4"/>
      <c r="N832" s="6"/>
    </row>
    <row r="833" ht="15.75" customHeight="1">
      <c r="J833" s="4"/>
      <c r="N833" s="6"/>
    </row>
    <row r="834" ht="15.75" customHeight="1">
      <c r="J834" s="4"/>
      <c r="N834" s="6"/>
    </row>
    <row r="835" ht="15.75" customHeight="1">
      <c r="J835" s="4"/>
      <c r="N835" s="6"/>
    </row>
    <row r="836" ht="15.75" customHeight="1">
      <c r="J836" s="4"/>
      <c r="N836" s="6"/>
    </row>
    <row r="837" ht="15.75" customHeight="1">
      <c r="J837" s="4"/>
      <c r="N837" s="6"/>
    </row>
    <row r="838" ht="15.75" customHeight="1">
      <c r="J838" s="4"/>
      <c r="N838" s="6"/>
    </row>
    <row r="839" ht="15.75" customHeight="1">
      <c r="J839" s="4"/>
      <c r="N839" s="6"/>
    </row>
    <row r="840" ht="15.75" customHeight="1">
      <c r="J840" s="4"/>
      <c r="N840" s="6"/>
    </row>
    <row r="841" ht="15.75" customHeight="1">
      <c r="J841" s="4"/>
      <c r="N841" s="6"/>
    </row>
    <row r="842" ht="15.75" customHeight="1">
      <c r="J842" s="4"/>
      <c r="N842" s="6"/>
    </row>
    <row r="843" ht="15.75" customHeight="1">
      <c r="J843" s="4"/>
      <c r="N843" s="6"/>
    </row>
    <row r="844" ht="15.75" customHeight="1">
      <c r="J844" s="4"/>
      <c r="N844" s="6"/>
    </row>
    <row r="845" ht="15.75" customHeight="1">
      <c r="J845" s="4"/>
      <c r="N845" s="6"/>
    </row>
    <row r="846" ht="15.75" customHeight="1">
      <c r="J846" s="4"/>
      <c r="N846" s="6"/>
    </row>
    <row r="847" ht="15.75" customHeight="1">
      <c r="J847" s="4"/>
      <c r="N847" s="6"/>
    </row>
    <row r="848" ht="15.75" customHeight="1">
      <c r="J848" s="4"/>
      <c r="N848" s="6"/>
    </row>
    <row r="849" ht="15.75" customHeight="1">
      <c r="J849" s="4"/>
      <c r="N849" s="6"/>
    </row>
    <row r="850" ht="15.75" customHeight="1">
      <c r="J850" s="4"/>
      <c r="N850" s="6"/>
    </row>
    <row r="851" ht="15.75" customHeight="1">
      <c r="J851" s="4"/>
      <c r="N851" s="6"/>
    </row>
    <row r="852" ht="15.75" customHeight="1">
      <c r="J852" s="4"/>
      <c r="N852" s="6"/>
    </row>
    <row r="853" ht="15.75" customHeight="1">
      <c r="J853" s="4"/>
      <c r="N853" s="6"/>
    </row>
    <row r="854" ht="15.75" customHeight="1">
      <c r="J854" s="4"/>
      <c r="N854" s="6"/>
    </row>
    <row r="855" ht="15.75" customHeight="1">
      <c r="J855" s="4"/>
      <c r="N855" s="6"/>
    </row>
    <row r="856" ht="15.75" customHeight="1">
      <c r="J856" s="4"/>
      <c r="N856" s="6"/>
    </row>
    <row r="857" ht="15.75" customHeight="1">
      <c r="J857" s="4"/>
      <c r="N857" s="6"/>
    </row>
    <row r="858" ht="15.75" customHeight="1">
      <c r="J858" s="4"/>
      <c r="N858" s="6"/>
    </row>
    <row r="859" ht="15.75" customHeight="1">
      <c r="J859" s="4"/>
      <c r="N859" s="6"/>
    </row>
    <row r="860" ht="15.75" customHeight="1">
      <c r="J860" s="4"/>
      <c r="N860" s="6"/>
    </row>
    <row r="861" ht="15.75" customHeight="1">
      <c r="J861" s="4"/>
      <c r="N861" s="6"/>
    </row>
    <row r="862" ht="15.75" customHeight="1">
      <c r="J862" s="4"/>
      <c r="N862" s="6"/>
    </row>
    <row r="863" ht="15.75" customHeight="1">
      <c r="J863" s="4"/>
      <c r="N863" s="6"/>
    </row>
    <row r="864" ht="15.75" customHeight="1">
      <c r="J864" s="4"/>
      <c r="N864" s="6"/>
    </row>
    <row r="865" ht="15.75" customHeight="1">
      <c r="J865" s="4"/>
      <c r="N865" s="6"/>
    </row>
    <row r="866" ht="15.75" customHeight="1">
      <c r="J866" s="4"/>
      <c r="N866" s="6"/>
    </row>
    <row r="867" ht="15.75" customHeight="1">
      <c r="J867" s="4"/>
      <c r="N867" s="6"/>
    </row>
    <row r="868" ht="15.75" customHeight="1">
      <c r="J868" s="4"/>
      <c r="N868" s="6"/>
    </row>
    <row r="869" ht="15.75" customHeight="1">
      <c r="J869" s="4"/>
      <c r="N869" s="6"/>
    </row>
    <row r="870" ht="15.75" customHeight="1">
      <c r="J870" s="4"/>
      <c r="N870" s="6"/>
    </row>
    <row r="871" ht="15.75" customHeight="1">
      <c r="J871" s="4"/>
      <c r="N871" s="6"/>
    </row>
    <row r="872" ht="15.75" customHeight="1">
      <c r="J872" s="4"/>
      <c r="N872" s="6"/>
    </row>
    <row r="873" ht="15.75" customHeight="1">
      <c r="J873" s="4"/>
      <c r="N873" s="6"/>
    </row>
    <row r="874" ht="15.75" customHeight="1">
      <c r="J874" s="4"/>
      <c r="N874" s="6"/>
    </row>
    <row r="875" ht="15.75" customHeight="1">
      <c r="J875" s="4"/>
      <c r="N875" s="6"/>
    </row>
    <row r="876" ht="15.75" customHeight="1">
      <c r="J876" s="4"/>
      <c r="N876" s="6"/>
    </row>
    <row r="877" ht="15.75" customHeight="1">
      <c r="J877" s="4"/>
      <c r="N877" s="6"/>
    </row>
    <row r="878" ht="15.75" customHeight="1">
      <c r="J878" s="4"/>
      <c r="N878" s="6"/>
    </row>
    <row r="879" ht="15.75" customHeight="1">
      <c r="J879" s="4"/>
      <c r="N879" s="6"/>
    </row>
    <row r="880" ht="15.75" customHeight="1">
      <c r="J880" s="4"/>
      <c r="N880" s="6"/>
    </row>
    <row r="881" ht="15.75" customHeight="1">
      <c r="J881" s="4"/>
      <c r="N881" s="6"/>
    </row>
    <row r="882" ht="15.75" customHeight="1">
      <c r="J882" s="4"/>
      <c r="N882" s="6"/>
    </row>
    <row r="883" ht="15.75" customHeight="1">
      <c r="J883" s="4"/>
      <c r="N883" s="6"/>
    </row>
    <row r="884" ht="15.75" customHeight="1">
      <c r="J884" s="4"/>
      <c r="N884" s="6"/>
    </row>
    <row r="885" ht="15.75" customHeight="1">
      <c r="J885" s="4"/>
      <c r="N885" s="6"/>
    </row>
    <row r="886" ht="15.75" customHeight="1">
      <c r="J886" s="4"/>
      <c r="N886" s="6"/>
    </row>
    <row r="887" ht="15.75" customHeight="1">
      <c r="J887" s="4"/>
      <c r="N887" s="6"/>
    </row>
    <row r="888" ht="15.75" customHeight="1">
      <c r="J888" s="4"/>
      <c r="N888" s="6"/>
    </row>
    <row r="889" ht="15.75" customHeight="1">
      <c r="J889" s="4"/>
      <c r="N889" s="6"/>
    </row>
    <row r="890" ht="15.75" customHeight="1">
      <c r="J890" s="4"/>
      <c r="N890" s="6"/>
    </row>
    <row r="891" ht="15.75" customHeight="1">
      <c r="J891" s="4"/>
      <c r="N891" s="6"/>
    </row>
    <row r="892" ht="15.75" customHeight="1">
      <c r="J892" s="4"/>
      <c r="N892" s="6"/>
    </row>
    <row r="893" ht="15.75" customHeight="1">
      <c r="J893" s="4"/>
      <c r="N893" s="6"/>
    </row>
    <row r="894" ht="15.75" customHeight="1">
      <c r="J894" s="4"/>
      <c r="N894" s="6"/>
    </row>
    <row r="895" ht="15.75" customHeight="1">
      <c r="J895" s="4"/>
      <c r="N895" s="6"/>
    </row>
    <row r="896" ht="15.75" customHeight="1">
      <c r="J896" s="4"/>
      <c r="N896" s="6"/>
    </row>
    <row r="897" ht="15.75" customHeight="1">
      <c r="J897" s="4"/>
      <c r="N897" s="6"/>
    </row>
    <row r="898" ht="15.75" customHeight="1">
      <c r="J898" s="4"/>
      <c r="N898" s="6"/>
    </row>
    <row r="899" ht="15.75" customHeight="1">
      <c r="J899" s="4"/>
      <c r="N899" s="6"/>
    </row>
    <row r="900" ht="15.75" customHeight="1">
      <c r="J900" s="4"/>
      <c r="N900" s="6"/>
    </row>
    <row r="901" ht="15.75" customHeight="1">
      <c r="J901" s="4"/>
      <c r="N901" s="6"/>
    </row>
    <row r="902" ht="15.75" customHeight="1">
      <c r="J902" s="4"/>
      <c r="N902" s="6"/>
    </row>
    <row r="903" ht="15.75" customHeight="1">
      <c r="J903" s="4"/>
      <c r="N903" s="6"/>
    </row>
    <row r="904" ht="15.75" customHeight="1">
      <c r="J904" s="4"/>
      <c r="N904" s="6"/>
    </row>
    <row r="905" ht="15.75" customHeight="1">
      <c r="J905" s="4"/>
      <c r="N905" s="6"/>
    </row>
    <row r="906" ht="15.75" customHeight="1">
      <c r="J906" s="4"/>
      <c r="N906" s="6"/>
    </row>
    <row r="907" ht="15.75" customHeight="1">
      <c r="J907" s="4"/>
      <c r="N907" s="6"/>
    </row>
    <row r="908" ht="15.75" customHeight="1">
      <c r="J908" s="4"/>
      <c r="N908" s="6"/>
    </row>
    <row r="909" ht="15.75" customHeight="1">
      <c r="J909" s="4"/>
      <c r="N909" s="6"/>
    </row>
    <row r="910" ht="15.75" customHeight="1">
      <c r="J910" s="4"/>
      <c r="N910" s="6"/>
    </row>
    <row r="911" ht="15.75" customHeight="1">
      <c r="J911" s="4"/>
      <c r="N911" s="6"/>
    </row>
    <row r="912" ht="15.75" customHeight="1">
      <c r="J912" s="4"/>
      <c r="N912" s="6"/>
    </row>
    <row r="913" ht="15.75" customHeight="1">
      <c r="J913" s="4"/>
      <c r="N913" s="6"/>
    </row>
    <row r="914" ht="15.75" customHeight="1">
      <c r="J914" s="4"/>
      <c r="N914" s="6"/>
    </row>
    <row r="915" ht="15.75" customHeight="1">
      <c r="J915" s="4"/>
      <c r="N915" s="6"/>
    </row>
    <row r="916" ht="15.75" customHeight="1">
      <c r="J916" s="4"/>
      <c r="N916" s="6"/>
    </row>
    <row r="917" ht="15.75" customHeight="1">
      <c r="J917" s="4"/>
      <c r="N917" s="6"/>
    </row>
    <row r="918" ht="15.75" customHeight="1">
      <c r="J918" s="4"/>
      <c r="N918" s="6"/>
    </row>
    <row r="919" ht="15.75" customHeight="1">
      <c r="J919" s="4"/>
      <c r="N919" s="6"/>
    </row>
    <row r="920" ht="15.75" customHeight="1">
      <c r="J920" s="4"/>
      <c r="N920" s="6"/>
    </row>
    <row r="921" ht="15.75" customHeight="1">
      <c r="J921" s="4"/>
      <c r="N921" s="6"/>
    </row>
    <row r="922" ht="15.75" customHeight="1">
      <c r="J922" s="4"/>
      <c r="N922" s="6"/>
    </row>
    <row r="923" ht="15.75" customHeight="1">
      <c r="J923" s="4"/>
      <c r="N923" s="6"/>
    </row>
    <row r="924" ht="15.75" customHeight="1">
      <c r="J924" s="4"/>
      <c r="N924" s="6"/>
    </row>
    <row r="925" ht="15.75" customHeight="1">
      <c r="J925" s="4"/>
      <c r="N925" s="6"/>
    </row>
    <row r="926" ht="15.75" customHeight="1">
      <c r="J926" s="4"/>
      <c r="N926" s="6"/>
    </row>
    <row r="927" ht="15.75" customHeight="1">
      <c r="J927" s="4"/>
      <c r="N927" s="6"/>
    </row>
    <row r="928" ht="15.75" customHeight="1">
      <c r="J928" s="4"/>
      <c r="N928" s="6"/>
    </row>
    <row r="929" ht="15.75" customHeight="1">
      <c r="J929" s="4"/>
      <c r="N929" s="6"/>
    </row>
    <row r="930" ht="15.75" customHeight="1">
      <c r="J930" s="4"/>
      <c r="N930" s="6"/>
    </row>
    <row r="931" ht="15.75" customHeight="1">
      <c r="J931" s="4"/>
      <c r="N931" s="6"/>
    </row>
    <row r="932" ht="15.75" customHeight="1">
      <c r="J932" s="4"/>
      <c r="N932" s="6"/>
    </row>
    <row r="933" ht="15.75" customHeight="1">
      <c r="J933" s="4"/>
      <c r="N933" s="6"/>
    </row>
    <row r="934" ht="15.75" customHeight="1">
      <c r="J934" s="4"/>
      <c r="N934" s="6"/>
    </row>
    <row r="935" ht="15.75" customHeight="1">
      <c r="J935" s="4"/>
      <c r="N935" s="6"/>
    </row>
    <row r="936" ht="15.75" customHeight="1">
      <c r="J936" s="4"/>
      <c r="N936" s="6"/>
    </row>
    <row r="937" ht="15.75" customHeight="1">
      <c r="J937" s="4"/>
      <c r="N937" s="6"/>
    </row>
    <row r="938" ht="15.75" customHeight="1">
      <c r="J938" s="4"/>
      <c r="N938" s="6"/>
    </row>
    <row r="939" ht="15.75" customHeight="1">
      <c r="J939" s="4"/>
      <c r="N939" s="6"/>
    </row>
    <row r="940" ht="15.75" customHeight="1">
      <c r="J940" s="4"/>
      <c r="N940" s="6"/>
    </row>
    <row r="941" ht="15.75" customHeight="1">
      <c r="J941" s="4"/>
      <c r="N941" s="6"/>
    </row>
    <row r="942" ht="15.75" customHeight="1">
      <c r="J942" s="4"/>
      <c r="N942" s="6"/>
    </row>
    <row r="943" ht="15.75" customHeight="1">
      <c r="J943" s="4"/>
      <c r="N943" s="6"/>
    </row>
    <row r="944" ht="15.75" customHeight="1">
      <c r="J944" s="4"/>
      <c r="N944" s="6"/>
    </row>
    <row r="945" ht="15.75" customHeight="1">
      <c r="J945" s="4"/>
      <c r="N945" s="6"/>
    </row>
    <row r="946" ht="15.75" customHeight="1">
      <c r="J946" s="4"/>
      <c r="N946" s="6"/>
    </row>
    <row r="947" ht="15.75" customHeight="1">
      <c r="J947" s="4"/>
      <c r="N947" s="6"/>
    </row>
    <row r="948" ht="15.75" customHeight="1">
      <c r="J948" s="4"/>
      <c r="N948" s="6"/>
    </row>
    <row r="949" ht="15.75" customHeight="1">
      <c r="J949" s="4"/>
      <c r="N949" s="6"/>
    </row>
    <row r="950" ht="15.75" customHeight="1">
      <c r="J950" s="4"/>
      <c r="N950" s="6"/>
    </row>
    <row r="951" ht="15.75" customHeight="1">
      <c r="J951" s="4"/>
      <c r="N951" s="6"/>
    </row>
    <row r="952" ht="15.75" customHeight="1">
      <c r="J952" s="4"/>
      <c r="N952" s="6"/>
    </row>
    <row r="953" ht="15.75" customHeight="1">
      <c r="J953" s="4"/>
      <c r="N953" s="6"/>
    </row>
    <row r="954" ht="15.75" customHeight="1">
      <c r="J954" s="4"/>
      <c r="N954" s="6"/>
    </row>
    <row r="955" ht="15.75" customHeight="1">
      <c r="J955" s="4"/>
      <c r="N955" s="6"/>
    </row>
    <row r="956" ht="15.75" customHeight="1">
      <c r="J956" s="4"/>
      <c r="N956" s="6"/>
    </row>
    <row r="957" ht="15.75" customHeight="1">
      <c r="J957" s="4"/>
      <c r="N957" s="6"/>
    </row>
    <row r="958" ht="15.75" customHeight="1">
      <c r="J958" s="4"/>
      <c r="N958" s="6"/>
    </row>
    <row r="959" ht="15.75" customHeight="1">
      <c r="J959" s="4"/>
      <c r="N959" s="6"/>
    </row>
    <row r="960" ht="15.75" customHeight="1">
      <c r="J960" s="4"/>
      <c r="N960" s="6"/>
    </row>
    <row r="961" ht="15.75" customHeight="1">
      <c r="J961" s="4"/>
      <c r="N961" s="6"/>
    </row>
    <row r="962" ht="15.75" customHeight="1">
      <c r="J962" s="4"/>
      <c r="N962" s="6"/>
    </row>
    <row r="963" ht="15.75" customHeight="1">
      <c r="J963" s="4"/>
      <c r="N963" s="6"/>
    </row>
    <row r="964" ht="15.75" customHeight="1">
      <c r="J964" s="4"/>
      <c r="N964" s="6"/>
    </row>
    <row r="965" ht="15.75" customHeight="1">
      <c r="J965" s="4"/>
      <c r="N965" s="6"/>
    </row>
    <row r="966" ht="15.75" customHeight="1">
      <c r="J966" s="4"/>
      <c r="N966" s="6"/>
    </row>
    <row r="967" ht="15.75" customHeight="1">
      <c r="J967" s="4"/>
      <c r="N967" s="6"/>
    </row>
    <row r="968" ht="15.75" customHeight="1">
      <c r="J968" s="4"/>
      <c r="N968" s="6"/>
    </row>
    <row r="969" ht="15.75" customHeight="1">
      <c r="J969" s="4"/>
      <c r="N969" s="6"/>
    </row>
    <row r="970" ht="15.75" customHeight="1">
      <c r="J970" s="4"/>
      <c r="N970" s="6"/>
    </row>
    <row r="971" ht="15.75" customHeight="1">
      <c r="J971" s="4"/>
      <c r="N971" s="6"/>
    </row>
    <row r="972" ht="15.75" customHeight="1">
      <c r="J972" s="4"/>
      <c r="N972" s="6"/>
    </row>
    <row r="973" ht="15.75" customHeight="1">
      <c r="J973" s="4"/>
      <c r="N973" s="6"/>
    </row>
    <row r="974" ht="15.75" customHeight="1">
      <c r="J974" s="4"/>
      <c r="N974" s="6"/>
    </row>
    <row r="975" ht="15.75" customHeight="1">
      <c r="J975" s="4"/>
      <c r="N975" s="6"/>
    </row>
    <row r="976" ht="15.75" customHeight="1">
      <c r="J976" s="4"/>
      <c r="N976" s="6"/>
    </row>
    <row r="977" ht="15.75" customHeight="1">
      <c r="J977" s="4"/>
      <c r="N977" s="6"/>
    </row>
    <row r="978" ht="15.75" customHeight="1">
      <c r="J978" s="4"/>
      <c r="N978" s="6"/>
    </row>
    <row r="979" ht="15.75" customHeight="1">
      <c r="J979" s="4"/>
      <c r="N979" s="6"/>
    </row>
    <row r="980" ht="15.75" customHeight="1">
      <c r="J980" s="4"/>
      <c r="N980" s="6"/>
    </row>
    <row r="981" ht="15.75" customHeight="1">
      <c r="J981" s="4"/>
      <c r="N981" s="6"/>
    </row>
    <row r="982" ht="15.75" customHeight="1">
      <c r="J982" s="4"/>
      <c r="N982" s="6"/>
    </row>
    <row r="983" ht="15.75" customHeight="1">
      <c r="J983" s="4"/>
      <c r="N983" s="6"/>
    </row>
    <row r="984" ht="15.75" customHeight="1">
      <c r="J984" s="4"/>
      <c r="N984" s="6"/>
    </row>
    <row r="985" ht="15.75" customHeight="1">
      <c r="J985" s="4"/>
      <c r="N985" s="6"/>
    </row>
    <row r="986" ht="15.75" customHeight="1">
      <c r="J986" s="4"/>
      <c r="N986" s="6"/>
    </row>
    <row r="987" ht="15.75" customHeight="1">
      <c r="J987" s="4"/>
      <c r="N987" s="6"/>
    </row>
    <row r="988" ht="15.75" customHeight="1">
      <c r="J988" s="4"/>
      <c r="N988" s="6"/>
    </row>
    <row r="989" ht="15.75" customHeight="1">
      <c r="J989" s="4"/>
      <c r="N989" s="6"/>
    </row>
    <row r="990" ht="15.75" customHeight="1">
      <c r="J990" s="4"/>
      <c r="N990" s="6"/>
    </row>
    <row r="991" ht="15.75" customHeight="1">
      <c r="J991" s="4"/>
      <c r="N991" s="6"/>
    </row>
    <row r="992" ht="15.75" customHeight="1">
      <c r="J992" s="4"/>
      <c r="N992" s="6"/>
    </row>
    <row r="993" ht="15.75" customHeight="1">
      <c r="J993" s="4"/>
      <c r="N993" s="6"/>
    </row>
    <row r="994" ht="15.75" customHeight="1">
      <c r="J994" s="4"/>
      <c r="N994" s="6"/>
    </row>
    <row r="995" ht="15.75" customHeight="1">
      <c r="J995" s="4"/>
      <c r="N995" s="6"/>
    </row>
    <row r="996" ht="15.75" customHeight="1">
      <c r="J996" s="4"/>
      <c r="N996" s="6"/>
    </row>
    <row r="997" ht="15.75" customHeight="1"/>
  </sheetData>
  <mergeCells count="20">
    <mergeCell ref="G6:G9"/>
    <mergeCell ref="H6:H9"/>
    <mergeCell ref="I6:I9"/>
    <mergeCell ref="J6:J9"/>
    <mergeCell ref="H11:H13"/>
    <mergeCell ref="I11:I13"/>
    <mergeCell ref="J11:J13"/>
    <mergeCell ref="I20:I25"/>
    <mergeCell ref="J20:J25"/>
    <mergeCell ref="G27:G28"/>
    <mergeCell ref="H27:H28"/>
    <mergeCell ref="I27:I28"/>
    <mergeCell ref="J27:J28"/>
    <mergeCell ref="G11:G13"/>
    <mergeCell ref="G15:G18"/>
    <mergeCell ref="H15:H18"/>
    <mergeCell ref="I15:I18"/>
    <mergeCell ref="J15:J18"/>
    <mergeCell ref="G20:G25"/>
    <mergeCell ref="H20:H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56"/>
    <col customWidth="1" min="2" max="2" width="18.56"/>
    <col customWidth="1" min="3" max="3" width="18.0"/>
    <col customWidth="1" min="4" max="4" width="16.44"/>
    <col customWidth="1" min="5" max="5" width="14.56"/>
    <col customWidth="1" min="6" max="41" width="15.0"/>
    <col customWidth="1" min="42" max="42" width="15.67"/>
    <col customWidth="1" min="43" max="43" width="12.11"/>
    <col customWidth="1" min="44" max="44" width="15.11"/>
    <col customWidth="1" min="45" max="45" width="14.44"/>
    <col customWidth="1" min="46" max="46" width="34.11"/>
    <col customWidth="1" min="47" max="47" width="14.0"/>
  </cols>
  <sheetData>
    <row r="1" ht="15.75" customHeight="1"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</row>
    <row r="2">
      <c r="A2" s="91" t="s">
        <v>85</v>
      </c>
      <c r="B2" s="44"/>
      <c r="C2" s="44"/>
      <c r="D2" s="92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</row>
    <row r="3" ht="15.75" customHeight="1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</row>
    <row r="4" ht="15.75" customHeight="1">
      <c r="B4" s="96">
        <v>1985.0</v>
      </c>
      <c r="C4" s="96">
        <v>1986.0</v>
      </c>
      <c r="D4" s="96">
        <v>1987.0</v>
      </c>
      <c r="E4" s="96">
        <v>1988.0</v>
      </c>
      <c r="F4" s="96">
        <v>1989.0</v>
      </c>
      <c r="G4" s="96">
        <v>1990.0</v>
      </c>
      <c r="H4" s="96">
        <v>1991.0</v>
      </c>
      <c r="I4" s="96">
        <v>1992.0</v>
      </c>
      <c r="J4" s="96">
        <v>1993.0</v>
      </c>
      <c r="K4" s="96">
        <v>1994.0</v>
      </c>
      <c r="L4" s="96">
        <v>1995.0</v>
      </c>
      <c r="M4" s="96">
        <v>1996.0</v>
      </c>
      <c r="N4" s="96">
        <v>1997.0</v>
      </c>
      <c r="O4" s="96">
        <v>1998.0</v>
      </c>
      <c r="P4" s="96">
        <v>1999.0</v>
      </c>
      <c r="Q4" s="96">
        <v>2000.0</v>
      </c>
      <c r="R4" s="96">
        <v>2001.0</v>
      </c>
      <c r="S4" s="96">
        <v>2002.0</v>
      </c>
      <c r="T4" s="96">
        <v>2003.0</v>
      </c>
      <c r="U4" s="96">
        <v>2004.0</v>
      </c>
      <c r="V4" s="96">
        <v>2005.0</v>
      </c>
      <c r="W4" s="96">
        <v>2006.0</v>
      </c>
      <c r="X4" s="96">
        <v>2007.0</v>
      </c>
      <c r="Y4" s="96">
        <v>2008.0</v>
      </c>
      <c r="Z4" s="96">
        <v>2009.0</v>
      </c>
      <c r="AA4" s="96">
        <v>2010.0</v>
      </c>
      <c r="AB4" s="96">
        <v>2011.0</v>
      </c>
      <c r="AC4" s="96">
        <v>2012.0</v>
      </c>
      <c r="AD4" s="96">
        <v>2013.0</v>
      </c>
      <c r="AE4" s="96">
        <v>2014.0</v>
      </c>
      <c r="AF4" s="96">
        <v>2015.0</v>
      </c>
      <c r="AG4" s="96">
        <v>2016.0</v>
      </c>
      <c r="AH4" s="96">
        <v>2017.0</v>
      </c>
      <c r="AI4" s="96">
        <v>2018.0</v>
      </c>
      <c r="AJ4" s="96">
        <v>2019.0</v>
      </c>
      <c r="AK4" s="96">
        <v>2020.0</v>
      </c>
      <c r="AL4" s="96">
        <v>2021.0</v>
      </c>
      <c r="AM4" s="96">
        <v>2022.0</v>
      </c>
      <c r="AN4" s="96">
        <v>2023.0</v>
      </c>
      <c r="AO4" s="96">
        <v>2024.0</v>
      </c>
      <c r="AP4" s="96">
        <v>2025.0</v>
      </c>
      <c r="AQ4" s="112"/>
    </row>
    <row r="5" ht="15.75" customHeight="1">
      <c r="A5" s="114" t="s">
        <v>12</v>
      </c>
      <c r="B5" s="114">
        <v>3.429729587602392E7</v>
      </c>
      <c r="C5" s="114">
        <v>3.433113806294886E7</v>
      </c>
      <c r="D5" s="114">
        <v>3.3820975921605006E7</v>
      </c>
      <c r="E5" s="114">
        <v>3.3352024088607937E7</v>
      </c>
      <c r="F5" s="114">
        <v>3.2992759295075722E7</v>
      </c>
      <c r="G5" s="114">
        <v>3.275080694144273E7</v>
      </c>
      <c r="H5" s="114">
        <v>3.246927935579157E7</v>
      </c>
      <c r="I5" s="114">
        <v>3.2266041074839942E7</v>
      </c>
      <c r="J5" s="114">
        <v>3.210015839012799E7</v>
      </c>
      <c r="K5" s="114">
        <v>3.196985854010308E7</v>
      </c>
      <c r="L5" s="114">
        <v>3.1838345640612707E7</v>
      </c>
      <c r="M5" s="114">
        <v>3.1679701909442004E7</v>
      </c>
      <c r="N5" s="114">
        <v>3.1517533952675954E7</v>
      </c>
      <c r="O5" s="114">
        <v>3.1333051065794446E7</v>
      </c>
      <c r="P5" s="114">
        <v>3.1182403973768245E7</v>
      </c>
      <c r="Q5" s="114">
        <v>3.110520443931129E7</v>
      </c>
      <c r="R5" s="114">
        <v>3.108290717310425E7</v>
      </c>
      <c r="S5" s="114">
        <v>3.1091161329909943E7</v>
      </c>
      <c r="T5" s="114">
        <v>3.107905159143004E7</v>
      </c>
      <c r="U5" s="114">
        <v>3.1048359275363687E7</v>
      </c>
      <c r="V5" s="114">
        <v>3.1052734122720055E7</v>
      </c>
      <c r="W5" s="114">
        <v>3.1071836247795396E7</v>
      </c>
      <c r="X5" s="114">
        <v>3.1132977518777445E7</v>
      </c>
      <c r="Y5" s="114">
        <v>3.11656627758935E7</v>
      </c>
      <c r="Z5" s="114">
        <v>3.1192882875941493E7</v>
      </c>
      <c r="AA5" s="114">
        <v>3.1234615057159383E7</v>
      </c>
      <c r="AB5" s="114">
        <v>3.1279738820403885E7</v>
      </c>
      <c r="AC5" s="114">
        <v>3.1325004261876628E7</v>
      </c>
      <c r="AD5" s="114">
        <v>3.13547314335939E7</v>
      </c>
      <c r="AE5" s="114">
        <v>3.137083740987132E7</v>
      </c>
      <c r="AF5" s="114">
        <v>3.140511158003662E7</v>
      </c>
      <c r="AG5" s="114">
        <v>3.14141190889428E7</v>
      </c>
      <c r="AH5" s="114">
        <v>3.1400604104624774E7</v>
      </c>
      <c r="AI5" s="114">
        <v>3.1363006191002715E7</v>
      </c>
      <c r="AJ5" s="114">
        <v>3.1289429140137143E7</v>
      </c>
      <c r="AK5" s="114">
        <v>3.1202043798349343E7</v>
      </c>
      <c r="AL5" s="114">
        <v>3.1047848043375578E7</v>
      </c>
      <c r="AM5" s="120">
        <v>3.0946782650135737E7</v>
      </c>
      <c r="AN5" s="120">
        <v>3.083219371483288E7</v>
      </c>
      <c r="AO5" s="120">
        <v>3.0794727617351558E7</v>
      </c>
      <c r="AP5" s="120">
        <v>3.0833318416779846E7</v>
      </c>
      <c r="AQ5" s="22"/>
      <c r="AR5" s="122">
        <f t="shared" ref="AR5:AR36" si="1">AP5-B5</f>
        <v>-3463977.459</v>
      </c>
      <c r="AS5" s="124">
        <f t="shared" ref="AS5:AS7" si="2">AR5/B5</f>
        <v>-0.1009985589</v>
      </c>
      <c r="AT5" s="125" t="s">
        <v>100</v>
      </c>
      <c r="AU5" s="129">
        <f>(AP5-AP7)/AP36</f>
        <v>0.261111609</v>
      </c>
    </row>
    <row r="6" ht="15.75" customHeight="1">
      <c r="A6" s="131" t="s">
        <v>19</v>
      </c>
      <c r="B6" s="132">
        <v>2.9595386387525417E7</v>
      </c>
      <c r="C6" s="132">
        <v>2.9628671487791855E7</v>
      </c>
      <c r="D6" s="132">
        <v>2.9244734582912054E7</v>
      </c>
      <c r="E6" s="132">
        <v>2.8858999829878256E7</v>
      </c>
      <c r="F6" s="132">
        <v>2.8546018473935667E7</v>
      </c>
      <c r="G6" s="132">
        <v>2.836226789760425E7</v>
      </c>
      <c r="H6" s="132">
        <v>2.815485147098035E7</v>
      </c>
      <c r="I6" s="132">
        <v>2.801968659983902E7</v>
      </c>
      <c r="J6" s="132">
        <v>2.7918095252268877E7</v>
      </c>
      <c r="K6" s="132">
        <v>2.7819462442466862E7</v>
      </c>
      <c r="L6" s="132">
        <v>2.771210604077098E7</v>
      </c>
      <c r="M6" s="132">
        <v>2.757933363610169E7</v>
      </c>
      <c r="N6" s="132">
        <v>2.7457685437820483E7</v>
      </c>
      <c r="O6" s="132">
        <v>2.733492019551916E7</v>
      </c>
      <c r="P6" s="132">
        <v>2.7221090726810638E7</v>
      </c>
      <c r="Q6" s="132">
        <v>2.7157423018827155E7</v>
      </c>
      <c r="R6" s="132">
        <v>2.714652926045119E7</v>
      </c>
      <c r="S6" s="132">
        <v>2.7153307929564472E7</v>
      </c>
      <c r="T6" s="132">
        <v>2.7143843020607222E7</v>
      </c>
      <c r="U6" s="132">
        <v>2.7127159536533404E7</v>
      </c>
      <c r="V6" s="132">
        <v>2.7147611716778584E7</v>
      </c>
      <c r="W6" s="132">
        <v>2.718636885321498E7</v>
      </c>
      <c r="X6" s="132">
        <v>2.7251654219389353E7</v>
      </c>
      <c r="Y6" s="132">
        <v>2.730582051235186E7</v>
      </c>
      <c r="Z6" s="132">
        <v>2.736901343542958E7</v>
      </c>
      <c r="AA6" s="132">
        <v>2.742375665043734E7</v>
      </c>
      <c r="AB6" s="132">
        <v>2.7484632292641543E7</v>
      </c>
      <c r="AC6" s="132">
        <v>2.7552259296095114E7</v>
      </c>
      <c r="AD6" s="132">
        <v>2.76226967928959E7</v>
      </c>
      <c r="AE6" s="132">
        <v>2.767542903216973E7</v>
      </c>
      <c r="AF6" s="132">
        <v>2.7745564354199935E7</v>
      </c>
      <c r="AG6" s="132">
        <v>2.7790319388899747E7</v>
      </c>
      <c r="AH6" s="132">
        <v>2.781225166976381E7</v>
      </c>
      <c r="AI6" s="132">
        <v>2.780822100918896E7</v>
      </c>
      <c r="AJ6" s="132">
        <v>2.778044724171831E7</v>
      </c>
      <c r="AK6" s="132">
        <v>2.7749289460098337E7</v>
      </c>
      <c r="AL6" s="132">
        <v>2.7660569420552615E7</v>
      </c>
      <c r="AM6" s="132">
        <v>2.763104952189462E7</v>
      </c>
      <c r="AN6" s="132">
        <v>2.7599753465158746E7</v>
      </c>
      <c r="AO6" s="132">
        <v>2.7625787230545864E7</v>
      </c>
      <c r="AP6" s="132">
        <v>2.766971542369688E7</v>
      </c>
      <c r="AQ6" s="132"/>
      <c r="AR6" s="122">
        <f t="shared" si="1"/>
        <v>-1925670.964</v>
      </c>
      <c r="AS6" s="124">
        <f t="shared" si="2"/>
        <v>-0.0650665931</v>
      </c>
      <c r="AT6" s="4" t="s">
        <v>102</v>
      </c>
      <c r="AU6" s="129">
        <f>(AP5+AP12)/AP36</f>
        <v>0.3218193404</v>
      </c>
    </row>
    <row r="7" ht="15.75" customHeight="1">
      <c r="A7" s="135" t="s">
        <v>22</v>
      </c>
      <c r="B7" s="132">
        <v>3968081.816914769</v>
      </c>
      <c r="C7" s="132">
        <v>3969206.175977278</v>
      </c>
      <c r="D7" s="132">
        <v>3848086.4146681624</v>
      </c>
      <c r="E7" s="132">
        <v>3765441.0509022</v>
      </c>
      <c r="F7" s="132">
        <v>3722526.3728809278</v>
      </c>
      <c r="G7" s="132">
        <v>3664487.4337212574</v>
      </c>
      <c r="H7" s="132">
        <v>3592872.041409387</v>
      </c>
      <c r="I7" s="132">
        <v>3528555.1125231846</v>
      </c>
      <c r="J7" s="132">
        <v>3463638.6831241916</v>
      </c>
      <c r="K7" s="132">
        <v>3434409.688927016</v>
      </c>
      <c r="L7" s="132">
        <v>3412011.915088338</v>
      </c>
      <c r="M7" s="132">
        <v>3388843.580835294</v>
      </c>
      <c r="N7" s="132">
        <v>3351561.6966529945</v>
      </c>
      <c r="O7" s="132">
        <v>3292808.6353159556</v>
      </c>
      <c r="P7" s="132">
        <v>3257350.3827038687</v>
      </c>
      <c r="Q7" s="132">
        <v>3238986.743349943</v>
      </c>
      <c r="R7" s="132">
        <v>3226814.7197901206</v>
      </c>
      <c r="S7" s="132">
        <v>3227522.9117633267</v>
      </c>
      <c r="T7" s="132">
        <v>3225517.889788895</v>
      </c>
      <c r="U7" s="132">
        <v>3210920.8745661704</v>
      </c>
      <c r="V7" s="132">
        <v>3194437.377564899</v>
      </c>
      <c r="W7" s="132">
        <v>3173918.487515938</v>
      </c>
      <c r="X7" s="132">
        <v>3168756.899036678</v>
      </c>
      <c r="Y7" s="132">
        <v>3146512.855105235</v>
      </c>
      <c r="Z7" s="132">
        <v>3109222.5789696444</v>
      </c>
      <c r="AA7" s="132">
        <v>3094709.766294556</v>
      </c>
      <c r="AB7" s="132">
        <v>3077457.906734857</v>
      </c>
      <c r="AC7" s="132">
        <v>3054069.3598719477</v>
      </c>
      <c r="AD7" s="132">
        <v>3010003.227024427</v>
      </c>
      <c r="AE7" s="132">
        <v>2973132.265776586</v>
      </c>
      <c r="AF7" s="132">
        <v>2938057.1278437814</v>
      </c>
      <c r="AG7" s="132">
        <v>2904190.1498957826</v>
      </c>
      <c r="AH7" s="132">
        <v>2871932.626175124</v>
      </c>
      <c r="AI7" s="132">
        <v>2839421.1027136445</v>
      </c>
      <c r="AJ7" s="132">
        <v>2793424.5400560037</v>
      </c>
      <c r="AK7" s="132">
        <v>2737245.1933888416</v>
      </c>
      <c r="AL7" s="132">
        <v>2672358.019545328</v>
      </c>
      <c r="AM7" s="132">
        <v>2606912.43953272</v>
      </c>
      <c r="AN7" s="132">
        <v>2525617.733545557</v>
      </c>
      <c r="AO7" s="132">
        <v>2463574.5449439036</v>
      </c>
      <c r="AP7" s="132">
        <v>2457147.7107152385</v>
      </c>
      <c r="AQ7" s="132"/>
      <c r="AR7" s="122">
        <f t="shared" si="1"/>
        <v>-1510934.106</v>
      </c>
      <c r="AS7" s="124">
        <f t="shared" si="2"/>
        <v>-0.3807719135</v>
      </c>
      <c r="AT7" s="44"/>
      <c r="AU7" s="44"/>
    </row>
    <row r="8" ht="15.75" customHeight="1">
      <c r="A8" s="136" t="s">
        <v>23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22">
        <f t="shared" si="1"/>
        <v>0</v>
      </c>
      <c r="AS8" s="124" t="s">
        <v>83</v>
      </c>
      <c r="AT8" s="44"/>
      <c r="AU8" s="137"/>
    </row>
    <row r="9" ht="15.75" customHeight="1">
      <c r="A9" s="136" t="s">
        <v>24</v>
      </c>
      <c r="B9" s="132">
        <v>183067.39206652867</v>
      </c>
      <c r="C9" s="132">
        <v>183744.7236032588</v>
      </c>
      <c r="D9" s="132">
        <v>183219.69398745112</v>
      </c>
      <c r="E9" s="132">
        <v>184631.14589985332</v>
      </c>
      <c r="F9" s="132">
        <v>185075.65494608184</v>
      </c>
      <c r="G9" s="132">
        <v>185718.662425049</v>
      </c>
      <c r="H9" s="132">
        <v>184974.99540507823</v>
      </c>
      <c r="I9" s="132">
        <v>185374.51403237338</v>
      </c>
      <c r="J9" s="132">
        <v>185499.39757761263</v>
      </c>
      <c r="K9" s="132">
        <v>185560.1604017828</v>
      </c>
      <c r="L9" s="132">
        <v>186935.4466727177</v>
      </c>
      <c r="M9" s="132">
        <v>187109.74294296937</v>
      </c>
      <c r="N9" s="132">
        <v>187236.7953446546</v>
      </c>
      <c r="O9" s="132">
        <v>186519.49868052488</v>
      </c>
      <c r="P9" s="132">
        <v>186113.38085076993</v>
      </c>
      <c r="Q9" s="132">
        <v>190604.278508399</v>
      </c>
      <c r="R9" s="132">
        <v>191993.0225764536</v>
      </c>
      <c r="S9" s="132">
        <v>193408.00418649954</v>
      </c>
      <c r="T9" s="132">
        <v>193240.68438826362</v>
      </c>
      <c r="U9" s="132">
        <v>194330.3172295725</v>
      </c>
      <c r="V9" s="132">
        <v>194763.1329758983</v>
      </c>
      <c r="W9" s="132">
        <v>195167.542794929</v>
      </c>
      <c r="X9" s="132">
        <v>195131.64238585907</v>
      </c>
      <c r="Y9" s="132">
        <v>195251.23902635547</v>
      </c>
      <c r="Z9" s="132">
        <v>196421.79760179552</v>
      </c>
      <c r="AA9" s="132">
        <v>197205.9249216867</v>
      </c>
      <c r="AB9" s="132">
        <v>197501.81509138245</v>
      </c>
      <c r="AC9" s="132">
        <v>197716.3560760138</v>
      </c>
      <c r="AD9" s="132">
        <v>199183.62045139848</v>
      </c>
      <c r="AE9" s="132">
        <v>201052.44324813352</v>
      </c>
      <c r="AF9" s="132">
        <v>201382.46015776473</v>
      </c>
      <c r="AG9" s="132">
        <v>200509.32307497677</v>
      </c>
      <c r="AH9" s="132">
        <v>199202.83909738914</v>
      </c>
      <c r="AI9" s="132">
        <v>199275.69042015474</v>
      </c>
      <c r="AJ9" s="132">
        <v>199654.34722209565</v>
      </c>
      <c r="AK9" s="132">
        <v>200367.12796067575</v>
      </c>
      <c r="AL9" s="132">
        <v>201180.20012490902</v>
      </c>
      <c r="AM9" s="132">
        <v>196984.55903893517</v>
      </c>
      <c r="AN9" s="132">
        <v>197326.9771165414</v>
      </c>
      <c r="AO9" s="132">
        <v>197104.74738471743</v>
      </c>
      <c r="AP9" s="132">
        <v>198062.41319688817</v>
      </c>
      <c r="AQ9" s="132"/>
      <c r="AR9" s="122">
        <f t="shared" si="1"/>
        <v>14995.02113</v>
      </c>
      <c r="AS9" s="124">
        <f>AR9/B9</f>
        <v>0.08190984184</v>
      </c>
    </row>
    <row r="10" ht="15.75" customHeight="1">
      <c r="A10" s="136" t="s">
        <v>28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22">
        <f t="shared" si="1"/>
        <v>0</v>
      </c>
      <c r="AS10" s="124" t="s">
        <v>83</v>
      </c>
      <c r="AT10" s="44" t="s">
        <v>103</v>
      </c>
      <c r="AU10" s="4">
        <f>AS22</f>
        <v>1.105863071</v>
      </c>
    </row>
    <row r="11" ht="15.75" customHeight="1">
      <c r="A11" s="136" t="s">
        <v>36</v>
      </c>
      <c r="B11" s="132">
        <v>550760.2795172043</v>
      </c>
      <c r="C11" s="132">
        <v>549515.6755764692</v>
      </c>
      <c r="D11" s="132">
        <v>544935.2300373374</v>
      </c>
      <c r="E11" s="132">
        <v>542952.061927627</v>
      </c>
      <c r="F11" s="132">
        <v>539138.7933130445</v>
      </c>
      <c r="G11" s="132">
        <v>538332.9476921747</v>
      </c>
      <c r="H11" s="132">
        <v>536580.8479967545</v>
      </c>
      <c r="I11" s="132">
        <v>532424.8484453645</v>
      </c>
      <c r="J11" s="132">
        <v>532925.0571573093</v>
      </c>
      <c r="K11" s="132">
        <v>530426.2483074171</v>
      </c>
      <c r="L11" s="132">
        <v>527292.2380806708</v>
      </c>
      <c r="M11" s="132">
        <v>524414.9495620504</v>
      </c>
      <c r="N11" s="132">
        <v>521050.02285782096</v>
      </c>
      <c r="O11" s="132">
        <v>518802.73627880774</v>
      </c>
      <c r="P11" s="132">
        <v>517849.4834029727</v>
      </c>
      <c r="Q11" s="132">
        <v>518190.3986257898</v>
      </c>
      <c r="R11" s="132">
        <v>517570.1702864844</v>
      </c>
      <c r="S11" s="132">
        <v>516922.4843956466</v>
      </c>
      <c r="T11" s="132">
        <v>516449.99664565665</v>
      </c>
      <c r="U11" s="132">
        <v>515948.5470345407</v>
      </c>
      <c r="V11" s="132">
        <v>515921.89540067164</v>
      </c>
      <c r="W11" s="132">
        <v>516381.3642695502</v>
      </c>
      <c r="X11" s="132">
        <v>517434.75796555507</v>
      </c>
      <c r="Y11" s="132">
        <v>518078.1694100444</v>
      </c>
      <c r="Z11" s="132">
        <v>518225.06394047156</v>
      </c>
      <c r="AA11" s="132">
        <v>518942.7155057958</v>
      </c>
      <c r="AB11" s="132">
        <v>520146.80593610054</v>
      </c>
      <c r="AC11" s="132">
        <v>520959.24983355496</v>
      </c>
      <c r="AD11" s="132">
        <v>522847.7932221724</v>
      </c>
      <c r="AE11" s="132">
        <v>521223.6686768717</v>
      </c>
      <c r="AF11" s="132">
        <v>520107.637835141</v>
      </c>
      <c r="AG11" s="132">
        <v>519100.22707229224</v>
      </c>
      <c r="AH11" s="132">
        <v>517216.9695884513</v>
      </c>
      <c r="AI11" s="132">
        <v>516088.3886799561</v>
      </c>
      <c r="AJ11" s="132">
        <v>515903.0111407298</v>
      </c>
      <c r="AK11" s="132">
        <v>515142.01690148877</v>
      </c>
      <c r="AL11" s="132">
        <v>513740.4031527281</v>
      </c>
      <c r="AM11" s="132">
        <v>511836.12966946437</v>
      </c>
      <c r="AN11" s="132">
        <v>509495.5390120355</v>
      </c>
      <c r="AO11" s="132">
        <v>508261.09447707643</v>
      </c>
      <c r="AP11" s="132">
        <v>508392.8691708405</v>
      </c>
      <c r="AQ11" s="132"/>
      <c r="AR11" s="122">
        <f t="shared" si="1"/>
        <v>-42367.41035</v>
      </c>
      <c r="AS11" s="124">
        <f t="shared" ref="AS11:AS15" si="3">AR11/B11</f>
        <v>-0.07692531928</v>
      </c>
      <c r="AT11" s="44" t="s">
        <v>104</v>
      </c>
      <c r="AU11" s="4">
        <f>AP27/AU12</f>
        <v>0.5159335514</v>
      </c>
    </row>
    <row r="12" ht="15.75" customHeight="1">
      <c r="A12" s="114" t="s">
        <v>40</v>
      </c>
      <c r="B12" s="114">
        <v>5581438.358936305</v>
      </c>
      <c r="C12" s="114">
        <v>5571093.936577116</v>
      </c>
      <c r="D12" s="114">
        <v>5563828.448238995</v>
      </c>
      <c r="E12" s="114">
        <v>5510519.154212571</v>
      </c>
      <c r="F12" s="114">
        <v>5505572.454229341</v>
      </c>
      <c r="G12" s="114">
        <v>5478115.7280416405</v>
      </c>
      <c r="H12" s="114">
        <v>5434230.262824935</v>
      </c>
      <c r="I12" s="114">
        <v>5400014.206794684</v>
      </c>
      <c r="J12" s="114">
        <v>5384893.623701403</v>
      </c>
      <c r="K12" s="114">
        <v>5382103.66973781</v>
      </c>
      <c r="L12" s="114">
        <v>5354584.261886592</v>
      </c>
      <c r="M12" s="114">
        <v>5301909.5133292675</v>
      </c>
      <c r="N12" s="114">
        <v>5272915.515310511</v>
      </c>
      <c r="O12" s="114">
        <v>5228898.580392227</v>
      </c>
      <c r="P12" s="114">
        <v>5155282.04217577</v>
      </c>
      <c r="Q12" s="114">
        <v>5212871.261899244</v>
      </c>
      <c r="R12" s="114">
        <v>5234361.609076104</v>
      </c>
      <c r="S12" s="114">
        <v>5249700.27356301</v>
      </c>
      <c r="T12" s="114">
        <v>5241240.566004537</v>
      </c>
      <c r="U12" s="114">
        <v>5266877.6937315855</v>
      </c>
      <c r="V12" s="114">
        <v>5256760.960208092</v>
      </c>
      <c r="W12" s="114">
        <v>5229731.159929556</v>
      </c>
      <c r="X12" s="114">
        <v>5180059.837944042</v>
      </c>
      <c r="Y12" s="114">
        <v>5122870.300594054</v>
      </c>
      <c r="Z12" s="114">
        <v>5042151.829790382</v>
      </c>
      <c r="AA12" s="114">
        <v>5006374.293374845</v>
      </c>
      <c r="AB12" s="114">
        <v>5008829.223970534</v>
      </c>
      <c r="AC12" s="114">
        <v>5014009.329603192</v>
      </c>
      <c r="AD12" s="114">
        <v>5010146.315737006</v>
      </c>
      <c r="AE12" s="114">
        <v>5001554.685717483</v>
      </c>
      <c r="AF12" s="114">
        <v>4900034.064971318</v>
      </c>
      <c r="AG12" s="114">
        <v>4757078.043527975</v>
      </c>
      <c r="AH12" s="114">
        <v>4647157.359697686</v>
      </c>
      <c r="AI12" s="114">
        <v>4547876.8176521985</v>
      </c>
      <c r="AJ12" s="114">
        <v>4445130.160436568</v>
      </c>
      <c r="AK12" s="114">
        <v>4363846.705658019</v>
      </c>
      <c r="AL12" s="114">
        <v>4294284.914487136</v>
      </c>
      <c r="AM12" s="120">
        <v>4234199.78295222</v>
      </c>
      <c r="AN12" s="120">
        <v>4196036.994185316</v>
      </c>
      <c r="AO12" s="120">
        <v>4144452.1831521527</v>
      </c>
      <c r="AP12" s="120">
        <v>4140233.9869282385</v>
      </c>
      <c r="AQ12" s="22"/>
      <c r="AR12" s="122">
        <f t="shared" si="1"/>
        <v>-1441204.372</v>
      </c>
      <c r="AS12" s="124">
        <f t="shared" si="3"/>
        <v>-0.2582137935</v>
      </c>
      <c r="AT12" s="125" t="s">
        <v>105</v>
      </c>
      <c r="AU12" s="121">
        <v>4439128.65922234</v>
      </c>
    </row>
    <row r="13" ht="15.75" customHeight="1">
      <c r="A13" s="22" t="s">
        <v>41</v>
      </c>
      <c r="B13" s="132">
        <v>1251736.7582067845</v>
      </c>
      <c r="C13" s="132">
        <v>1243111.1584018609</v>
      </c>
      <c r="D13" s="132">
        <v>1219658.1026172386</v>
      </c>
      <c r="E13" s="132">
        <v>1199537.2326718285</v>
      </c>
      <c r="F13" s="132">
        <v>1187759.9018911074</v>
      </c>
      <c r="G13" s="132">
        <v>1174335.6572195305</v>
      </c>
      <c r="H13" s="132">
        <v>1160413.6786800765</v>
      </c>
      <c r="I13" s="132">
        <v>1153427.7089605338</v>
      </c>
      <c r="J13" s="132">
        <v>1149055.2820269323</v>
      </c>
      <c r="K13" s="132">
        <v>1148210.8614366578</v>
      </c>
      <c r="L13" s="132">
        <v>1138884.7658992296</v>
      </c>
      <c r="M13" s="132">
        <v>1105719.0343433002</v>
      </c>
      <c r="N13" s="132">
        <v>1088589.469600595</v>
      </c>
      <c r="O13" s="132">
        <v>1075498.6452855235</v>
      </c>
      <c r="P13" s="132">
        <v>1043368.292564788</v>
      </c>
      <c r="Q13" s="132">
        <v>1129417.9592875312</v>
      </c>
      <c r="R13" s="132">
        <v>1176296.3150521757</v>
      </c>
      <c r="S13" s="132">
        <v>1215799.443856714</v>
      </c>
      <c r="T13" s="132">
        <v>1250336.0265337175</v>
      </c>
      <c r="U13" s="132">
        <v>1287589.2858591303</v>
      </c>
      <c r="V13" s="132">
        <v>1306178.011488609</v>
      </c>
      <c r="W13" s="132">
        <v>1315971.402558432</v>
      </c>
      <c r="X13" s="132">
        <v>1312624.6127828031</v>
      </c>
      <c r="Y13" s="132">
        <v>1312645.434344042</v>
      </c>
      <c r="Z13" s="132">
        <v>1298290.4897210482</v>
      </c>
      <c r="AA13" s="132">
        <v>1296547.3078026404</v>
      </c>
      <c r="AB13" s="132">
        <v>1310509.000652732</v>
      </c>
      <c r="AC13" s="132">
        <v>1341702.2809281647</v>
      </c>
      <c r="AD13" s="132">
        <v>1372090.4671257215</v>
      </c>
      <c r="AE13" s="132">
        <v>1396122.96765183</v>
      </c>
      <c r="AF13" s="132">
        <v>1396587.0180647038</v>
      </c>
      <c r="AG13" s="132">
        <v>1358566.9252065993</v>
      </c>
      <c r="AH13" s="132">
        <v>1340913.305117411</v>
      </c>
      <c r="AI13" s="132">
        <v>1326785.849191284</v>
      </c>
      <c r="AJ13" s="132">
        <v>1309155.534212669</v>
      </c>
      <c r="AK13" s="132">
        <v>1300447.4091269744</v>
      </c>
      <c r="AL13" s="132">
        <v>1297407.4786757422</v>
      </c>
      <c r="AM13" s="132">
        <v>1303388.4714981602</v>
      </c>
      <c r="AN13" s="132">
        <v>1334370.1932133762</v>
      </c>
      <c r="AO13" s="132">
        <v>1340317.1303160223</v>
      </c>
      <c r="AP13" s="132">
        <v>1342475.3085950348</v>
      </c>
      <c r="AQ13" s="132"/>
      <c r="AR13" s="122">
        <f t="shared" si="1"/>
        <v>90738.55039</v>
      </c>
      <c r="AS13" s="124">
        <f t="shared" si="3"/>
        <v>0.07249012206</v>
      </c>
    </row>
    <row r="14" ht="15.75" customHeight="1">
      <c r="A14" s="22" t="s">
        <v>43</v>
      </c>
      <c r="B14" s="132">
        <v>26.97676235961913</v>
      </c>
      <c r="C14" s="132">
        <v>27.21133559570311</v>
      </c>
      <c r="D14" s="132">
        <v>26.976760943603498</v>
      </c>
      <c r="E14" s="132">
        <v>27.13314370727538</v>
      </c>
      <c r="F14" s="132">
        <v>27.21133559570311</v>
      </c>
      <c r="G14" s="132">
        <v>27.133144519042958</v>
      </c>
      <c r="H14" s="132">
        <v>26.89857006835936</v>
      </c>
      <c r="I14" s="132">
        <v>27.13314005737303</v>
      </c>
      <c r="J14" s="132">
        <v>27.21133761596678</v>
      </c>
      <c r="K14" s="132">
        <v>27.05495263061522</v>
      </c>
      <c r="L14" s="132">
        <v>27.05495263061522</v>
      </c>
      <c r="M14" s="132">
        <v>27.211336206054668</v>
      </c>
      <c r="N14" s="132">
        <v>27.2895268798828</v>
      </c>
      <c r="O14" s="132">
        <v>27.367717956542958</v>
      </c>
      <c r="P14" s="132">
        <v>27.367717956542958</v>
      </c>
      <c r="Q14" s="132">
        <v>28.462419165039037</v>
      </c>
      <c r="R14" s="132">
        <v>28.384221405029272</v>
      </c>
      <c r="S14" s="132">
        <v>28.384221405029272</v>
      </c>
      <c r="T14" s="132">
        <v>28.61880354614256</v>
      </c>
      <c r="U14" s="132">
        <v>28.540605786132794</v>
      </c>
      <c r="V14" s="132">
        <v>28.306022229003883</v>
      </c>
      <c r="W14" s="132">
        <v>28.227830139160133</v>
      </c>
      <c r="X14" s="132">
        <v>30.7300116882324</v>
      </c>
      <c r="Y14" s="132">
        <v>30.651813928222634</v>
      </c>
      <c r="Z14" s="132">
        <v>30.339042718505844</v>
      </c>
      <c r="AA14" s="132">
        <v>30.573619195556624</v>
      </c>
      <c r="AB14" s="132">
        <v>28.853376580810522</v>
      </c>
      <c r="AC14" s="132">
        <v>28.931563415527325</v>
      </c>
      <c r="AD14" s="132">
        <v>28.931563415527325</v>
      </c>
      <c r="AE14" s="132">
        <v>31.199293920898416</v>
      </c>
      <c r="AF14" s="132">
        <v>32.13762755737302</v>
      </c>
      <c r="AG14" s="132">
        <v>31.981220910644506</v>
      </c>
      <c r="AH14" s="132">
        <v>31.981220910644506</v>
      </c>
      <c r="AI14" s="132">
        <v>30.730049914550754</v>
      </c>
      <c r="AJ14" s="132">
        <v>30.730049914550754</v>
      </c>
      <c r="AK14" s="132">
        <v>29.244353839111312</v>
      </c>
      <c r="AL14" s="132">
        <v>31.355597790527312</v>
      </c>
      <c r="AM14" s="132">
        <v>31.668362512206997</v>
      </c>
      <c r="AN14" s="132">
        <v>30.495524676513654</v>
      </c>
      <c r="AO14" s="132">
        <v>29.63539182739255</v>
      </c>
      <c r="AP14" s="132">
        <v>30.495512329101537</v>
      </c>
      <c r="AQ14" s="132"/>
      <c r="AR14" s="122">
        <f t="shared" si="1"/>
        <v>3.518749969</v>
      </c>
      <c r="AS14" s="124">
        <f t="shared" si="3"/>
        <v>0.1304363334</v>
      </c>
    </row>
    <row r="15" ht="15.75" customHeight="1">
      <c r="A15" s="22" t="s">
        <v>45</v>
      </c>
      <c r="B15" s="132">
        <v>3937023.173016519</v>
      </c>
      <c r="C15" s="132">
        <v>3936084.5246285917</v>
      </c>
      <c r="D15" s="132">
        <v>3956320.0609724927</v>
      </c>
      <c r="E15" s="132">
        <v>3928282.980309539</v>
      </c>
      <c r="F15" s="132">
        <v>3937581.578924346</v>
      </c>
      <c r="G15" s="132">
        <v>3924266.456251155</v>
      </c>
      <c r="H15" s="132">
        <v>3894210.2368209185</v>
      </c>
      <c r="I15" s="132">
        <v>3865772.825682495</v>
      </c>
      <c r="J15" s="132">
        <v>3853524.583888435</v>
      </c>
      <c r="K15" s="132">
        <v>3853159.904736006</v>
      </c>
      <c r="L15" s="132">
        <v>3838217.4285880616</v>
      </c>
      <c r="M15" s="132">
        <v>3820361.265297219</v>
      </c>
      <c r="N15" s="132">
        <v>3808543.168040474</v>
      </c>
      <c r="O15" s="132">
        <v>3775846.459602179</v>
      </c>
      <c r="P15" s="132">
        <v>3732980.502207605</v>
      </c>
      <c r="Q15" s="132">
        <v>3703613.807610562</v>
      </c>
      <c r="R15" s="132">
        <v>3677143.5752902036</v>
      </c>
      <c r="S15" s="132">
        <v>3652228.743733771</v>
      </c>
      <c r="T15" s="132">
        <v>3608400.063737595</v>
      </c>
      <c r="U15" s="132">
        <v>3593942.2155952943</v>
      </c>
      <c r="V15" s="132">
        <v>3563279.5158394463</v>
      </c>
      <c r="W15" s="132">
        <v>3527051.299160821</v>
      </c>
      <c r="X15" s="132">
        <v>3481915.5008977023</v>
      </c>
      <c r="Y15" s="132">
        <v>3426844.0119861257</v>
      </c>
      <c r="Z15" s="132">
        <v>3362722.7056466085</v>
      </c>
      <c r="AA15" s="132">
        <v>3332410.9236435653</v>
      </c>
      <c r="AB15" s="132">
        <v>3323043.9734223285</v>
      </c>
      <c r="AC15" s="132">
        <v>3297785.038352406</v>
      </c>
      <c r="AD15" s="132">
        <v>3263917.4466137723</v>
      </c>
      <c r="AE15" s="132">
        <v>3231387.7906126906</v>
      </c>
      <c r="AF15" s="132">
        <v>3130554.9176356215</v>
      </c>
      <c r="AG15" s="132">
        <v>3027485.0592433945</v>
      </c>
      <c r="AH15" s="132">
        <v>2939204.052060746</v>
      </c>
      <c r="AI15" s="132">
        <v>2856693.630944701</v>
      </c>
      <c r="AJ15" s="132">
        <v>2774820.9393638987</v>
      </c>
      <c r="AK15" s="132">
        <v>2706763.55698653</v>
      </c>
      <c r="AL15" s="132">
        <v>2645152.242197183</v>
      </c>
      <c r="AM15" s="132">
        <v>2583206.815750109</v>
      </c>
      <c r="AN15" s="132">
        <v>2519769.5674739643</v>
      </c>
      <c r="AO15" s="132">
        <v>2463708.19544142</v>
      </c>
      <c r="AP15" s="132">
        <v>2458098.0329071092</v>
      </c>
      <c r="AQ15" s="132"/>
      <c r="AR15" s="122">
        <f t="shared" si="1"/>
        <v>-1478925.14</v>
      </c>
      <c r="AS15" s="124">
        <f t="shared" si="3"/>
        <v>-0.3756455258</v>
      </c>
    </row>
    <row r="16" ht="15.75" customHeight="1">
      <c r="A16" s="22" t="s">
        <v>58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22">
        <f t="shared" si="1"/>
        <v>0</v>
      </c>
      <c r="AS16" s="124" t="s">
        <v>83</v>
      </c>
    </row>
    <row r="17" ht="15.75" customHeight="1">
      <c r="A17" s="131" t="s">
        <v>69</v>
      </c>
      <c r="B17" s="132">
        <v>15167.455920056156</v>
      </c>
      <c r="C17" s="132">
        <v>15172.78187595216</v>
      </c>
      <c r="D17" s="132">
        <v>15155.788525317395</v>
      </c>
      <c r="E17" s="132">
        <v>15843.173487060554</v>
      </c>
      <c r="F17" s="132">
        <v>15907.79710797731</v>
      </c>
      <c r="G17" s="132">
        <v>15506.062120605478</v>
      </c>
      <c r="H17" s="132">
        <v>14515.036124310322</v>
      </c>
      <c r="I17" s="132">
        <v>14528.211079663091</v>
      </c>
      <c r="J17" s="132">
        <v>15650.400390954575</v>
      </c>
      <c r="K17" s="132">
        <v>15938.531732147214</v>
      </c>
      <c r="L17" s="132">
        <v>15832.12424407349</v>
      </c>
      <c r="M17" s="132">
        <v>16065.294382012955</v>
      </c>
      <c r="N17" s="132">
        <v>15759.573629980472</v>
      </c>
      <c r="O17" s="132">
        <v>15961.380413964842</v>
      </c>
      <c r="P17" s="132">
        <v>16199.706312750248</v>
      </c>
      <c r="Q17" s="132">
        <v>15834.117766558855</v>
      </c>
      <c r="R17" s="132">
        <v>15256.065983465602</v>
      </c>
      <c r="S17" s="132">
        <v>14964.605148278817</v>
      </c>
      <c r="T17" s="132">
        <v>14762.87439935915</v>
      </c>
      <c r="U17" s="132">
        <v>14556.769927825939</v>
      </c>
      <c r="V17" s="132">
        <v>14588.093169488533</v>
      </c>
      <c r="W17" s="132">
        <v>14672.401272711182</v>
      </c>
      <c r="X17" s="132">
        <v>14477.99959953613</v>
      </c>
      <c r="Y17" s="132">
        <v>13990.56068100586</v>
      </c>
      <c r="Z17" s="132">
        <v>13812.090758880604</v>
      </c>
      <c r="AA17" s="132">
        <v>13893.45915944823</v>
      </c>
      <c r="AB17" s="132">
        <v>13400.134724023437</v>
      </c>
      <c r="AC17" s="132">
        <v>12257.815715374754</v>
      </c>
      <c r="AD17" s="132">
        <v>10980.07660164184</v>
      </c>
      <c r="AE17" s="132">
        <v>10021.520145080573</v>
      </c>
      <c r="AF17" s="132">
        <v>9702.552465246594</v>
      </c>
      <c r="AG17" s="132">
        <v>10129.838685668941</v>
      </c>
      <c r="AH17" s="132">
        <v>10375.117295654285</v>
      </c>
      <c r="AI17" s="132">
        <v>10226.670172497556</v>
      </c>
      <c r="AJ17" s="132">
        <v>10132.474143914797</v>
      </c>
      <c r="AK17" s="132">
        <v>10122.865496844484</v>
      </c>
      <c r="AL17" s="132">
        <v>9964.525309576418</v>
      </c>
      <c r="AM17" s="132">
        <v>9483.416257183842</v>
      </c>
      <c r="AN17" s="132">
        <v>8997.684249340808</v>
      </c>
      <c r="AO17" s="132">
        <v>8697.067941729742</v>
      </c>
      <c r="AP17" s="132">
        <v>8047.6649808960055</v>
      </c>
      <c r="AQ17" s="132"/>
      <c r="AR17" s="122">
        <f t="shared" si="1"/>
        <v>-7119.790939</v>
      </c>
      <c r="AS17" s="124">
        <f t="shared" ref="AS17:AS28" si="4">AR17/B17</f>
        <v>-0.4694123376</v>
      </c>
    </row>
    <row r="18" ht="15.75" customHeight="1">
      <c r="A18" s="22" t="s">
        <v>82</v>
      </c>
      <c r="B18" s="132">
        <v>79949.44938001082</v>
      </c>
      <c r="C18" s="132">
        <v>79905.119307202</v>
      </c>
      <c r="D18" s="132">
        <v>79893.77177515856</v>
      </c>
      <c r="E18" s="132">
        <v>79603.63725657944</v>
      </c>
      <c r="F18" s="132">
        <v>79499.75206563709</v>
      </c>
      <c r="G18" s="132">
        <v>79526.29868920275</v>
      </c>
      <c r="H18" s="132">
        <v>79547.7912545104</v>
      </c>
      <c r="I18" s="132">
        <v>79421.76527628776</v>
      </c>
      <c r="J18" s="132">
        <v>79563.73492284534</v>
      </c>
      <c r="K18" s="132">
        <v>79711.22643594959</v>
      </c>
      <c r="L18" s="132">
        <v>79984.31642104484</v>
      </c>
      <c r="M18" s="132">
        <v>80071.97112336414</v>
      </c>
      <c r="N18" s="132">
        <v>79819.12466122422</v>
      </c>
      <c r="O18" s="132">
        <v>79582.99791164542</v>
      </c>
      <c r="P18" s="132">
        <v>79323.75624603262</v>
      </c>
      <c r="Q18" s="132">
        <v>79224.89258336171</v>
      </c>
      <c r="R18" s="132">
        <v>79238.42109769279</v>
      </c>
      <c r="S18" s="132">
        <v>79764.94212171003</v>
      </c>
      <c r="T18" s="132">
        <v>79818.15997883899</v>
      </c>
      <c r="U18" s="132">
        <v>79854.30716567986</v>
      </c>
      <c r="V18" s="132">
        <v>79961.54606676017</v>
      </c>
      <c r="W18" s="132">
        <v>80149.08401952495</v>
      </c>
      <c r="X18" s="132">
        <v>80107.99950769026</v>
      </c>
      <c r="Y18" s="132">
        <v>79944.79852293679</v>
      </c>
      <c r="Z18" s="132">
        <v>79787.70024860822</v>
      </c>
      <c r="AA18" s="132">
        <v>79648.23608083485</v>
      </c>
      <c r="AB18" s="132">
        <v>79310.16196975078</v>
      </c>
      <c r="AC18" s="132">
        <v>79177.75657985218</v>
      </c>
      <c r="AD18" s="132">
        <v>78890.83916353752</v>
      </c>
      <c r="AE18" s="132">
        <v>78903.48406306749</v>
      </c>
      <c r="AF18" s="132">
        <v>78843.31584479357</v>
      </c>
      <c r="AG18" s="132">
        <v>78601.25094909662</v>
      </c>
      <c r="AH18" s="132">
        <v>78487.83162337034</v>
      </c>
      <c r="AI18" s="132">
        <v>78530.87221533195</v>
      </c>
      <c r="AJ18" s="132">
        <v>78546.23391445918</v>
      </c>
      <c r="AK18" s="132">
        <v>78397.52779743646</v>
      </c>
      <c r="AL18" s="132">
        <v>78045.64754954222</v>
      </c>
      <c r="AM18" s="132">
        <v>77753.21659841915</v>
      </c>
      <c r="AN18" s="132">
        <v>77635.50599458002</v>
      </c>
      <c r="AO18" s="132">
        <v>77468.04023355716</v>
      </c>
      <c r="AP18" s="132">
        <v>77443.43392560417</v>
      </c>
      <c r="AQ18" s="132"/>
      <c r="AR18" s="122">
        <f t="shared" si="1"/>
        <v>-2506.015454</v>
      </c>
      <c r="AS18" s="124">
        <f t="shared" si="4"/>
        <v>-0.03134499954</v>
      </c>
    </row>
    <row r="19" ht="15.75" customHeight="1">
      <c r="A19" s="22" t="s">
        <v>84</v>
      </c>
      <c r="B19" s="132">
        <v>297534.5456505756</v>
      </c>
      <c r="C19" s="132">
        <v>296793.1410279132</v>
      </c>
      <c r="D19" s="132">
        <v>292773.7475878437</v>
      </c>
      <c r="E19" s="132">
        <v>287224.9973438559</v>
      </c>
      <c r="F19" s="132">
        <v>284796.2129046781</v>
      </c>
      <c r="G19" s="132">
        <v>284454.1206166279</v>
      </c>
      <c r="H19" s="132">
        <v>285516.62137505156</v>
      </c>
      <c r="I19" s="132">
        <v>286836.56265564763</v>
      </c>
      <c r="J19" s="132">
        <v>287072.4111346205</v>
      </c>
      <c r="K19" s="132">
        <v>285056.0904444172</v>
      </c>
      <c r="L19" s="132">
        <v>281638.5717815528</v>
      </c>
      <c r="M19" s="132">
        <v>279664.7368471646</v>
      </c>
      <c r="N19" s="132">
        <v>280176.88985135756</v>
      </c>
      <c r="O19" s="132">
        <v>281981.7294609585</v>
      </c>
      <c r="P19" s="132">
        <v>283382.417126638</v>
      </c>
      <c r="Q19" s="132">
        <v>284752.02223206515</v>
      </c>
      <c r="R19" s="132">
        <v>286398.8474311614</v>
      </c>
      <c r="S19" s="132">
        <v>286914.15448113065</v>
      </c>
      <c r="T19" s="132">
        <v>287894.82255148084</v>
      </c>
      <c r="U19" s="132">
        <v>290906.5745778697</v>
      </c>
      <c r="V19" s="132">
        <v>292725.4876215593</v>
      </c>
      <c r="W19" s="132">
        <v>291858.74508792727</v>
      </c>
      <c r="X19" s="132">
        <v>290902.99514462287</v>
      </c>
      <c r="Y19" s="132">
        <v>289414.84324601496</v>
      </c>
      <c r="Z19" s="132">
        <v>287508.5043725173</v>
      </c>
      <c r="AA19" s="132">
        <v>283843.7930691612</v>
      </c>
      <c r="AB19" s="132">
        <v>282537.0998251179</v>
      </c>
      <c r="AC19" s="132">
        <v>283057.5064639792</v>
      </c>
      <c r="AD19" s="132">
        <v>284238.55466891703</v>
      </c>
      <c r="AE19" s="132">
        <v>285087.7239508926</v>
      </c>
      <c r="AF19" s="132">
        <v>284314.1233333944</v>
      </c>
      <c r="AG19" s="132">
        <v>282262.9882223046</v>
      </c>
      <c r="AH19" s="132">
        <v>278145.0723795929</v>
      </c>
      <c r="AI19" s="132">
        <v>275609.06507847</v>
      </c>
      <c r="AJ19" s="132">
        <v>272444.24875171226</v>
      </c>
      <c r="AK19" s="132">
        <v>268086.1018963943</v>
      </c>
      <c r="AL19" s="132">
        <v>263683.66515730147</v>
      </c>
      <c r="AM19" s="132">
        <v>260336.19448583576</v>
      </c>
      <c r="AN19" s="132">
        <v>255233.54772937848</v>
      </c>
      <c r="AO19" s="132">
        <v>254232.11382759607</v>
      </c>
      <c r="AP19" s="132">
        <v>254139.05100726557</v>
      </c>
      <c r="AQ19" s="132"/>
      <c r="AR19" s="122">
        <f t="shared" si="1"/>
        <v>-43395.49464</v>
      </c>
      <c r="AS19" s="124">
        <f t="shared" si="4"/>
        <v>-0.1458502728</v>
      </c>
    </row>
    <row r="20" ht="15.75" customHeight="1">
      <c r="A20" s="120" t="s">
        <v>47</v>
      </c>
      <c r="B20" s="114">
        <v>6.5621977943758875E7</v>
      </c>
      <c r="C20" s="114">
        <v>6.5566719401665375E7</v>
      </c>
      <c r="D20" s="114">
        <v>6.601651984320482E7</v>
      </c>
      <c r="E20" s="114">
        <v>6.651569798508914E7</v>
      </c>
      <c r="F20" s="114">
        <v>6.685032767644556E7</v>
      </c>
      <c r="G20" s="114">
        <v>6.706109541948299E7</v>
      </c>
      <c r="H20" s="114">
        <v>6.729056087761489E7</v>
      </c>
      <c r="I20" s="114">
        <v>6.745303831615998E7</v>
      </c>
      <c r="J20" s="114">
        <v>6.761171596333845E7</v>
      </c>
      <c r="K20" s="114">
        <v>6.771397176345186E7</v>
      </c>
      <c r="L20" s="114">
        <v>6.785367374047773E7</v>
      </c>
      <c r="M20" s="114">
        <v>6.802324939697726E7</v>
      </c>
      <c r="N20" s="114">
        <v>6.815433960758157E7</v>
      </c>
      <c r="O20" s="114">
        <v>6.834172497362077E7</v>
      </c>
      <c r="P20" s="114">
        <v>6.84339155321788E7</v>
      </c>
      <c r="Q20" s="114">
        <v>6.852842848725367E7</v>
      </c>
      <c r="R20" s="114">
        <v>6.846791135481605E7</v>
      </c>
      <c r="S20" s="114">
        <v>6.836647057737388E7</v>
      </c>
      <c r="T20" s="114">
        <v>6.83373432480606E7</v>
      </c>
      <c r="U20" s="114">
        <v>6.83055854943842E7</v>
      </c>
      <c r="V20" s="114">
        <v>6.827470830303437E7</v>
      </c>
      <c r="W20" s="114">
        <v>6.826202096211675E7</v>
      </c>
      <c r="X20" s="114">
        <v>6.820200905085978E7</v>
      </c>
      <c r="Y20" s="114">
        <v>6.820681689543578E7</v>
      </c>
      <c r="Z20" s="114">
        <v>6.822502940837584E7</v>
      </c>
      <c r="AA20" s="114">
        <v>6.818689597553393E7</v>
      </c>
      <c r="AB20" s="114">
        <v>6.81063278987501E7</v>
      </c>
      <c r="AC20" s="114">
        <v>6.804513147316618E7</v>
      </c>
      <c r="AD20" s="114">
        <v>6.798809758087213E7</v>
      </c>
      <c r="AE20" s="114">
        <v>6.797724358614302E7</v>
      </c>
      <c r="AF20" s="114">
        <v>6.80231284229865E7</v>
      </c>
      <c r="AG20" s="114">
        <v>6.807040690009607E7</v>
      </c>
      <c r="AH20" s="114">
        <v>6.819309406615388E7</v>
      </c>
      <c r="AI20" s="114">
        <v>6.830241652711557E7</v>
      </c>
      <c r="AJ20" s="114">
        <v>6.845485014350104E7</v>
      </c>
      <c r="AK20" s="114">
        <v>6.859024960431552E7</v>
      </c>
      <c r="AL20" s="114">
        <v>6.880121163047689E7</v>
      </c>
      <c r="AM20" s="120">
        <v>6.884998590452653E7</v>
      </c>
      <c r="AN20" s="120">
        <v>6.891119312093548E7</v>
      </c>
      <c r="AO20" s="120">
        <v>6.897282979238644E7</v>
      </c>
      <c r="AP20" s="120">
        <v>6.890456771670507E7</v>
      </c>
      <c r="AQ20" s="22"/>
      <c r="AR20" s="122">
        <f t="shared" si="1"/>
        <v>3282589.773</v>
      </c>
      <c r="AS20" s="124">
        <f t="shared" si="4"/>
        <v>0.05002271915</v>
      </c>
      <c r="AT20" s="125"/>
    </row>
    <row r="21" ht="15.75" customHeight="1">
      <c r="A21" s="131" t="s">
        <v>56</v>
      </c>
      <c r="B21" s="132">
        <v>4.459644193806562E7</v>
      </c>
      <c r="C21" s="132">
        <v>4.5561765515285775E7</v>
      </c>
      <c r="D21" s="132">
        <v>4.604876639262985E7</v>
      </c>
      <c r="E21" s="132">
        <v>4.6200197301657505E7</v>
      </c>
      <c r="F21" s="132">
        <v>4.600118450777933E7</v>
      </c>
      <c r="G21" s="132">
        <v>4.5770125931170925E7</v>
      </c>
      <c r="H21" s="132">
        <v>4.547371053894293E7</v>
      </c>
      <c r="I21" s="132">
        <v>4.541114665750747E7</v>
      </c>
      <c r="J21" s="132">
        <v>4.530689056778697E7</v>
      </c>
      <c r="K21" s="132">
        <v>4.524948606030585E7</v>
      </c>
      <c r="L21" s="132">
        <v>4.509586714050001E7</v>
      </c>
      <c r="M21" s="132">
        <v>4.499428824425542E7</v>
      </c>
      <c r="N21" s="132">
        <v>4.488567157901123E7</v>
      </c>
      <c r="O21" s="132">
        <v>4.477618595601219E7</v>
      </c>
      <c r="P21" s="132">
        <v>4.465624529127984E7</v>
      </c>
      <c r="Q21" s="132">
        <v>4.443905499084148E7</v>
      </c>
      <c r="R21" s="132">
        <v>4.4052905399491444E7</v>
      </c>
      <c r="S21" s="132">
        <v>4.363685506115001E7</v>
      </c>
      <c r="T21" s="132">
        <v>4.317716932193782E7</v>
      </c>
      <c r="U21" s="132">
        <v>4.262249078968238E7</v>
      </c>
      <c r="V21" s="132">
        <v>4.197001459515669E7</v>
      </c>
      <c r="W21" s="132">
        <v>4.117310543182765E7</v>
      </c>
      <c r="X21" s="132">
        <v>4.028098138745093E7</v>
      </c>
      <c r="Y21" s="132">
        <v>3.9429488582205385E7</v>
      </c>
      <c r="Z21" s="132">
        <v>3.881328450354194E7</v>
      </c>
      <c r="AA21" s="132">
        <v>3.8198237287739426E7</v>
      </c>
      <c r="AB21" s="132">
        <v>3.7644161270657636E7</v>
      </c>
      <c r="AC21" s="132">
        <v>3.7079115019671775E7</v>
      </c>
      <c r="AD21" s="132">
        <v>3.647574762188481E7</v>
      </c>
      <c r="AE21" s="132">
        <v>3.609113893835988E7</v>
      </c>
      <c r="AF21" s="132">
        <v>3.592674291331242E7</v>
      </c>
      <c r="AG21" s="132">
        <v>3.577614024563004E7</v>
      </c>
      <c r="AH21" s="132">
        <v>3.5557694181046754E7</v>
      </c>
      <c r="AI21" s="132">
        <v>3.53641970049274E7</v>
      </c>
      <c r="AJ21" s="132">
        <v>3.518995997855036E7</v>
      </c>
      <c r="AK21" s="132">
        <v>3.49291314674814E7</v>
      </c>
      <c r="AL21" s="132">
        <v>3.465880561265271E7</v>
      </c>
      <c r="AM21" s="132">
        <v>3.4549179040745005E7</v>
      </c>
      <c r="AN21" s="132">
        <v>3.4475331305015E7</v>
      </c>
      <c r="AO21" s="132">
        <v>3.412188919886577E7</v>
      </c>
      <c r="AP21" s="132">
        <v>3.365825205776818E7</v>
      </c>
      <c r="AQ21" s="132"/>
      <c r="AR21" s="122">
        <f t="shared" si="1"/>
        <v>-10938189.88</v>
      </c>
      <c r="AS21" s="124">
        <f t="shared" si="4"/>
        <v>-0.2452704612</v>
      </c>
      <c r="AT21" s="44"/>
      <c r="AU21" s="2"/>
    </row>
    <row r="22" ht="15.75" customHeight="1">
      <c r="A22" s="22" t="s">
        <v>54</v>
      </c>
      <c r="B22" s="132">
        <v>9717304.662518611</v>
      </c>
      <c r="C22" s="132">
        <v>9992431.667667795</v>
      </c>
      <c r="D22" s="132">
        <v>1.0560771790715013E7</v>
      </c>
      <c r="E22" s="132">
        <v>1.116824669658753E7</v>
      </c>
      <c r="F22" s="132">
        <v>1.1771231743612E7</v>
      </c>
      <c r="G22" s="132">
        <v>1.2507316260161437E7</v>
      </c>
      <c r="H22" s="132">
        <v>1.326499048743927E7</v>
      </c>
      <c r="I22" s="132">
        <v>1.359006807329052E7</v>
      </c>
      <c r="J22" s="132">
        <v>1.3977282441938842E7</v>
      </c>
      <c r="K22" s="132">
        <v>1.413324910156367E7</v>
      </c>
      <c r="L22" s="132">
        <v>1.4304187186428789E7</v>
      </c>
      <c r="M22" s="132">
        <v>1.4463203091857698E7</v>
      </c>
      <c r="N22" s="132">
        <v>1.4527159686918214E7</v>
      </c>
      <c r="O22" s="132">
        <v>1.4563293972268278E7</v>
      </c>
      <c r="P22" s="132">
        <v>1.4726267549909675E7</v>
      </c>
      <c r="Q22" s="132">
        <v>1.4947898739106925E7</v>
      </c>
      <c r="R22" s="132">
        <v>1.519872006563336E7</v>
      </c>
      <c r="S22" s="132">
        <v>1.527552604062774E7</v>
      </c>
      <c r="T22" s="132">
        <v>1.5001251726701293E7</v>
      </c>
      <c r="U22" s="132">
        <v>1.5115151290168287E7</v>
      </c>
      <c r="V22" s="132">
        <v>1.5420416476973105E7</v>
      </c>
      <c r="W22" s="132">
        <v>1.6043117680414248E7</v>
      </c>
      <c r="X22" s="132">
        <v>1.6667689905209862E7</v>
      </c>
      <c r="Y22" s="132">
        <v>1.7259302942553643E7</v>
      </c>
      <c r="Z22" s="132">
        <v>1.770455996709182E7</v>
      </c>
      <c r="AA22" s="132">
        <v>1.7963291667955123E7</v>
      </c>
      <c r="AB22" s="132">
        <v>1.814872545504194E7</v>
      </c>
      <c r="AC22" s="132">
        <v>1.826128286413374E7</v>
      </c>
      <c r="AD22" s="132">
        <v>1.8677979707496937E7</v>
      </c>
      <c r="AE22" s="132">
        <v>1.9083436818048757E7</v>
      </c>
      <c r="AF22" s="132">
        <v>1.929644713712174E7</v>
      </c>
      <c r="AG22" s="132">
        <v>1.948228417702313E7</v>
      </c>
      <c r="AH22" s="132">
        <v>1.9667986028387513E7</v>
      </c>
      <c r="AI22" s="132">
        <v>1.9639805150644448E7</v>
      </c>
      <c r="AJ22" s="132">
        <v>1.9719144284598365E7</v>
      </c>
      <c r="AK22" s="132">
        <v>1.9827140507202175E7</v>
      </c>
      <c r="AL22" s="132">
        <v>1.986310641966693E7</v>
      </c>
      <c r="AM22" s="132">
        <v>1.994728728611261E7</v>
      </c>
      <c r="AN22" s="132">
        <v>1.995679813170577E7</v>
      </c>
      <c r="AO22" s="132">
        <v>2.0168395590711437E7</v>
      </c>
      <c r="AP22" s="132">
        <v>2.046331303543315E7</v>
      </c>
      <c r="AQ22" s="132"/>
      <c r="AR22" s="122">
        <f t="shared" si="1"/>
        <v>10746008.37</v>
      </c>
      <c r="AS22" s="124">
        <f t="shared" si="4"/>
        <v>1.105863071</v>
      </c>
    </row>
    <row r="23" ht="15.75" customHeight="1">
      <c r="A23" s="22" t="s">
        <v>57</v>
      </c>
      <c r="B23" s="132">
        <v>1161200.9448601785</v>
      </c>
      <c r="C23" s="132">
        <v>1335019.919607129</v>
      </c>
      <c r="D23" s="132">
        <v>1448407.3551708714</v>
      </c>
      <c r="E23" s="132">
        <v>1585634.4592842667</v>
      </c>
      <c r="F23" s="132">
        <v>1645040.2200611942</v>
      </c>
      <c r="G23" s="132">
        <v>1668668.8470360304</v>
      </c>
      <c r="H23" s="132">
        <v>1745534.1978058983</v>
      </c>
      <c r="I23" s="132">
        <v>1814096.6331153326</v>
      </c>
      <c r="J23" s="132">
        <v>1881735.5108826945</v>
      </c>
      <c r="K23" s="132">
        <v>1956742.6312745789</v>
      </c>
      <c r="L23" s="132">
        <v>1994842.4214153</v>
      </c>
      <c r="M23" s="132">
        <v>2025268.5249760533</v>
      </c>
      <c r="N23" s="132">
        <v>2097799.2198875393</v>
      </c>
      <c r="O23" s="132">
        <v>2134573.8822850664</v>
      </c>
      <c r="P23" s="132">
        <v>2180285.55020322</v>
      </c>
      <c r="Q23" s="132">
        <v>2233112.0785475927</v>
      </c>
      <c r="R23" s="132">
        <v>2265794.7028582883</v>
      </c>
      <c r="S23" s="132">
        <v>2317124.556172319</v>
      </c>
      <c r="T23" s="132">
        <v>2394482.42106835</v>
      </c>
      <c r="U23" s="132">
        <v>2514363.524517284</v>
      </c>
      <c r="V23" s="132">
        <v>2661939.2805062532</v>
      </c>
      <c r="W23" s="132">
        <v>2808486.982819935</v>
      </c>
      <c r="X23" s="132">
        <v>2977236.9776462903</v>
      </c>
      <c r="Y23" s="132">
        <v>3176270.34495504</v>
      </c>
      <c r="Z23" s="132">
        <v>3424461.1190412855</v>
      </c>
      <c r="AA23" s="132">
        <v>3654912.2123832726</v>
      </c>
      <c r="AB23" s="132">
        <v>3856757.9798713597</v>
      </c>
      <c r="AC23" s="132">
        <v>4067762.8982810588</v>
      </c>
      <c r="AD23" s="132">
        <v>4313201.128419955</v>
      </c>
      <c r="AE23" s="132">
        <v>4445370.898157858</v>
      </c>
      <c r="AF23" s="132">
        <v>4541384.846001886</v>
      </c>
      <c r="AG23" s="132">
        <v>4593683.702737814</v>
      </c>
      <c r="AH23" s="132">
        <v>4650092.130551241</v>
      </c>
      <c r="AI23" s="132">
        <v>4721958.3772557145</v>
      </c>
      <c r="AJ23" s="132">
        <v>4803888.809790609</v>
      </c>
      <c r="AK23" s="132">
        <v>4878264.448931949</v>
      </c>
      <c r="AL23" s="132">
        <v>4952827.878602081</v>
      </c>
      <c r="AM23" s="132">
        <v>4990412.272654477</v>
      </c>
      <c r="AN23" s="132">
        <v>4971444.824498991</v>
      </c>
      <c r="AO23" s="132">
        <v>4936344.171380117</v>
      </c>
      <c r="AP23" s="132">
        <v>4922329.181445938</v>
      </c>
      <c r="AQ23" s="132"/>
      <c r="AR23" s="122">
        <f t="shared" si="1"/>
        <v>3761128.237</v>
      </c>
      <c r="AS23" s="124">
        <f t="shared" si="4"/>
        <v>3.238998602</v>
      </c>
      <c r="AT23" s="44"/>
    </row>
    <row r="24" ht="15.75" customHeight="1">
      <c r="A24" s="131" t="s">
        <v>55</v>
      </c>
      <c r="B24" s="132">
        <v>1.0147030398314469E7</v>
      </c>
      <c r="C24" s="132">
        <v>8677502.29910468</v>
      </c>
      <c r="D24" s="132">
        <v>7958574.304689094</v>
      </c>
      <c r="E24" s="132">
        <v>7561619.527559831</v>
      </c>
      <c r="F24" s="132">
        <v>7432871.2049930375</v>
      </c>
      <c r="G24" s="132">
        <v>7114984.381114591</v>
      </c>
      <c r="H24" s="132">
        <v>6806325.65342679</v>
      </c>
      <c r="I24" s="132">
        <v>6637726.952246649</v>
      </c>
      <c r="J24" s="132">
        <v>6445807.442729937</v>
      </c>
      <c r="K24" s="132">
        <v>6374493.970307766</v>
      </c>
      <c r="L24" s="132">
        <v>6458776.992133631</v>
      </c>
      <c r="M24" s="132">
        <v>6540489.535888089</v>
      </c>
      <c r="N24" s="132">
        <v>6643709.1217645835</v>
      </c>
      <c r="O24" s="132">
        <v>6867671.163055247</v>
      </c>
      <c r="P24" s="132">
        <v>6871117.140786074</v>
      </c>
      <c r="Q24" s="132">
        <v>6908362.678757676</v>
      </c>
      <c r="R24" s="132">
        <v>6950491.186832956</v>
      </c>
      <c r="S24" s="132">
        <v>7136964.91942381</v>
      </c>
      <c r="T24" s="132">
        <v>7764439.778353136</v>
      </c>
      <c r="U24" s="132">
        <v>8053579.890016258</v>
      </c>
      <c r="V24" s="132">
        <v>8222337.95039831</v>
      </c>
      <c r="W24" s="132">
        <v>8237310.867054919</v>
      </c>
      <c r="X24" s="132">
        <v>8276100.780552698</v>
      </c>
      <c r="Y24" s="132">
        <v>8341755.025721708</v>
      </c>
      <c r="Z24" s="132">
        <v>8282723.818700798</v>
      </c>
      <c r="AA24" s="132">
        <v>8370454.807456114</v>
      </c>
      <c r="AB24" s="132">
        <v>8456683.193179168</v>
      </c>
      <c r="AC24" s="132">
        <v>8636970.691079605</v>
      </c>
      <c r="AD24" s="132">
        <v>8521169.123070428</v>
      </c>
      <c r="AE24" s="132">
        <v>8357296.931576521</v>
      </c>
      <c r="AF24" s="132">
        <v>8258553.526550462</v>
      </c>
      <c r="AG24" s="132">
        <v>8218298.77470509</v>
      </c>
      <c r="AH24" s="132">
        <v>8317321.726168369</v>
      </c>
      <c r="AI24" s="132">
        <v>8576455.99428801</v>
      </c>
      <c r="AJ24" s="132">
        <v>8741857.070561714</v>
      </c>
      <c r="AK24" s="132">
        <v>8955713.1807</v>
      </c>
      <c r="AL24" s="132">
        <v>9326471.719555162</v>
      </c>
      <c r="AM24" s="132">
        <v>9363107.305014454</v>
      </c>
      <c r="AN24" s="132">
        <v>9507618.85971573</v>
      </c>
      <c r="AO24" s="132">
        <v>9746200.831429116</v>
      </c>
      <c r="AP24" s="132">
        <v>9860673.442057801</v>
      </c>
      <c r="AQ24" s="132"/>
      <c r="AR24" s="122">
        <f t="shared" si="1"/>
        <v>-286356.9563</v>
      </c>
      <c r="AS24" s="124">
        <f t="shared" si="4"/>
        <v>-0.0282207646</v>
      </c>
    </row>
    <row r="25" ht="15.75" customHeight="1">
      <c r="A25" s="120" t="s">
        <v>49</v>
      </c>
      <c r="B25" s="114">
        <v>1194392.7136269682</v>
      </c>
      <c r="C25" s="114">
        <v>1228989.5207908845</v>
      </c>
      <c r="D25" s="114">
        <v>1242301.4665715822</v>
      </c>
      <c r="E25" s="114">
        <v>1265980.072168603</v>
      </c>
      <c r="F25" s="114">
        <v>1295887.520967297</v>
      </c>
      <c r="G25" s="114">
        <v>1329984.8276301546</v>
      </c>
      <c r="H25" s="114">
        <v>1363589.4531524705</v>
      </c>
      <c r="I25" s="114">
        <v>1399302.6900480487</v>
      </c>
      <c r="J25" s="114">
        <v>1435082.4345535645</v>
      </c>
      <c r="K25" s="114">
        <v>1471035.345256094</v>
      </c>
      <c r="L25" s="114">
        <v>1508647.5467442197</v>
      </c>
      <c r="M25" s="114">
        <v>1541432.039304083</v>
      </c>
      <c r="N25" s="114">
        <v>1573926.4076941311</v>
      </c>
      <c r="O25" s="114">
        <v>1609462.563945186</v>
      </c>
      <c r="P25" s="114">
        <v>1660814.9848630137</v>
      </c>
      <c r="Q25" s="114">
        <v>1711037.5582816638</v>
      </c>
      <c r="R25" s="114">
        <v>1757037.4177352176</v>
      </c>
      <c r="S25" s="114">
        <v>1791181.3523423164</v>
      </c>
      <c r="T25" s="114">
        <v>1822054.4815874007</v>
      </c>
      <c r="U25" s="114">
        <v>1845377.1707861735</v>
      </c>
      <c r="V25" s="114">
        <v>1868092.3091775868</v>
      </c>
      <c r="W25" s="114">
        <v>1892634.2154601475</v>
      </c>
      <c r="X25" s="114">
        <v>1919771.3221296142</v>
      </c>
      <c r="Y25" s="114">
        <v>1950044.6117686115</v>
      </c>
      <c r="Z25" s="114">
        <v>1979421.2348360457</v>
      </c>
      <c r="AA25" s="114">
        <v>2013317.9184149895</v>
      </c>
      <c r="AB25" s="114">
        <v>2048947.338469059</v>
      </c>
      <c r="AC25" s="114">
        <v>2089160.9542823825</v>
      </c>
      <c r="AD25" s="114">
        <v>2132222.6733529973</v>
      </c>
      <c r="AE25" s="114">
        <v>2175558.1586658712</v>
      </c>
      <c r="AF25" s="114">
        <v>2211948.3523323457</v>
      </c>
      <c r="AG25" s="114">
        <v>2240780.2532113204</v>
      </c>
      <c r="AH25" s="114">
        <v>2267186.096242263</v>
      </c>
      <c r="AI25" s="114">
        <v>2292682.7488675113</v>
      </c>
      <c r="AJ25" s="114">
        <v>2316941.4809364043</v>
      </c>
      <c r="AK25" s="114">
        <v>2344736.0998780015</v>
      </c>
      <c r="AL25" s="114">
        <v>2375772.185663494</v>
      </c>
      <c r="AM25" s="120">
        <v>2410133.025113477</v>
      </c>
      <c r="AN25" s="120">
        <v>2448217.166274979</v>
      </c>
      <c r="AO25" s="120">
        <v>2497561.7404156676</v>
      </c>
      <c r="AP25" s="120">
        <v>2540153.155862663</v>
      </c>
      <c r="AQ25" s="22"/>
      <c r="AR25" s="122">
        <f t="shared" si="1"/>
        <v>1345760.442</v>
      </c>
      <c r="AS25" s="124">
        <f t="shared" si="4"/>
        <v>1.126731959</v>
      </c>
      <c r="AT25" s="125"/>
    </row>
    <row r="26" ht="15.75" customHeight="1">
      <c r="A26" s="131" t="s">
        <v>88</v>
      </c>
      <c r="B26" s="132">
        <v>70294.71217275316</v>
      </c>
      <c r="C26" s="132">
        <v>70012.9264871757</v>
      </c>
      <c r="D26" s="132">
        <v>72266.84043378856</v>
      </c>
      <c r="E26" s="132">
        <v>72395.58662572564</v>
      </c>
      <c r="F26" s="132">
        <v>72104.95700509565</v>
      </c>
      <c r="G26" s="132">
        <v>72666.86211873684</v>
      </c>
      <c r="H26" s="132">
        <v>71596.21425052403</v>
      </c>
      <c r="I26" s="132">
        <v>69268.28395791537</v>
      </c>
      <c r="J26" s="132">
        <v>68410.52693810343</v>
      </c>
      <c r="K26" s="132">
        <v>70120.14926663738</v>
      </c>
      <c r="L26" s="132">
        <v>72135.47775642635</v>
      </c>
      <c r="M26" s="132">
        <v>72974.00636169953</v>
      </c>
      <c r="N26" s="132">
        <v>69868.80182121492</v>
      </c>
      <c r="O26" s="132">
        <v>67396.32626210275</v>
      </c>
      <c r="P26" s="132">
        <v>67604.08160079294</v>
      </c>
      <c r="Q26" s="132">
        <v>68219.4525410273</v>
      </c>
      <c r="R26" s="132">
        <v>68109.41976197502</v>
      </c>
      <c r="S26" s="132">
        <v>67500.51476043671</v>
      </c>
      <c r="T26" s="132">
        <v>65928.47932366896</v>
      </c>
      <c r="U26" s="132">
        <v>62261.58142971752</v>
      </c>
      <c r="V26" s="132">
        <v>59823.076630688105</v>
      </c>
      <c r="W26" s="132">
        <v>60196.65158594933</v>
      </c>
      <c r="X26" s="132">
        <v>61076.09507854575</v>
      </c>
      <c r="Y26" s="132">
        <v>61004.282320409846</v>
      </c>
      <c r="Z26" s="132">
        <v>61871.528028735054</v>
      </c>
      <c r="AA26" s="132">
        <v>65070.575337591334</v>
      </c>
      <c r="AB26" s="132">
        <v>65911.62683649876</v>
      </c>
      <c r="AC26" s="132">
        <v>65449.69447440161</v>
      </c>
      <c r="AD26" s="132">
        <v>64821.95225223948</v>
      </c>
      <c r="AE26" s="132">
        <v>65172.071759380524</v>
      </c>
      <c r="AF26" s="132">
        <v>65369.18122133135</v>
      </c>
      <c r="AG26" s="132">
        <v>64935.636475255895</v>
      </c>
      <c r="AH26" s="132">
        <v>64729.164714812694</v>
      </c>
      <c r="AI26" s="132">
        <v>63335.30570278272</v>
      </c>
      <c r="AJ26" s="132">
        <v>62588.71424932193</v>
      </c>
      <c r="AK26" s="132">
        <v>61824.6940324519</v>
      </c>
      <c r="AL26" s="132">
        <v>61721.74671363463</v>
      </c>
      <c r="AM26" s="132">
        <v>61728.53604367627</v>
      </c>
      <c r="AN26" s="132">
        <v>62783.41043656573</v>
      </c>
      <c r="AO26" s="132">
        <v>60849.1083347164</v>
      </c>
      <c r="AP26" s="132">
        <v>59193.18348918417</v>
      </c>
      <c r="AQ26" s="132"/>
      <c r="AR26" s="122">
        <f t="shared" si="1"/>
        <v>-11101.52868</v>
      </c>
      <c r="AS26" s="124">
        <f t="shared" si="4"/>
        <v>-0.157928361</v>
      </c>
    </row>
    <row r="27" ht="15.75" customHeight="1">
      <c r="A27" s="131" t="s">
        <v>90</v>
      </c>
      <c r="B27" s="132">
        <v>1016607.6557669652</v>
      </c>
      <c r="C27" s="132">
        <v>1056790.238032597</v>
      </c>
      <c r="D27" s="132">
        <v>1078540.6820091198</v>
      </c>
      <c r="E27" s="132">
        <v>1112391.3930349492</v>
      </c>
      <c r="F27" s="132">
        <v>1144989.133234296</v>
      </c>
      <c r="G27" s="132">
        <v>1177434.3054368086</v>
      </c>
      <c r="H27" s="132">
        <v>1214112.239600738</v>
      </c>
      <c r="I27" s="132">
        <v>1253438.3343867888</v>
      </c>
      <c r="J27" s="132">
        <v>1290495.1461340403</v>
      </c>
      <c r="K27" s="132">
        <v>1324831.7271788304</v>
      </c>
      <c r="L27" s="132">
        <v>1361334.3083514166</v>
      </c>
      <c r="M27" s="132">
        <v>1392401.2067587532</v>
      </c>
      <c r="N27" s="132">
        <v>1427844.6710696998</v>
      </c>
      <c r="O27" s="132">
        <v>1463836.2815226717</v>
      </c>
      <c r="P27" s="132">
        <v>1509167.5757620325</v>
      </c>
      <c r="Q27" s="132">
        <v>1551457.7041852295</v>
      </c>
      <c r="R27" s="132">
        <v>1594163.849899476</v>
      </c>
      <c r="S27" s="132">
        <v>1627504.5842953813</v>
      </c>
      <c r="T27" s="132">
        <v>1658620.2874814998</v>
      </c>
      <c r="U27" s="132">
        <v>1684388.1750727105</v>
      </c>
      <c r="V27" s="132">
        <v>1709438.0227546997</v>
      </c>
      <c r="W27" s="132">
        <v>1733979.3152088544</v>
      </c>
      <c r="X27" s="132">
        <v>1758525.489191492</v>
      </c>
      <c r="Y27" s="132">
        <v>1787552.973086215</v>
      </c>
      <c r="Z27" s="132">
        <v>1814240.138078692</v>
      </c>
      <c r="AA27" s="132">
        <v>1842713.4869378605</v>
      </c>
      <c r="AB27" s="132">
        <v>1874352.6416593306</v>
      </c>
      <c r="AC27" s="132">
        <v>1911446.7359750096</v>
      </c>
      <c r="AD27" s="132">
        <v>1949699.6975453324</v>
      </c>
      <c r="AE27" s="132">
        <v>1984151.006171506</v>
      </c>
      <c r="AF27" s="132">
        <v>2015387.8921332017</v>
      </c>
      <c r="AG27" s="132">
        <v>2044136.472320446</v>
      </c>
      <c r="AH27" s="132">
        <v>2070278.1998087615</v>
      </c>
      <c r="AI27" s="132">
        <v>2095679.5267827646</v>
      </c>
      <c r="AJ27" s="132">
        <v>2118782.9604679905</v>
      </c>
      <c r="AK27" s="132">
        <v>2141369.3607019577</v>
      </c>
      <c r="AL27" s="132">
        <v>2164342.2601299863</v>
      </c>
      <c r="AM27" s="132">
        <v>2189620.1935396562</v>
      </c>
      <c r="AN27" s="132">
        <v>2214956.8924014634</v>
      </c>
      <c r="AO27" s="132">
        <v>2253403.071592231</v>
      </c>
      <c r="AP27" s="132">
        <v>2290295.4143195837</v>
      </c>
      <c r="AQ27" s="132"/>
      <c r="AR27" s="122">
        <f t="shared" si="1"/>
        <v>1273687.759</v>
      </c>
      <c r="AS27" s="124">
        <f t="shared" si="4"/>
        <v>1.252880353</v>
      </c>
    </row>
    <row r="28" ht="15.75" customHeight="1">
      <c r="A28" s="22" t="s">
        <v>93</v>
      </c>
      <c r="B28" s="132">
        <v>19971.743753924726</v>
      </c>
      <c r="C28" s="132">
        <v>24846.10363133542</v>
      </c>
      <c r="D28" s="132">
        <v>26670.29593435649</v>
      </c>
      <c r="E28" s="132">
        <v>29304.152385577163</v>
      </c>
      <c r="F28" s="132">
        <v>32472.9842169131</v>
      </c>
      <c r="G28" s="132">
        <v>35505.209692211836</v>
      </c>
      <c r="H28" s="132">
        <v>36483.15918387442</v>
      </c>
      <c r="I28" s="132">
        <v>37850.402335552964</v>
      </c>
      <c r="J28" s="132">
        <v>39136.65955406494</v>
      </c>
      <c r="K28" s="132">
        <v>41001.4048973694</v>
      </c>
      <c r="L28" s="132">
        <v>41627.017522424285</v>
      </c>
      <c r="M28" s="132">
        <v>41970.05953089606</v>
      </c>
      <c r="N28" s="132">
        <v>42695.38844846798</v>
      </c>
      <c r="O28" s="132">
        <v>44182.86918817066</v>
      </c>
      <c r="P28" s="132">
        <v>45605.7177123588</v>
      </c>
      <c r="Q28" s="132">
        <v>45652.16798518006</v>
      </c>
      <c r="R28" s="132">
        <v>45416.44626441018</v>
      </c>
      <c r="S28" s="132">
        <v>45537.798889727346</v>
      </c>
      <c r="T28" s="132">
        <v>45924.45274410317</v>
      </c>
      <c r="U28" s="132">
        <v>46156.21845566323</v>
      </c>
      <c r="V28" s="132">
        <v>46774.62495245903</v>
      </c>
      <c r="W28" s="132">
        <v>47323.49118333081</v>
      </c>
      <c r="X28" s="132">
        <v>50573.74563789033</v>
      </c>
      <c r="Y28" s="132">
        <v>52311.35222349791</v>
      </c>
      <c r="Z28" s="132">
        <v>52988.27075704282</v>
      </c>
      <c r="AA28" s="132">
        <v>54455.1210714652</v>
      </c>
      <c r="AB28" s="132">
        <v>56797.43924244969</v>
      </c>
      <c r="AC28" s="132">
        <v>57967.64769457404</v>
      </c>
      <c r="AD28" s="132">
        <v>58912.780775512365</v>
      </c>
      <c r="AE28" s="132">
        <v>60165.97939855915</v>
      </c>
      <c r="AF28" s="132">
        <v>61316.03407104428</v>
      </c>
      <c r="AG28" s="132">
        <v>62200.03853720041</v>
      </c>
      <c r="AH28" s="132">
        <v>63175.3741061765</v>
      </c>
      <c r="AI28" s="132">
        <v>64222.49098607766</v>
      </c>
      <c r="AJ28" s="132">
        <v>65440.13360805069</v>
      </c>
      <c r="AK28" s="132">
        <v>70382.86099855349</v>
      </c>
      <c r="AL28" s="132">
        <v>73435.49201693102</v>
      </c>
      <c r="AM28" s="132">
        <v>76597.43890950855</v>
      </c>
      <c r="AN28" s="132">
        <v>78723.58853527751</v>
      </c>
      <c r="AO28" s="132">
        <v>84401.59434876696</v>
      </c>
      <c r="AP28" s="132">
        <v>88486.03060260067</v>
      </c>
      <c r="AQ28" s="132"/>
      <c r="AR28" s="122">
        <f t="shared" si="1"/>
        <v>68514.28685</v>
      </c>
      <c r="AS28" s="124">
        <f t="shared" si="4"/>
        <v>3.430561081</v>
      </c>
    </row>
    <row r="29" ht="15.75" customHeight="1">
      <c r="A29" s="22" t="s">
        <v>94</v>
      </c>
      <c r="B29" s="132">
        <v>0.0</v>
      </c>
      <c r="C29" s="132">
        <v>0.0</v>
      </c>
      <c r="D29" s="132">
        <v>0.0</v>
      </c>
      <c r="E29" s="132">
        <v>0.0</v>
      </c>
      <c r="F29" s="132">
        <v>0.0</v>
      </c>
      <c r="G29" s="132">
        <v>0.0</v>
      </c>
      <c r="H29" s="132">
        <v>0.0</v>
      </c>
      <c r="I29" s="132">
        <v>0.0</v>
      </c>
      <c r="J29" s="132">
        <v>0.0</v>
      </c>
      <c r="K29" s="132">
        <v>0.0</v>
      </c>
      <c r="L29" s="132">
        <v>0.0</v>
      </c>
      <c r="M29" s="132">
        <v>0.0</v>
      </c>
      <c r="N29" s="132">
        <v>0.0</v>
      </c>
      <c r="O29" s="132">
        <v>0.0</v>
      </c>
      <c r="P29" s="132">
        <v>0.0</v>
      </c>
      <c r="Q29" s="132">
        <v>0.0</v>
      </c>
      <c r="R29" s="132">
        <v>0.0</v>
      </c>
      <c r="S29" s="132">
        <v>0.0</v>
      </c>
      <c r="T29" s="132">
        <v>0.0</v>
      </c>
      <c r="U29" s="132">
        <v>0.0</v>
      </c>
      <c r="V29" s="132">
        <v>0.0</v>
      </c>
      <c r="W29" s="132">
        <v>0.0</v>
      </c>
      <c r="X29" s="132">
        <v>0.0</v>
      </c>
      <c r="Y29" s="132">
        <v>0.0</v>
      </c>
      <c r="Z29" s="132">
        <v>0.0</v>
      </c>
      <c r="AA29" s="132">
        <v>0.0</v>
      </c>
      <c r="AB29" s="132">
        <v>0.0</v>
      </c>
      <c r="AC29" s="132">
        <v>0.0</v>
      </c>
      <c r="AD29" s="132">
        <v>0.0</v>
      </c>
      <c r="AE29" s="132">
        <v>0.0</v>
      </c>
      <c r="AF29" s="132">
        <v>0.0</v>
      </c>
      <c r="AG29" s="132">
        <v>0.0</v>
      </c>
      <c r="AH29" s="132">
        <v>127.1485102905271</v>
      </c>
      <c r="AI29" s="132">
        <v>508.0238790954571</v>
      </c>
      <c r="AJ29" s="132">
        <v>632.7281531494142</v>
      </c>
      <c r="AK29" s="132">
        <v>644.5159776916514</v>
      </c>
      <c r="AL29" s="132">
        <v>1075.887887261964</v>
      </c>
      <c r="AM29" s="132">
        <v>1207.21172407837</v>
      </c>
      <c r="AN29" s="132">
        <v>1729.8498090576234</v>
      </c>
      <c r="AO29" s="132">
        <v>2115.8978544067472</v>
      </c>
      <c r="AP29" s="132">
        <v>2162.929402404797</v>
      </c>
      <c r="AQ29" s="132"/>
      <c r="AR29" s="122">
        <f t="shared" si="1"/>
        <v>2162.929402</v>
      </c>
      <c r="AS29" s="124" t="s">
        <v>83</v>
      </c>
    </row>
    <row r="30" ht="15.75" customHeight="1">
      <c r="A30" s="22" t="s">
        <v>95</v>
      </c>
      <c r="B30" s="132">
        <v>0.0</v>
      </c>
      <c r="C30" s="132">
        <v>0.0</v>
      </c>
      <c r="D30" s="132">
        <v>0.0</v>
      </c>
      <c r="E30" s="132">
        <v>0.0</v>
      </c>
      <c r="F30" s="132">
        <v>0.0</v>
      </c>
      <c r="G30" s="132">
        <v>0.0</v>
      </c>
      <c r="H30" s="132">
        <v>0.0</v>
      </c>
      <c r="I30" s="132">
        <v>0.0</v>
      </c>
      <c r="J30" s="132">
        <v>0.0</v>
      </c>
      <c r="K30" s="132">
        <v>0.0</v>
      </c>
      <c r="L30" s="132">
        <v>0.0</v>
      </c>
      <c r="M30" s="132">
        <v>0.0</v>
      </c>
      <c r="N30" s="132">
        <v>0.0</v>
      </c>
      <c r="O30" s="132">
        <v>0.0</v>
      </c>
      <c r="P30" s="132">
        <v>0.0</v>
      </c>
      <c r="Q30" s="132">
        <v>0.0</v>
      </c>
      <c r="R30" s="132">
        <v>0.0</v>
      </c>
      <c r="S30" s="132">
        <v>0.0</v>
      </c>
      <c r="T30" s="132">
        <v>0.0</v>
      </c>
      <c r="U30" s="132">
        <v>0.0</v>
      </c>
      <c r="V30" s="132">
        <v>0.0</v>
      </c>
      <c r="W30" s="132">
        <v>0.0</v>
      </c>
      <c r="X30" s="132">
        <v>0.0</v>
      </c>
      <c r="Y30" s="132">
        <v>0.0</v>
      </c>
      <c r="Z30" s="132">
        <v>0.0</v>
      </c>
      <c r="AA30" s="132">
        <v>0.0</v>
      </c>
      <c r="AB30" s="132">
        <v>0.0</v>
      </c>
      <c r="AC30" s="132">
        <v>0.0</v>
      </c>
      <c r="AD30" s="132">
        <v>0.0</v>
      </c>
      <c r="AE30" s="132">
        <v>0.0</v>
      </c>
      <c r="AF30" s="132">
        <v>0.0</v>
      </c>
      <c r="AG30" s="132">
        <v>4.671005096435545</v>
      </c>
      <c r="AH30" s="132">
        <v>43.56832225341795</v>
      </c>
      <c r="AI30" s="132">
        <v>87.54081713867187</v>
      </c>
      <c r="AJ30" s="132">
        <v>226.43806501464832</v>
      </c>
      <c r="AK30" s="132">
        <v>258.01916562499997</v>
      </c>
      <c r="AL30" s="132">
        <v>278.42177399291995</v>
      </c>
      <c r="AM30" s="132">
        <v>303.6058227355958</v>
      </c>
      <c r="AN30" s="132">
        <v>323.25889615478525</v>
      </c>
      <c r="AO30" s="132">
        <v>336.31882741088884</v>
      </c>
      <c r="AP30" s="132">
        <v>357.8189833984377</v>
      </c>
      <c r="AQ30" s="132"/>
      <c r="AR30" s="122">
        <f t="shared" si="1"/>
        <v>357.8189834</v>
      </c>
      <c r="AS30" s="124" t="s">
        <v>83</v>
      </c>
    </row>
    <row r="31" ht="15.75" customHeight="1">
      <c r="A31" s="131" t="s">
        <v>96</v>
      </c>
      <c r="B31" s="132">
        <v>87518.60193332509</v>
      </c>
      <c r="C31" s="132">
        <v>77340.25263977649</v>
      </c>
      <c r="D31" s="132">
        <v>64823.64819431757</v>
      </c>
      <c r="E31" s="132">
        <v>51888.94012235099</v>
      </c>
      <c r="F31" s="132">
        <v>46320.44651099235</v>
      </c>
      <c r="G31" s="132">
        <v>44378.45038239738</v>
      </c>
      <c r="H31" s="132">
        <v>41397.84011733391</v>
      </c>
      <c r="I31" s="132">
        <v>38745.669367791634</v>
      </c>
      <c r="J31" s="132">
        <v>37040.10192735582</v>
      </c>
      <c r="K31" s="132">
        <v>35082.063913256716</v>
      </c>
      <c r="L31" s="132">
        <v>33550.743113952565</v>
      </c>
      <c r="M31" s="132">
        <v>34086.76665273428</v>
      </c>
      <c r="N31" s="132">
        <v>33517.54635474847</v>
      </c>
      <c r="O31" s="132">
        <v>34047.08697224116</v>
      </c>
      <c r="P31" s="132">
        <v>38437.609787829504</v>
      </c>
      <c r="Q31" s="132">
        <v>45708.233570226934</v>
      </c>
      <c r="R31" s="132">
        <v>49347.701809356564</v>
      </c>
      <c r="S31" s="132">
        <v>50638.45439677114</v>
      </c>
      <c r="T31" s="132">
        <v>51581.26203812861</v>
      </c>
      <c r="U31" s="132">
        <v>52571.195828082244</v>
      </c>
      <c r="V31" s="132">
        <v>52056.58483973998</v>
      </c>
      <c r="W31" s="132">
        <v>51134.75748201301</v>
      </c>
      <c r="X31" s="132">
        <v>49595.99222168586</v>
      </c>
      <c r="Y31" s="132">
        <v>49176.00413848882</v>
      </c>
      <c r="Z31" s="132">
        <v>50321.29797157593</v>
      </c>
      <c r="AA31" s="132">
        <v>51078.735068072514</v>
      </c>
      <c r="AB31" s="132">
        <v>51885.630730780016</v>
      </c>
      <c r="AC31" s="132">
        <v>54296.87613839723</v>
      </c>
      <c r="AD31" s="132">
        <v>58788.242779913344</v>
      </c>
      <c r="AE31" s="132">
        <v>66069.10133642577</v>
      </c>
      <c r="AF31" s="132">
        <v>69875.24490676881</v>
      </c>
      <c r="AG31" s="132">
        <v>69503.43487332153</v>
      </c>
      <c r="AH31" s="132">
        <v>68832.64077996826</v>
      </c>
      <c r="AI31" s="132">
        <v>68849.86069965216</v>
      </c>
      <c r="AJ31" s="132">
        <v>69270.50639287726</v>
      </c>
      <c r="AK31" s="132">
        <v>70256.64900172128</v>
      </c>
      <c r="AL31" s="132">
        <v>74918.37714168709</v>
      </c>
      <c r="AM31" s="132">
        <v>80676.0390738221</v>
      </c>
      <c r="AN31" s="132">
        <v>89700.16619645998</v>
      </c>
      <c r="AO31" s="132">
        <v>96455.74945813598</v>
      </c>
      <c r="AP31" s="132">
        <v>99657.77906549067</v>
      </c>
      <c r="AQ31" s="132"/>
      <c r="AR31" s="122">
        <f t="shared" si="1"/>
        <v>12139.17713</v>
      </c>
      <c r="AS31" s="124">
        <f t="shared" ref="AS31:AS34" si="5">AR31/B31</f>
        <v>0.1387039654</v>
      </c>
    </row>
    <row r="32" ht="15.75" customHeight="1">
      <c r="A32" s="120" t="s">
        <v>50</v>
      </c>
      <c r="B32" s="114">
        <v>1979384.2260811408</v>
      </c>
      <c r="C32" s="114">
        <v>1976548.196450456</v>
      </c>
      <c r="D32" s="114">
        <v>2030863.4388089404</v>
      </c>
      <c r="E32" s="114">
        <v>2030267.8183491328</v>
      </c>
      <c r="F32" s="114">
        <v>2029942.171708464</v>
      </c>
      <c r="G32" s="114">
        <v>2054486.2018261454</v>
      </c>
      <c r="H32" s="114">
        <v>2116829.1690364573</v>
      </c>
      <c r="I32" s="114">
        <v>2156092.8305848544</v>
      </c>
      <c r="J32" s="114">
        <v>2142638.7067087623</v>
      </c>
      <c r="K32" s="114">
        <v>2137519.7998758494</v>
      </c>
      <c r="L32" s="114">
        <v>2119237.9287001635</v>
      </c>
      <c r="M32" s="114">
        <v>2128196.2593762763</v>
      </c>
      <c r="N32" s="114">
        <v>2155773.6351642753</v>
      </c>
      <c r="O32" s="114">
        <v>2161351.9346747207</v>
      </c>
      <c r="P32" s="114">
        <v>2242072.5854449845</v>
      </c>
      <c r="Q32" s="114">
        <v>2116947.3716770867</v>
      </c>
      <c r="R32" s="114">
        <v>2132271.56369416</v>
      </c>
      <c r="S32" s="114">
        <v>2175975.5852398537</v>
      </c>
      <c r="T32" s="114">
        <v>2194799.231344486</v>
      </c>
      <c r="U32" s="114">
        <v>2208289.484161718</v>
      </c>
      <c r="V32" s="114">
        <v>2222193.423289173</v>
      </c>
      <c r="W32" s="114">
        <v>2218266.5331275114</v>
      </c>
      <c r="X32" s="114">
        <v>2239671.3887189645</v>
      </c>
      <c r="Y32" s="114">
        <v>2229094.534735284</v>
      </c>
      <c r="Z32" s="114">
        <v>2235003.7694856273</v>
      </c>
      <c r="AA32" s="114">
        <v>2233285.8739491417</v>
      </c>
      <c r="AB32" s="114">
        <v>2230645.836831636</v>
      </c>
      <c r="AC32" s="114">
        <v>2201183.09949924</v>
      </c>
      <c r="AD32" s="114">
        <v>2189291.114866344</v>
      </c>
      <c r="AE32" s="114">
        <v>2149295.2780277957</v>
      </c>
      <c r="AF32" s="114">
        <v>2134266.69809892</v>
      </c>
      <c r="AG32" s="114">
        <v>2192104.832646702</v>
      </c>
      <c r="AH32" s="114">
        <v>2166447.491710323</v>
      </c>
      <c r="AI32" s="114">
        <v>2168506.8337873593</v>
      </c>
      <c r="AJ32" s="114">
        <v>2168138.193415207</v>
      </c>
      <c r="AK32" s="114">
        <v>2173612.910228846</v>
      </c>
      <c r="AL32" s="114">
        <v>2155372.3444188247</v>
      </c>
      <c r="AM32" s="120">
        <v>2233387.755696627</v>
      </c>
      <c r="AN32" s="120">
        <v>2286848.122201722</v>
      </c>
      <c r="AO32" s="120">
        <v>2264917.78511257</v>
      </c>
      <c r="AP32" s="120">
        <v>2256215.842150894</v>
      </c>
      <c r="AQ32" s="22"/>
      <c r="AR32" s="122">
        <f t="shared" si="1"/>
        <v>276831.6161</v>
      </c>
      <c r="AS32" s="124">
        <f t="shared" si="5"/>
        <v>0.1398574427</v>
      </c>
    </row>
    <row r="33" ht="15.75" customHeight="1">
      <c r="A33" s="138" t="s">
        <v>97</v>
      </c>
      <c r="B33" s="132">
        <v>1974206.383211414</v>
      </c>
      <c r="C33" s="132">
        <v>1971332.7607181866</v>
      </c>
      <c r="D33" s="132">
        <v>2025608.651669786</v>
      </c>
      <c r="E33" s="132">
        <v>2025081.5516436577</v>
      </c>
      <c r="F33" s="132">
        <v>2024328.859082237</v>
      </c>
      <c r="G33" s="132">
        <v>2048757.2377293068</v>
      </c>
      <c r="H33" s="132">
        <v>2111133.345754267</v>
      </c>
      <c r="I33" s="132">
        <v>2150295.729601999</v>
      </c>
      <c r="J33" s="132">
        <v>2136713.3114292272</v>
      </c>
      <c r="K33" s="132">
        <v>2131390.0709774056</v>
      </c>
      <c r="L33" s="132">
        <v>2113141.0183155444</v>
      </c>
      <c r="M33" s="132">
        <v>2121987.4320610235</v>
      </c>
      <c r="N33" s="132">
        <v>2149093.661732781</v>
      </c>
      <c r="O33" s="132">
        <v>2153966.796234511</v>
      </c>
      <c r="P33" s="132">
        <v>2233963.3148050676</v>
      </c>
      <c r="Q33" s="132">
        <v>2108276.0031248406</v>
      </c>
      <c r="R33" s="132">
        <v>2122963.1659794566</v>
      </c>
      <c r="S33" s="132">
        <v>2166314.858479502</v>
      </c>
      <c r="T33" s="132">
        <v>2185055.0978933754</v>
      </c>
      <c r="U33" s="132">
        <v>2198279.3843356194</v>
      </c>
      <c r="V33" s="132">
        <v>2212157.228677173</v>
      </c>
      <c r="W33" s="132">
        <v>2208871.759430685</v>
      </c>
      <c r="X33" s="132">
        <v>2230210.110827973</v>
      </c>
      <c r="Y33" s="132">
        <v>2219232.90031195</v>
      </c>
      <c r="Z33" s="132">
        <v>2225032.1300750375</v>
      </c>
      <c r="AA33" s="132">
        <v>2223673.337968838</v>
      </c>
      <c r="AB33" s="132">
        <v>2220536.2950243237</v>
      </c>
      <c r="AC33" s="132">
        <v>2190382.119890817</v>
      </c>
      <c r="AD33" s="132">
        <v>2178118.630623387</v>
      </c>
      <c r="AE33" s="132">
        <v>2137634.2705855225</v>
      </c>
      <c r="AF33" s="132">
        <v>2121787.2610415956</v>
      </c>
      <c r="AG33" s="132">
        <v>2178824.9671328226</v>
      </c>
      <c r="AH33" s="132">
        <v>2152648.5587186483</v>
      </c>
      <c r="AI33" s="132">
        <v>2154345.705698071</v>
      </c>
      <c r="AJ33" s="132">
        <v>2153375.2068409575</v>
      </c>
      <c r="AK33" s="132">
        <v>2159721.791313929</v>
      </c>
      <c r="AL33" s="132">
        <v>2142261.3407150954</v>
      </c>
      <c r="AM33" s="132">
        <v>2220414.5889133383</v>
      </c>
      <c r="AN33" s="132">
        <v>2273732.809167335</v>
      </c>
      <c r="AO33" s="132">
        <v>2251937.996863315</v>
      </c>
      <c r="AP33" s="132">
        <v>2243009.8300652923</v>
      </c>
      <c r="AQ33" s="132"/>
      <c r="AR33" s="122">
        <f t="shared" si="1"/>
        <v>268803.4469</v>
      </c>
      <c r="AS33" s="124">
        <f t="shared" si="5"/>
        <v>0.1361577235</v>
      </c>
    </row>
    <row r="34" ht="15.75" customHeight="1">
      <c r="A34" s="138" t="s">
        <v>98</v>
      </c>
      <c r="B34" s="132">
        <v>5177.842869726723</v>
      </c>
      <c r="C34" s="132">
        <v>5215.435732269461</v>
      </c>
      <c r="D34" s="132">
        <v>5254.787139154224</v>
      </c>
      <c r="E34" s="132">
        <v>5186.2667054750655</v>
      </c>
      <c r="F34" s="132">
        <v>5613.312626226966</v>
      </c>
      <c r="G34" s="132">
        <v>5728.964096838552</v>
      </c>
      <c r="H34" s="132">
        <v>5695.823282190125</v>
      </c>
      <c r="I34" s="132">
        <v>5797.100982855386</v>
      </c>
      <c r="J34" s="132">
        <v>5925.395279535094</v>
      </c>
      <c r="K34" s="132">
        <v>6129.728898443759</v>
      </c>
      <c r="L34" s="132">
        <v>6096.910384619283</v>
      </c>
      <c r="M34" s="132">
        <v>6208.827315252751</v>
      </c>
      <c r="N34" s="132">
        <v>6679.973431494182</v>
      </c>
      <c r="O34" s="132">
        <v>7385.138440209998</v>
      </c>
      <c r="P34" s="132">
        <v>8109.270639917052</v>
      </c>
      <c r="Q34" s="132">
        <v>8671.368552246138</v>
      </c>
      <c r="R34" s="132">
        <v>9308.397714703404</v>
      </c>
      <c r="S34" s="132">
        <v>9660.726760351574</v>
      </c>
      <c r="T34" s="132">
        <v>9744.133451110865</v>
      </c>
      <c r="U34" s="132">
        <v>10010.099826098653</v>
      </c>
      <c r="V34" s="132">
        <v>10036.194611999521</v>
      </c>
      <c r="W34" s="132">
        <v>9394.773696826156</v>
      </c>
      <c r="X34" s="132">
        <v>9461.277890991232</v>
      </c>
      <c r="Y34" s="132">
        <v>9861.634423333751</v>
      </c>
      <c r="Z34" s="132">
        <v>9971.639410589627</v>
      </c>
      <c r="AA34" s="132">
        <v>9612.535980303996</v>
      </c>
      <c r="AB34" s="132">
        <v>10109.541807312042</v>
      </c>
      <c r="AC34" s="132">
        <v>10800.979608422876</v>
      </c>
      <c r="AD34" s="132">
        <v>11172.48424295658</v>
      </c>
      <c r="AE34" s="132">
        <v>11661.007442272981</v>
      </c>
      <c r="AF34" s="132">
        <v>12479.437057324214</v>
      </c>
      <c r="AG34" s="132">
        <v>13279.865513879371</v>
      </c>
      <c r="AH34" s="132">
        <v>13798.932991674783</v>
      </c>
      <c r="AI34" s="132">
        <v>14161.128089288308</v>
      </c>
      <c r="AJ34" s="132">
        <v>14762.986574249275</v>
      </c>
      <c r="AK34" s="132">
        <v>13891.118914916977</v>
      </c>
      <c r="AL34" s="132">
        <v>13111.00370372924</v>
      </c>
      <c r="AM34" s="132">
        <v>12973.166783288556</v>
      </c>
      <c r="AN34" s="132">
        <v>13115.313034387182</v>
      </c>
      <c r="AO34" s="132">
        <v>12979.788249255342</v>
      </c>
      <c r="AP34" s="132">
        <v>13206.012085601784</v>
      </c>
      <c r="AQ34" s="132"/>
      <c r="AR34" s="122">
        <f t="shared" si="1"/>
        <v>8028.169216</v>
      </c>
      <c r="AS34" s="124">
        <f t="shared" si="5"/>
        <v>1.550485292</v>
      </c>
    </row>
    <row r="35" ht="15.75" customHeight="1">
      <c r="A35" s="114" t="s">
        <v>99</v>
      </c>
      <c r="B35" s="114">
        <v>0.0</v>
      </c>
      <c r="C35" s="114">
        <v>0.0</v>
      </c>
      <c r="D35" s="114">
        <v>0.0</v>
      </c>
      <c r="E35" s="114">
        <v>0.0</v>
      </c>
      <c r="F35" s="114">
        <v>0.0</v>
      </c>
      <c r="G35" s="114">
        <v>0.0</v>
      </c>
      <c r="H35" s="114">
        <v>0.0</v>
      </c>
      <c r="I35" s="114">
        <v>0.0</v>
      </c>
      <c r="J35" s="114">
        <v>0.0</v>
      </c>
      <c r="K35" s="114">
        <v>0.0</v>
      </c>
      <c r="L35" s="114">
        <v>0.0</v>
      </c>
      <c r="M35" s="114">
        <v>0.0</v>
      </c>
      <c r="N35" s="114">
        <v>0.0</v>
      </c>
      <c r="O35" s="114">
        <v>0.0</v>
      </c>
      <c r="P35" s="114">
        <v>0.0</v>
      </c>
      <c r="Q35" s="114">
        <v>0.0</v>
      </c>
      <c r="R35" s="114">
        <v>0.0</v>
      </c>
      <c r="S35" s="114">
        <v>0.0</v>
      </c>
      <c r="T35" s="114">
        <v>0.0</v>
      </c>
      <c r="U35" s="114">
        <v>0.0</v>
      </c>
      <c r="V35" s="114">
        <v>0.0</v>
      </c>
      <c r="W35" s="114">
        <v>0.0</v>
      </c>
      <c r="X35" s="114">
        <v>0.0</v>
      </c>
      <c r="Y35" s="114">
        <v>0.0</v>
      </c>
      <c r="Z35" s="114">
        <v>0.0</v>
      </c>
      <c r="AA35" s="114">
        <v>0.0</v>
      </c>
      <c r="AB35" s="114">
        <v>0.0</v>
      </c>
      <c r="AC35" s="114">
        <v>0.0</v>
      </c>
      <c r="AD35" s="114">
        <v>0.0</v>
      </c>
      <c r="AE35" s="114">
        <v>0.0</v>
      </c>
      <c r="AF35" s="114">
        <v>0.0</v>
      </c>
      <c r="AG35" s="114">
        <v>0.0</v>
      </c>
      <c r="AH35" s="114">
        <v>0.0</v>
      </c>
      <c r="AI35" s="114">
        <v>0.0</v>
      </c>
      <c r="AJ35" s="114">
        <v>0.0</v>
      </c>
      <c r="AK35" s="114">
        <v>0.0</v>
      </c>
      <c r="AL35" s="114">
        <v>0.0</v>
      </c>
      <c r="AM35" s="114">
        <v>0.0</v>
      </c>
      <c r="AN35" s="114">
        <v>0.0</v>
      </c>
      <c r="AO35" s="114">
        <v>0.0</v>
      </c>
      <c r="AP35" s="114">
        <v>0.0</v>
      </c>
      <c r="AQ35" s="22"/>
      <c r="AR35" s="122">
        <f t="shared" si="1"/>
        <v>0</v>
      </c>
      <c r="AS35" s="124" t="s">
        <v>83</v>
      </c>
    </row>
    <row r="36" ht="15.75" customHeight="1">
      <c r="A36" s="139" t="s">
        <v>51</v>
      </c>
      <c r="B36" s="140">
        <f t="shared" ref="B36:AP36" si="6">SUM(B5,B12,B20,B25,B32,B35)</f>
        <v>108674489.1</v>
      </c>
      <c r="C36" s="140">
        <f t="shared" si="6"/>
        <v>108674489.1</v>
      </c>
      <c r="D36" s="140">
        <f t="shared" si="6"/>
        <v>108674489.1</v>
      </c>
      <c r="E36" s="140">
        <f t="shared" si="6"/>
        <v>108674489.1</v>
      </c>
      <c r="F36" s="140">
        <f t="shared" si="6"/>
        <v>108674489.1</v>
      </c>
      <c r="G36" s="140">
        <f t="shared" si="6"/>
        <v>108674489.1</v>
      </c>
      <c r="H36" s="140">
        <f t="shared" si="6"/>
        <v>108674489.1</v>
      </c>
      <c r="I36" s="140">
        <f t="shared" si="6"/>
        <v>108674489.1</v>
      </c>
      <c r="J36" s="140">
        <f t="shared" si="6"/>
        <v>108674489.1</v>
      </c>
      <c r="K36" s="140">
        <f t="shared" si="6"/>
        <v>108674489.1</v>
      </c>
      <c r="L36" s="140">
        <f t="shared" si="6"/>
        <v>108674489.1</v>
      </c>
      <c r="M36" s="140">
        <f t="shared" si="6"/>
        <v>108674489.1</v>
      </c>
      <c r="N36" s="140">
        <f t="shared" si="6"/>
        <v>108674489.1</v>
      </c>
      <c r="O36" s="140">
        <f t="shared" si="6"/>
        <v>108674489.1</v>
      </c>
      <c r="P36" s="140">
        <f t="shared" si="6"/>
        <v>108674489.1</v>
      </c>
      <c r="Q36" s="140">
        <f t="shared" si="6"/>
        <v>108674489.1</v>
      </c>
      <c r="R36" s="140">
        <f t="shared" si="6"/>
        <v>108674489.1</v>
      </c>
      <c r="S36" s="140">
        <f t="shared" si="6"/>
        <v>108674489.1</v>
      </c>
      <c r="T36" s="140">
        <f t="shared" si="6"/>
        <v>108674489.1</v>
      </c>
      <c r="U36" s="140">
        <f t="shared" si="6"/>
        <v>108674489.1</v>
      </c>
      <c r="V36" s="140">
        <f t="shared" si="6"/>
        <v>108674489.1</v>
      </c>
      <c r="W36" s="140">
        <f t="shared" si="6"/>
        <v>108674489.1</v>
      </c>
      <c r="X36" s="140">
        <f t="shared" si="6"/>
        <v>108674489.1</v>
      </c>
      <c r="Y36" s="140">
        <f t="shared" si="6"/>
        <v>108674489.1</v>
      </c>
      <c r="Z36" s="140">
        <f t="shared" si="6"/>
        <v>108674489.1</v>
      </c>
      <c r="AA36" s="140">
        <f t="shared" si="6"/>
        <v>108674489.1</v>
      </c>
      <c r="AB36" s="140">
        <f t="shared" si="6"/>
        <v>108674489.1</v>
      </c>
      <c r="AC36" s="140">
        <f t="shared" si="6"/>
        <v>108674489.1</v>
      </c>
      <c r="AD36" s="140">
        <f t="shared" si="6"/>
        <v>108674489.1</v>
      </c>
      <c r="AE36" s="140">
        <f t="shared" si="6"/>
        <v>108674489.1</v>
      </c>
      <c r="AF36" s="140">
        <f t="shared" si="6"/>
        <v>108674489.1</v>
      </c>
      <c r="AG36" s="140">
        <f t="shared" si="6"/>
        <v>108674489.1</v>
      </c>
      <c r="AH36" s="140">
        <f t="shared" si="6"/>
        <v>108674489.1</v>
      </c>
      <c r="AI36" s="140">
        <f t="shared" si="6"/>
        <v>108674489.1</v>
      </c>
      <c r="AJ36" s="140">
        <f t="shared" si="6"/>
        <v>108674489.1</v>
      </c>
      <c r="AK36" s="140">
        <f t="shared" si="6"/>
        <v>108674489.1</v>
      </c>
      <c r="AL36" s="140">
        <f t="shared" si="6"/>
        <v>108674489.1</v>
      </c>
      <c r="AM36" s="140">
        <f t="shared" si="6"/>
        <v>108674489.1</v>
      </c>
      <c r="AN36" s="140">
        <f t="shared" si="6"/>
        <v>108674489.1</v>
      </c>
      <c r="AO36" s="140">
        <f t="shared" si="6"/>
        <v>108674489.1</v>
      </c>
      <c r="AP36" s="140">
        <f t="shared" si="6"/>
        <v>108674489.1</v>
      </c>
      <c r="AR36" s="122">
        <f t="shared" si="1"/>
        <v>-0.0000005066394806</v>
      </c>
      <c r="AS36" s="124">
        <f>AR36/B36</f>
        <v>0</v>
      </c>
    </row>
    <row r="37" ht="15.75" customHeight="1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</row>
    <row r="38" ht="15.75" customHeight="1">
      <c r="B38" s="141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R38" s="44"/>
    </row>
    <row r="39" ht="15.75" customHeight="1">
      <c r="B39" s="143"/>
      <c r="C39" s="142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</row>
    <row r="40" ht="15.75" customHeight="1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R40" s="44"/>
    </row>
    <row r="41" ht="15.75" customHeight="1">
      <c r="B41" s="96">
        <v>1985.0</v>
      </c>
      <c r="C41" s="96">
        <v>1986.0</v>
      </c>
      <c r="D41" s="96">
        <v>1987.0</v>
      </c>
      <c r="E41" s="96">
        <v>1988.0</v>
      </c>
      <c r="F41" s="96">
        <v>1989.0</v>
      </c>
      <c r="G41" s="96">
        <v>1990.0</v>
      </c>
      <c r="H41" s="96">
        <v>1991.0</v>
      </c>
      <c r="I41" s="96">
        <v>1992.0</v>
      </c>
      <c r="J41" s="96">
        <v>1993.0</v>
      </c>
      <c r="K41" s="96">
        <v>1994.0</v>
      </c>
      <c r="L41" s="96">
        <v>1995.0</v>
      </c>
      <c r="M41" s="96">
        <v>1996.0</v>
      </c>
      <c r="N41" s="96">
        <v>1997.0</v>
      </c>
      <c r="O41" s="96">
        <v>1998.0</v>
      </c>
      <c r="P41" s="96">
        <v>1999.0</v>
      </c>
      <c r="Q41" s="96">
        <v>2000.0</v>
      </c>
      <c r="R41" s="96">
        <v>2001.0</v>
      </c>
      <c r="S41" s="96">
        <v>2002.0</v>
      </c>
      <c r="T41" s="96">
        <v>2003.0</v>
      </c>
      <c r="U41" s="96">
        <v>2004.0</v>
      </c>
      <c r="V41" s="96">
        <v>2005.0</v>
      </c>
      <c r="W41" s="96">
        <v>2006.0</v>
      </c>
      <c r="X41" s="96">
        <v>2007.0</v>
      </c>
      <c r="Y41" s="96">
        <v>2008.0</v>
      </c>
      <c r="Z41" s="96">
        <v>2009.0</v>
      </c>
      <c r="AA41" s="96">
        <v>2010.0</v>
      </c>
      <c r="AB41" s="96">
        <v>2011.0</v>
      </c>
      <c r="AC41" s="96">
        <v>2012.0</v>
      </c>
      <c r="AD41" s="96">
        <v>2013.0</v>
      </c>
      <c r="AE41" s="96">
        <v>2014.0</v>
      </c>
      <c r="AF41" s="96">
        <v>2015.0</v>
      </c>
      <c r="AG41" s="96">
        <v>2016.0</v>
      </c>
      <c r="AH41" s="96">
        <v>2017.0</v>
      </c>
      <c r="AI41" s="96">
        <v>2018.0</v>
      </c>
      <c r="AJ41" s="96">
        <v>2019.0</v>
      </c>
      <c r="AK41" s="96">
        <v>2020.0</v>
      </c>
      <c r="AL41" s="96">
        <v>2021.0</v>
      </c>
      <c r="AM41" s="96">
        <v>2022.0</v>
      </c>
      <c r="AN41" s="96">
        <v>2023.0</v>
      </c>
      <c r="AO41" s="96">
        <v>2024.0</v>
      </c>
      <c r="AP41" s="96">
        <v>2025.0</v>
      </c>
    </row>
    <row r="42" ht="15.75" customHeight="1">
      <c r="A42" s="2" t="s">
        <v>14</v>
      </c>
      <c r="B42" s="44">
        <f t="shared" ref="B42:AP42" si="7">B5</f>
        <v>34297295.88</v>
      </c>
      <c r="C42" s="44">
        <f t="shared" si="7"/>
        <v>34331138.06</v>
      </c>
      <c r="D42" s="44">
        <f t="shared" si="7"/>
        <v>33820975.92</v>
      </c>
      <c r="E42" s="44">
        <f t="shared" si="7"/>
        <v>33352024.09</v>
      </c>
      <c r="F42" s="44">
        <f t="shared" si="7"/>
        <v>32992759.3</v>
      </c>
      <c r="G42" s="44">
        <f t="shared" si="7"/>
        <v>32750806.94</v>
      </c>
      <c r="H42" s="44">
        <f t="shared" si="7"/>
        <v>32469279.36</v>
      </c>
      <c r="I42" s="44">
        <f t="shared" si="7"/>
        <v>32266041.07</v>
      </c>
      <c r="J42" s="44">
        <f t="shared" si="7"/>
        <v>32100158.39</v>
      </c>
      <c r="K42" s="44">
        <f t="shared" si="7"/>
        <v>31969858.54</v>
      </c>
      <c r="L42" s="44">
        <f t="shared" si="7"/>
        <v>31838345.64</v>
      </c>
      <c r="M42" s="44">
        <f t="shared" si="7"/>
        <v>31679701.91</v>
      </c>
      <c r="N42" s="44">
        <f t="shared" si="7"/>
        <v>31517533.95</v>
      </c>
      <c r="O42" s="44">
        <f t="shared" si="7"/>
        <v>31333051.07</v>
      </c>
      <c r="P42" s="44">
        <f t="shared" si="7"/>
        <v>31182403.97</v>
      </c>
      <c r="Q42" s="44">
        <f t="shared" si="7"/>
        <v>31105204.44</v>
      </c>
      <c r="R42" s="44">
        <f t="shared" si="7"/>
        <v>31082907.17</v>
      </c>
      <c r="S42" s="44">
        <f t="shared" si="7"/>
        <v>31091161.33</v>
      </c>
      <c r="T42" s="44">
        <f t="shared" si="7"/>
        <v>31079051.59</v>
      </c>
      <c r="U42" s="44">
        <f t="shared" si="7"/>
        <v>31048359.28</v>
      </c>
      <c r="V42" s="44">
        <f t="shared" si="7"/>
        <v>31052734.12</v>
      </c>
      <c r="W42" s="44">
        <f t="shared" si="7"/>
        <v>31071836.25</v>
      </c>
      <c r="X42" s="44">
        <f t="shared" si="7"/>
        <v>31132977.52</v>
      </c>
      <c r="Y42" s="44">
        <f t="shared" si="7"/>
        <v>31165662.78</v>
      </c>
      <c r="Z42" s="44">
        <f t="shared" si="7"/>
        <v>31192882.88</v>
      </c>
      <c r="AA42" s="44">
        <f t="shared" si="7"/>
        <v>31234615.06</v>
      </c>
      <c r="AB42" s="44">
        <f t="shared" si="7"/>
        <v>31279738.82</v>
      </c>
      <c r="AC42" s="44">
        <f t="shared" si="7"/>
        <v>31325004.26</v>
      </c>
      <c r="AD42" s="44">
        <f t="shared" si="7"/>
        <v>31354731.43</v>
      </c>
      <c r="AE42" s="44">
        <f t="shared" si="7"/>
        <v>31370837.41</v>
      </c>
      <c r="AF42" s="44">
        <f t="shared" si="7"/>
        <v>31405111.58</v>
      </c>
      <c r="AG42" s="44">
        <f t="shared" si="7"/>
        <v>31414119.09</v>
      </c>
      <c r="AH42" s="44">
        <f t="shared" si="7"/>
        <v>31400604.1</v>
      </c>
      <c r="AI42" s="44">
        <f t="shared" si="7"/>
        <v>31363006.19</v>
      </c>
      <c r="AJ42" s="44">
        <f t="shared" si="7"/>
        <v>31289429.14</v>
      </c>
      <c r="AK42" s="44">
        <f t="shared" si="7"/>
        <v>31202043.8</v>
      </c>
      <c r="AL42" s="44">
        <f t="shared" si="7"/>
        <v>31047848.04</v>
      </c>
      <c r="AM42" s="44">
        <f t="shared" si="7"/>
        <v>30946782.65</v>
      </c>
      <c r="AN42" s="44">
        <f t="shared" si="7"/>
        <v>30832193.71</v>
      </c>
      <c r="AO42" s="44">
        <f t="shared" si="7"/>
        <v>30794727.62</v>
      </c>
      <c r="AP42" s="44">
        <f t="shared" si="7"/>
        <v>30833318.42</v>
      </c>
    </row>
    <row r="43" ht="15.75" customHeight="1">
      <c r="A43" s="2" t="s">
        <v>106</v>
      </c>
      <c r="B43" s="44">
        <f t="shared" ref="B43:AP43" si="8">B24</f>
        <v>10147030.4</v>
      </c>
      <c r="C43" s="44">
        <f t="shared" si="8"/>
        <v>8677502.299</v>
      </c>
      <c r="D43" s="44">
        <f t="shared" si="8"/>
        <v>7958574.305</v>
      </c>
      <c r="E43" s="44">
        <f t="shared" si="8"/>
        <v>7561619.528</v>
      </c>
      <c r="F43" s="44">
        <f t="shared" si="8"/>
        <v>7432871.205</v>
      </c>
      <c r="G43" s="44">
        <f t="shared" si="8"/>
        <v>7114984.381</v>
      </c>
      <c r="H43" s="44">
        <f t="shared" si="8"/>
        <v>6806325.653</v>
      </c>
      <c r="I43" s="44">
        <f t="shared" si="8"/>
        <v>6637726.952</v>
      </c>
      <c r="J43" s="44">
        <f t="shared" si="8"/>
        <v>6445807.443</v>
      </c>
      <c r="K43" s="44">
        <f t="shared" si="8"/>
        <v>6374493.97</v>
      </c>
      <c r="L43" s="44">
        <f t="shared" si="8"/>
        <v>6458776.992</v>
      </c>
      <c r="M43" s="44">
        <f t="shared" si="8"/>
        <v>6540489.536</v>
      </c>
      <c r="N43" s="44">
        <f t="shared" si="8"/>
        <v>6643709.122</v>
      </c>
      <c r="O43" s="44">
        <f t="shared" si="8"/>
        <v>6867671.163</v>
      </c>
      <c r="P43" s="44">
        <f t="shared" si="8"/>
        <v>6871117.141</v>
      </c>
      <c r="Q43" s="44">
        <f t="shared" si="8"/>
        <v>6908362.679</v>
      </c>
      <c r="R43" s="44">
        <f t="shared" si="8"/>
        <v>6950491.187</v>
      </c>
      <c r="S43" s="44">
        <f t="shared" si="8"/>
        <v>7136964.919</v>
      </c>
      <c r="T43" s="44">
        <f t="shared" si="8"/>
        <v>7764439.778</v>
      </c>
      <c r="U43" s="44">
        <f t="shared" si="8"/>
        <v>8053579.89</v>
      </c>
      <c r="V43" s="44">
        <f t="shared" si="8"/>
        <v>8222337.95</v>
      </c>
      <c r="W43" s="44">
        <f t="shared" si="8"/>
        <v>8237310.867</v>
      </c>
      <c r="X43" s="44">
        <f t="shared" si="8"/>
        <v>8276100.781</v>
      </c>
      <c r="Y43" s="44">
        <f t="shared" si="8"/>
        <v>8341755.026</v>
      </c>
      <c r="Z43" s="44">
        <f t="shared" si="8"/>
        <v>8282723.819</v>
      </c>
      <c r="AA43" s="44">
        <f t="shared" si="8"/>
        <v>8370454.807</v>
      </c>
      <c r="AB43" s="44">
        <f t="shared" si="8"/>
        <v>8456683.193</v>
      </c>
      <c r="AC43" s="44">
        <f t="shared" si="8"/>
        <v>8636970.691</v>
      </c>
      <c r="AD43" s="44">
        <f t="shared" si="8"/>
        <v>8521169.123</v>
      </c>
      <c r="AE43" s="44">
        <f t="shared" si="8"/>
        <v>8357296.932</v>
      </c>
      <c r="AF43" s="44">
        <f t="shared" si="8"/>
        <v>8258553.527</v>
      </c>
      <c r="AG43" s="44">
        <f t="shared" si="8"/>
        <v>8218298.775</v>
      </c>
      <c r="AH43" s="44">
        <f t="shared" si="8"/>
        <v>8317321.726</v>
      </c>
      <c r="AI43" s="44">
        <f t="shared" si="8"/>
        <v>8576455.994</v>
      </c>
      <c r="AJ43" s="44">
        <f t="shared" si="8"/>
        <v>8741857.071</v>
      </c>
      <c r="AK43" s="44">
        <f t="shared" si="8"/>
        <v>8955713.181</v>
      </c>
      <c r="AL43" s="44">
        <f t="shared" si="8"/>
        <v>9326471.72</v>
      </c>
      <c r="AM43" s="44">
        <f t="shared" si="8"/>
        <v>9363107.305</v>
      </c>
      <c r="AN43" s="44">
        <f t="shared" si="8"/>
        <v>9507618.86</v>
      </c>
      <c r="AO43" s="44">
        <f t="shared" si="8"/>
        <v>9746200.831</v>
      </c>
      <c r="AP43" s="44">
        <f t="shared" si="8"/>
        <v>9860673.442</v>
      </c>
    </row>
    <row r="44" ht="15.75" customHeight="1">
      <c r="A44" s="44" t="s">
        <v>33</v>
      </c>
      <c r="B44" s="44">
        <f t="shared" ref="B44:AP44" si="9">B21</f>
        <v>44596441.94</v>
      </c>
      <c r="C44" s="44">
        <f t="shared" si="9"/>
        <v>45561765.52</v>
      </c>
      <c r="D44" s="44">
        <f t="shared" si="9"/>
        <v>46048766.39</v>
      </c>
      <c r="E44" s="44">
        <f t="shared" si="9"/>
        <v>46200197.3</v>
      </c>
      <c r="F44" s="44">
        <f t="shared" si="9"/>
        <v>46001184.51</v>
      </c>
      <c r="G44" s="44">
        <f t="shared" si="9"/>
        <v>45770125.93</v>
      </c>
      <c r="H44" s="44">
        <f t="shared" si="9"/>
        <v>45473710.54</v>
      </c>
      <c r="I44" s="44">
        <f t="shared" si="9"/>
        <v>45411146.66</v>
      </c>
      <c r="J44" s="44">
        <f t="shared" si="9"/>
        <v>45306890.57</v>
      </c>
      <c r="K44" s="44">
        <f t="shared" si="9"/>
        <v>45249486.06</v>
      </c>
      <c r="L44" s="44">
        <f t="shared" si="9"/>
        <v>45095867.14</v>
      </c>
      <c r="M44" s="44">
        <f t="shared" si="9"/>
        <v>44994288.24</v>
      </c>
      <c r="N44" s="44">
        <f t="shared" si="9"/>
        <v>44885671.58</v>
      </c>
      <c r="O44" s="44">
        <f t="shared" si="9"/>
        <v>44776185.96</v>
      </c>
      <c r="P44" s="44">
        <f t="shared" si="9"/>
        <v>44656245.29</v>
      </c>
      <c r="Q44" s="44">
        <f t="shared" si="9"/>
        <v>44439054.99</v>
      </c>
      <c r="R44" s="44">
        <f t="shared" si="9"/>
        <v>44052905.4</v>
      </c>
      <c r="S44" s="44">
        <f t="shared" si="9"/>
        <v>43636855.06</v>
      </c>
      <c r="T44" s="44">
        <f t="shared" si="9"/>
        <v>43177169.32</v>
      </c>
      <c r="U44" s="44">
        <f t="shared" si="9"/>
        <v>42622490.79</v>
      </c>
      <c r="V44" s="44">
        <f t="shared" si="9"/>
        <v>41970014.6</v>
      </c>
      <c r="W44" s="44">
        <f t="shared" si="9"/>
        <v>41173105.43</v>
      </c>
      <c r="X44" s="44">
        <f t="shared" si="9"/>
        <v>40280981.39</v>
      </c>
      <c r="Y44" s="44">
        <f t="shared" si="9"/>
        <v>39429488.58</v>
      </c>
      <c r="Z44" s="44">
        <f t="shared" si="9"/>
        <v>38813284.5</v>
      </c>
      <c r="AA44" s="44">
        <f t="shared" si="9"/>
        <v>38198237.29</v>
      </c>
      <c r="AB44" s="44">
        <f t="shared" si="9"/>
        <v>37644161.27</v>
      </c>
      <c r="AC44" s="44">
        <f t="shared" si="9"/>
        <v>37079115.02</v>
      </c>
      <c r="AD44" s="44">
        <f t="shared" si="9"/>
        <v>36475747.62</v>
      </c>
      <c r="AE44" s="44">
        <f t="shared" si="9"/>
        <v>36091138.94</v>
      </c>
      <c r="AF44" s="44">
        <f t="shared" si="9"/>
        <v>35926742.91</v>
      </c>
      <c r="AG44" s="44">
        <f t="shared" si="9"/>
        <v>35776140.25</v>
      </c>
      <c r="AH44" s="44">
        <f t="shared" si="9"/>
        <v>35557694.18</v>
      </c>
      <c r="AI44" s="44">
        <f t="shared" si="9"/>
        <v>35364197</v>
      </c>
      <c r="AJ44" s="44">
        <f t="shared" si="9"/>
        <v>35189959.98</v>
      </c>
      <c r="AK44" s="44">
        <f t="shared" si="9"/>
        <v>34929131.47</v>
      </c>
      <c r="AL44" s="44">
        <f t="shared" si="9"/>
        <v>34658805.61</v>
      </c>
      <c r="AM44" s="44">
        <f t="shared" si="9"/>
        <v>34549179.04</v>
      </c>
      <c r="AN44" s="44">
        <f t="shared" si="9"/>
        <v>34475331.31</v>
      </c>
      <c r="AO44" s="44">
        <f t="shared" si="9"/>
        <v>34121889.2</v>
      </c>
      <c r="AP44" s="44">
        <f t="shared" si="9"/>
        <v>33658252.06</v>
      </c>
    </row>
    <row r="45" ht="15.75" customHeight="1">
      <c r="A45" s="44" t="s">
        <v>30</v>
      </c>
      <c r="B45" s="44">
        <f t="shared" ref="B45:AP45" si="10">B22</f>
        <v>9717304.663</v>
      </c>
      <c r="C45" s="44">
        <f t="shared" si="10"/>
        <v>9992431.668</v>
      </c>
      <c r="D45" s="44">
        <f t="shared" si="10"/>
        <v>10560771.79</v>
      </c>
      <c r="E45" s="44">
        <f t="shared" si="10"/>
        <v>11168246.7</v>
      </c>
      <c r="F45" s="44">
        <f t="shared" si="10"/>
        <v>11771231.74</v>
      </c>
      <c r="G45" s="44">
        <f t="shared" si="10"/>
        <v>12507316.26</v>
      </c>
      <c r="H45" s="44">
        <f t="shared" si="10"/>
        <v>13264990.49</v>
      </c>
      <c r="I45" s="44">
        <f t="shared" si="10"/>
        <v>13590068.07</v>
      </c>
      <c r="J45" s="44">
        <f t="shared" si="10"/>
        <v>13977282.44</v>
      </c>
      <c r="K45" s="44">
        <f t="shared" si="10"/>
        <v>14133249.1</v>
      </c>
      <c r="L45" s="44">
        <f t="shared" si="10"/>
        <v>14304187.19</v>
      </c>
      <c r="M45" s="44">
        <f t="shared" si="10"/>
        <v>14463203.09</v>
      </c>
      <c r="N45" s="44">
        <f t="shared" si="10"/>
        <v>14527159.69</v>
      </c>
      <c r="O45" s="44">
        <f t="shared" si="10"/>
        <v>14563293.97</v>
      </c>
      <c r="P45" s="44">
        <f t="shared" si="10"/>
        <v>14726267.55</v>
      </c>
      <c r="Q45" s="44">
        <f t="shared" si="10"/>
        <v>14947898.74</v>
      </c>
      <c r="R45" s="44">
        <f t="shared" si="10"/>
        <v>15198720.07</v>
      </c>
      <c r="S45" s="44">
        <f t="shared" si="10"/>
        <v>15275526.04</v>
      </c>
      <c r="T45" s="44">
        <f t="shared" si="10"/>
        <v>15001251.73</v>
      </c>
      <c r="U45" s="44">
        <f t="shared" si="10"/>
        <v>15115151.29</v>
      </c>
      <c r="V45" s="44">
        <f t="shared" si="10"/>
        <v>15420416.48</v>
      </c>
      <c r="W45" s="44">
        <f t="shared" si="10"/>
        <v>16043117.68</v>
      </c>
      <c r="X45" s="44">
        <f t="shared" si="10"/>
        <v>16667689.91</v>
      </c>
      <c r="Y45" s="44">
        <f t="shared" si="10"/>
        <v>17259302.94</v>
      </c>
      <c r="Z45" s="44">
        <f t="shared" si="10"/>
        <v>17704559.97</v>
      </c>
      <c r="AA45" s="44">
        <f t="shared" si="10"/>
        <v>17963291.67</v>
      </c>
      <c r="AB45" s="44">
        <f t="shared" si="10"/>
        <v>18148725.46</v>
      </c>
      <c r="AC45" s="44">
        <f t="shared" si="10"/>
        <v>18261282.86</v>
      </c>
      <c r="AD45" s="44">
        <f t="shared" si="10"/>
        <v>18677979.71</v>
      </c>
      <c r="AE45" s="44">
        <f t="shared" si="10"/>
        <v>19083436.82</v>
      </c>
      <c r="AF45" s="44">
        <f t="shared" si="10"/>
        <v>19296447.14</v>
      </c>
      <c r="AG45" s="44">
        <f t="shared" si="10"/>
        <v>19482284.18</v>
      </c>
      <c r="AH45" s="44">
        <f t="shared" si="10"/>
        <v>19667986.03</v>
      </c>
      <c r="AI45" s="44">
        <f t="shared" si="10"/>
        <v>19639805.15</v>
      </c>
      <c r="AJ45" s="44">
        <f t="shared" si="10"/>
        <v>19719144.28</v>
      </c>
      <c r="AK45" s="44">
        <f t="shared" si="10"/>
        <v>19827140.51</v>
      </c>
      <c r="AL45" s="44">
        <f t="shared" si="10"/>
        <v>19863106.42</v>
      </c>
      <c r="AM45" s="44">
        <f t="shared" si="10"/>
        <v>19947287.29</v>
      </c>
      <c r="AN45" s="44">
        <f t="shared" si="10"/>
        <v>19956798.13</v>
      </c>
      <c r="AO45" s="44">
        <f t="shared" si="10"/>
        <v>20168395.59</v>
      </c>
      <c r="AP45" s="44">
        <f t="shared" si="10"/>
        <v>20463313.04</v>
      </c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</row>
    <row r="47" ht="15.75" customHeight="1">
      <c r="A47" s="144" t="s">
        <v>107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</row>
    <row r="48" ht="15.75" customHeight="1">
      <c r="A48" s="145" t="s">
        <v>14</v>
      </c>
      <c r="B48" s="146">
        <f t="shared" ref="B48:AP48" si="11">B42/1000000</f>
        <v>34.29729588</v>
      </c>
      <c r="C48" s="146">
        <f t="shared" si="11"/>
        <v>34.33113806</v>
      </c>
      <c r="D48" s="146">
        <f t="shared" si="11"/>
        <v>33.82097592</v>
      </c>
      <c r="E48" s="146">
        <f t="shared" si="11"/>
        <v>33.35202409</v>
      </c>
      <c r="F48" s="146">
        <f t="shared" si="11"/>
        <v>32.9927593</v>
      </c>
      <c r="G48" s="146">
        <f t="shared" si="11"/>
        <v>32.75080694</v>
      </c>
      <c r="H48" s="146">
        <f t="shared" si="11"/>
        <v>32.46927936</v>
      </c>
      <c r="I48" s="146">
        <f t="shared" si="11"/>
        <v>32.26604107</v>
      </c>
      <c r="J48" s="146">
        <f t="shared" si="11"/>
        <v>32.10015839</v>
      </c>
      <c r="K48" s="146">
        <f t="shared" si="11"/>
        <v>31.96985854</v>
      </c>
      <c r="L48" s="146">
        <f t="shared" si="11"/>
        <v>31.83834564</v>
      </c>
      <c r="M48" s="146">
        <f t="shared" si="11"/>
        <v>31.67970191</v>
      </c>
      <c r="N48" s="146">
        <f t="shared" si="11"/>
        <v>31.51753395</v>
      </c>
      <c r="O48" s="146">
        <f t="shared" si="11"/>
        <v>31.33305107</v>
      </c>
      <c r="P48" s="146">
        <f t="shared" si="11"/>
        <v>31.18240397</v>
      </c>
      <c r="Q48" s="146">
        <f t="shared" si="11"/>
        <v>31.10520444</v>
      </c>
      <c r="R48" s="146">
        <f t="shared" si="11"/>
        <v>31.08290717</v>
      </c>
      <c r="S48" s="146">
        <f t="shared" si="11"/>
        <v>31.09116133</v>
      </c>
      <c r="T48" s="146">
        <f t="shared" si="11"/>
        <v>31.07905159</v>
      </c>
      <c r="U48" s="146">
        <f t="shared" si="11"/>
        <v>31.04835928</v>
      </c>
      <c r="V48" s="146">
        <f t="shared" si="11"/>
        <v>31.05273412</v>
      </c>
      <c r="W48" s="146">
        <f t="shared" si="11"/>
        <v>31.07183625</v>
      </c>
      <c r="X48" s="146">
        <f t="shared" si="11"/>
        <v>31.13297752</v>
      </c>
      <c r="Y48" s="146">
        <f t="shared" si="11"/>
        <v>31.16566278</v>
      </c>
      <c r="Z48" s="146">
        <f t="shared" si="11"/>
        <v>31.19288288</v>
      </c>
      <c r="AA48" s="146">
        <f t="shared" si="11"/>
        <v>31.23461506</v>
      </c>
      <c r="AB48" s="146">
        <f t="shared" si="11"/>
        <v>31.27973882</v>
      </c>
      <c r="AC48" s="146">
        <f t="shared" si="11"/>
        <v>31.32500426</v>
      </c>
      <c r="AD48" s="146">
        <f t="shared" si="11"/>
        <v>31.35473143</v>
      </c>
      <c r="AE48" s="146">
        <f t="shared" si="11"/>
        <v>31.37083741</v>
      </c>
      <c r="AF48" s="146">
        <f t="shared" si="11"/>
        <v>31.40511158</v>
      </c>
      <c r="AG48" s="146">
        <f t="shared" si="11"/>
        <v>31.41411909</v>
      </c>
      <c r="AH48" s="146">
        <f t="shared" si="11"/>
        <v>31.4006041</v>
      </c>
      <c r="AI48" s="146">
        <f t="shared" si="11"/>
        <v>31.36300619</v>
      </c>
      <c r="AJ48" s="146">
        <f t="shared" si="11"/>
        <v>31.28942914</v>
      </c>
      <c r="AK48" s="146">
        <f t="shared" si="11"/>
        <v>31.2020438</v>
      </c>
      <c r="AL48" s="146">
        <f t="shared" si="11"/>
        <v>31.04784804</v>
      </c>
      <c r="AM48" s="146">
        <f t="shared" si="11"/>
        <v>30.94678265</v>
      </c>
      <c r="AN48" s="146">
        <f t="shared" si="11"/>
        <v>30.83219371</v>
      </c>
      <c r="AO48" s="146">
        <f t="shared" si="11"/>
        <v>30.79472762</v>
      </c>
      <c r="AP48" s="146">
        <f t="shared" si="11"/>
        <v>30.83331842</v>
      </c>
      <c r="AQ48" s="147"/>
      <c r="AR48" s="148"/>
      <c r="AS48" s="147"/>
      <c r="AT48" s="147"/>
    </row>
    <row r="49" ht="15.75" customHeight="1">
      <c r="A49" s="145" t="s">
        <v>106</v>
      </c>
      <c r="B49" s="146">
        <f t="shared" ref="B49:AP49" si="12">B43/1000000</f>
        <v>10.1470304</v>
      </c>
      <c r="C49" s="146">
        <f t="shared" si="12"/>
        <v>8.677502299</v>
      </c>
      <c r="D49" s="146">
        <f t="shared" si="12"/>
        <v>7.958574305</v>
      </c>
      <c r="E49" s="146">
        <f t="shared" si="12"/>
        <v>7.561619528</v>
      </c>
      <c r="F49" s="146">
        <f t="shared" si="12"/>
        <v>7.432871205</v>
      </c>
      <c r="G49" s="146">
        <f t="shared" si="12"/>
        <v>7.114984381</v>
      </c>
      <c r="H49" s="146">
        <f t="shared" si="12"/>
        <v>6.806325653</v>
      </c>
      <c r="I49" s="146">
        <f t="shared" si="12"/>
        <v>6.637726952</v>
      </c>
      <c r="J49" s="146">
        <f t="shared" si="12"/>
        <v>6.445807443</v>
      </c>
      <c r="K49" s="146">
        <f t="shared" si="12"/>
        <v>6.37449397</v>
      </c>
      <c r="L49" s="146">
        <f t="shared" si="12"/>
        <v>6.458776992</v>
      </c>
      <c r="M49" s="146">
        <f t="shared" si="12"/>
        <v>6.540489536</v>
      </c>
      <c r="N49" s="146">
        <f t="shared" si="12"/>
        <v>6.643709122</v>
      </c>
      <c r="O49" s="146">
        <f t="shared" si="12"/>
        <v>6.867671163</v>
      </c>
      <c r="P49" s="146">
        <f t="shared" si="12"/>
        <v>6.871117141</v>
      </c>
      <c r="Q49" s="146">
        <f t="shared" si="12"/>
        <v>6.908362679</v>
      </c>
      <c r="R49" s="146">
        <f t="shared" si="12"/>
        <v>6.950491187</v>
      </c>
      <c r="S49" s="146">
        <f t="shared" si="12"/>
        <v>7.136964919</v>
      </c>
      <c r="T49" s="146">
        <f t="shared" si="12"/>
        <v>7.764439778</v>
      </c>
      <c r="U49" s="146">
        <f t="shared" si="12"/>
        <v>8.05357989</v>
      </c>
      <c r="V49" s="146">
        <f t="shared" si="12"/>
        <v>8.22233795</v>
      </c>
      <c r="W49" s="146">
        <f t="shared" si="12"/>
        <v>8.237310867</v>
      </c>
      <c r="X49" s="146">
        <f t="shared" si="12"/>
        <v>8.276100781</v>
      </c>
      <c r="Y49" s="146">
        <f t="shared" si="12"/>
        <v>8.341755026</v>
      </c>
      <c r="Z49" s="146">
        <f t="shared" si="12"/>
        <v>8.282723819</v>
      </c>
      <c r="AA49" s="146">
        <f t="shared" si="12"/>
        <v>8.370454807</v>
      </c>
      <c r="AB49" s="146">
        <f t="shared" si="12"/>
        <v>8.456683193</v>
      </c>
      <c r="AC49" s="146">
        <f t="shared" si="12"/>
        <v>8.636970691</v>
      </c>
      <c r="AD49" s="146">
        <f t="shared" si="12"/>
        <v>8.521169123</v>
      </c>
      <c r="AE49" s="146">
        <f t="shared" si="12"/>
        <v>8.357296932</v>
      </c>
      <c r="AF49" s="146">
        <f t="shared" si="12"/>
        <v>8.258553527</v>
      </c>
      <c r="AG49" s="146">
        <f t="shared" si="12"/>
        <v>8.218298775</v>
      </c>
      <c r="AH49" s="146">
        <f t="shared" si="12"/>
        <v>8.317321726</v>
      </c>
      <c r="AI49" s="146">
        <f t="shared" si="12"/>
        <v>8.576455994</v>
      </c>
      <c r="AJ49" s="146">
        <f t="shared" si="12"/>
        <v>8.741857071</v>
      </c>
      <c r="AK49" s="146">
        <f t="shared" si="12"/>
        <v>8.955713181</v>
      </c>
      <c r="AL49" s="146">
        <f t="shared" si="12"/>
        <v>9.32647172</v>
      </c>
      <c r="AM49" s="146">
        <f t="shared" si="12"/>
        <v>9.363107305</v>
      </c>
      <c r="AN49" s="146">
        <f t="shared" si="12"/>
        <v>9.50761886</v>
      </c>
      <c r="AO49" s="146">
        <f t="shared" si="12"/>
        <v>9.746200831</v>
      </c>
      <c r="AP49" s="146">
        <f t="shared" si="12"/>
        <v>9.860673442</v>
      </c>
      <c r="AQ49" s="147"/>
      <c r="AR49" s="148"/>
      <c r="AS49" s="147"/>
      <c r="AT49" s="147"/>
    </row>
    <row r="50" ht="15.75" customHeight="1">
      <c r="A50" s="145" t="s">
        <v>33</v>
      </c>
      <c r="B50" s="146">
        <f t="shared" ref="B50:AP50" si="13">B44/1000000</f>
        <v>44.59644194</v>
      </c>
      <c r="C50" s="146">
        <f t="shared" si="13"/>
        <v>45.56176552</v>
      </c>
      <c r="D50" s="146">
        <f t="shared" si="13"/>
        <v>46.04876639</v>
      </c>
      <c r="E50" s="146">
        <f t="shared" si="13"/>
        <v>46.2001973</v>
      </c>
      <c r="F50" s="146">
        <f t="shared" si="13"/>
        <v>46.00118451</v>
      </c>
      <c r="G50" s="146">
        <f t="shared" si="13"/>
        <v>45.77012593</v>
      </c>
      <c r="H50" s="146">
        <f t="shared" si="13"/>
        <v>45.47371054</v>
      </c>
      <c r="I50" s="146">
        <f t="shared" si="13"/>
        <v>45.41114666</v>
      </c>
      <c r="J50" s="146">
        <f t="shared" si="13"/>
        <v>45.30689057</v>
      </c>
      <c r="K50" s="146">
        <f t="shared" si="13"/>
        <v>45.24948606</v>
      </c>
      <c r="L50" s="146">
        <f t="shared" si="13"/>
        <v>45.09586714</v>
      </c>
      <c r="M50" s="146">
        <f t="shared" si="13"/>
        <v>44.99428824</v>
      </c>
      <c r="N50" s="146">
        <f t="shared" si="13"/>
        <v>44.88567158</v>
      </c>
      <c r="O50" s="146">
        <f t="shared" si="13"/>
        <v>44.77618596</v>
      </c>
      <c r="P50" s="146">
        <f t="shared" si="13"/>
        <v>44.65624529</v>
      </c>
      <c r="Q50" s="146">
        <f t="shared" si="13"/>
        <v>44.43905499</v>
      </c>
      <c r="R50" s="146">
        <f t="shared" si="13"/>
        <v>44.0529054</v>
      </c>
      <c r="S50" s="146">
        <f t="shared" si="13"/>
        <v>43.63685506</v>
      </c>
      <c r="T50" s="146">
        <f t="shared" si="13"/>
        <v>43.17716932</v>
      </c>
      <c r="U50" s="146">
        <f t="shared" si="13"/>
        <v>42.62249079</v>
      </c>
      <c r="V50" s="146">
        <f t="shared" si="13"/>
        <v>41.9700146</v>
      </c>
      <c r="W50" s="146">
        <f t="shared" si="13"/>
        <v>41.17310543</v>
      </c>
      <c r="X50" s="146">
        <f t="shared" si="13"/>
        <v>40.28098139</v>
      </c>
      <c r="Y50" s="146">
        <f t="shared" si="13"/>
        <v>39.42948858</v>
      </c>
      <c r="Z50" s="146">
        <f t="shared" si="13"/>
        <v>38.8132845</v>
      </c>
      <c r="AA50" s="146">
        <f t="shared" si="13"/>
        <v>38.19823729</v>
      </c>
      <c r="AB50" s="146">
        <f t="shared" si="13"/>
        <v>37.64416127</v>
      </c>
      <c r="AC50" s="146">
        <f t="shared" si="13"/>
        <v>37.07911502</v>
      </c>
      <c r="AD50" s="146">
        <f t="shared" si="13"/>
        <v>36.47574762</v>
      </c>
      <c r="AE50" s="146">
        <f t="shared" si="13"/>
        <v>36.09113894</v>
      </c>
      <c r="AF50" s="146">
        <f t="shared" si="13"/>
        <v>35.92674291</v>
      </c>
      <c r="AG50" s="146">
        <f t="shared" si="13"/>
        <v>35.77614025</v>
      </c>
      <c r="AH50" s="146">
        <f t="shared" si="13"/>
        <v>35.55769418</v>
      </c>
      <c r="AI50" s="146">
        <f t="shared" si="13"/>
        <v>35.364197</v>
      </c>
      <c r="AJ50" s="146">
        <f t="shared" si="13"/>
        <v>35.18995998</v>
      </c>
      <c r="AK50" s="146">
        <f t="shared" si="13"/>
        <v>34.92913147</v>
      </c>
      <c r="AL50" s="146">
        <f t="shared" si="13"/>
        <v>34.65880561</v>
      </c>
      <c r="AM50" s="146">
        <f t="shared" si="13"/>
        <v>34.54917904</v>
      </c>
      <c r="AN50" s="146">
        <f t="shared" si="13"/>
        <v>34.47533131</v>
      </c>
      <c r="AO50" s="146">
        <f t="shared" si="13"/>
        <v>34.1218892</v>
      </c>
      <c r="AP50" s="146">
        <f t="shared" si="13"/>
        <v>33.65825206</v>
      </c>
      <c r="AQ50" s="147"/>
      <c r="AR50" s="147"/>
      <c r="AS50" s="147"/>
      <c r="AT50" s="147"/>
    </row>
    <row r="51" ht="15.75" customHeight="1">
      <c r="A51" s="145" t="s">
        <v>30</v>
      </c>
      <c r="B51" s="146">
        <f t="shared" ref="B51:AP51" si="14">B45/1000000</f>
        <v>9.717304663</v>
      </c>
      <c r="C51" s="146">
        <f t="shared" si="14"/>
        <v>9.992431668</v>
      </c>
      <c r="D51" s="146">
        <f t="shared" si="14"/>
        <v>10.56077179</v>
      </c>
      <c r="E51" s="146">
        <f t="shared" si="14"/>
        <v>11.1682467</v>
      </c>
      <c r="F51" s="146">
        <f t="shared" si="14"/>
        <v>11.77123174</v>
      </c>
      <c r="G51" s="146">
        <f t="shared" si="14"/>
        <v>12.50731626</v>
      </c>
      <c r="H51" s="146">
        <f t="shared" si="14"/>
        <v>13.26499049</v>
      </c>
      <c r="I51" s="146">
        <f t="shared" si="14"/>
        <v>13.59006807</v>
      </c>
      <c r="J51" s="146">
        <f t="shared" si="14"/>
        <v>13.97728244</v>
      </c>
      <c r="K51" s="146">
        <f t="shared" si="14"/>
        <v>14.1332491</v>
      </c>
      <c r="L51" s="146">
        <f t="shared" si="14"/>
        <v>14.30418719</v>
      </c>
      <c r="M51" s="146">
        <f t="shared" si="14"/>
        <v>14.46320309</v>
      </c>
      <c r="N51" s="146">
        <f t="shared" si="14"/>
        <v>14.52715969</v>
      </c>
      <c r="O51" s="146">
        <f t="shared" si="14"/>
        <v>14.56329397</v>
      </c>
      <c r="P51" s="146">
        <f t="shared" si="14"/>
        <v>14.72626755</v>
      </c>
      <c r="Q51" s="146">
        <f t="shared" si="14"/>
        <v>14.94789874</v>
      </c>
      <c r="R51" s="146">
        <f t="shared" si="14"/>
        <v>15.19872007</v>
      </c>
      <c r="S51" s="146">
        <f t="shared" si="14"/>
        <v>15.27552604</v>
      </c>
      <c r="T51" s="146">
        <f t="shared" si="14"/>
        <v>15.00125173</v>
      </c>
      <c r="U51" s="146">
        <f t="shared" si="14"/>
        <v>15.11515129</v>
      </c>
      <c r="V51" s="146">
        <f t="shared" si="14"/>
        <v>15.42041648</v>
      </c>
      <c r="W51" s="146">
        <f t="shared" si="14"/>
        <v>16.04311768</v>
      </c>
      <c r="X51" s="146">
        <f t="shared" si="14"/>
        <v>16.66768991</v>
      </c>
      <c r="Y51" s="146">
        <f t="shared" si="14"/>
        <v>17.25930294</v>
      </c>
      <c r="Z51" s="146">
        <f t="shared" si="14"/>
        <v>17.70455997</v>
      </c>
      <c r="AA51" s="146">
        <f t="shared" si="14"/>
        <v>17.96329167</v>
      </c>
      <c r="AB51" s="146">
        <f t="shared" si="14"/>
        <v>18.14872546</v>
      </c>
      <c r="AC51" s="146">
        <f t="shared" si="14"/>
        <v>18.26128286</v>
      </c>
      <c r="AD51" s="146">
        <f t="shared" si="14"/>
        <v>18.67797971</v>
      </c>
      <c r="AE51" s="146">
        <f t="shared" si="14"/>
        <v>19.08343682</v>
      </c>
      <c r="AF51" s="146">
        <f t="shared" si="14"/>
        <v>19.29644714</v>
      </c>
      <c r="AG51" s="146">
        <f t="shared" si="14"/>
        <v>19.48228418</v>
      </c>
      <c r="AH51" s="146">
        <f t="shared" si="14"/>
        <v>19.66798603</v>
      </c>
      <c r="AI51" s="146">
        <f t="shared" si="14"/>
        <v>19.63980515</v>
      </c>
      <c r="AJ51" s="146">
        <f t="shared" si="14"/>
        <v>19.71914428</v>
      </c>
      <c r="AK51" s="146">
        <f t="shared" si="14"/>
        <v>19.82714051</v>
      </c>
      <c r="AL51" s="146">
        <f t="shared" si="14"/>
        <v>19.86310642</v>
      </c>
      <c r="AM51" s="146">
        <f t="shared" si="14"/>
        <v>19.94728729</v>
      </c>
      <c r="AN51" s="146">
        <f t="shared" si="14"/>
        <v>19.95679813</v>
      </c>
      <c r="AO51" s="146">
        <f t="shared" si="14"/>
        <v>20.16839559</v>
      </c>
      <c r="AP51" s="146">
        <f t="shared" si="14"/>
        <v>20.46331304</v>
      </c>
      <c r="AQ51" s="147"/>
      <c r="AR51" s="147"/>
      <c r="AS51" s="147"/>
      <c r="AT51" s="147"/>
    </row>
    <row r="52" ht="15.75" customHeight="1">
      <c r="B52" s="149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</row>
    <row r="53" ht="15.75" customHeight="1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</row>
    <row r="54" ht="15.75" customHeight="1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</row>
    <row r="55" ht="15.75" customHeight="1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</row>
    <row r="56" ht="15.75" customHeight="1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</row>
    <row r="57" ht="15.75" customHeight="1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</row>
    <row r="58" ht="15.75" customHeight="1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</row>
    <row r="59" ht="15.75" customHeight="1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</row>
    <row r="60" ht="15.75" customHeight="1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</row>
    <row r="61" ht="15.75" customHeight="1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</row>
    <row r="62" ht="15.75" customHeight="1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</row>
    <row r="63" ht="15.75" customHeight="1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</row>
    <row r="64" ht="15.75" customHeight="1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</row>
    <row r="65" ht="15.75" customHeight="1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</row>
    <row r="66" ht="15.75" customHeight="1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</row>
    <row r="67" ht="15.75" customHeight="1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</row>
    <row r="68" ht="15.75" customHeight="1"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</row>
    <row r="69" ht="15.75" customHeight="1"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</row>
    <row r="70" ht="15.75" customHeight="1"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</row>
    <row r="71" ht="15.75" customHeight="1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</row>
    <row r="72" ht="15.75" customHeight="1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</row>
    <row r="73" ht="15.75" customHeight="1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</row>
    <row r="74" ht="15.75" customHeight="1"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</row>
    <row r="75" ht="15.75" customHeight="1"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</row>
    <row r="76" ht="15.75" customHeight="1"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</row>
    <row r="77" ht="15.75" customHeight="1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</row>
    <row r="78" ht="15.75" customHeight="1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</row>
    <row r="79" ht="15.75" customHeight="1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</row>
    <row r="80" ht="15.75" customHeight="1"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</row>
    <row r="81" ht="15.75" customHeight="1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</row>
    <row r="82" ht="15.75" customHeight="1"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</row>
    <row r="83" ht="15.75" customHeight="1"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</row>
    <row r="84" ht="15.75" customHeight="1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</row>
    <row r="85" ht="15.75" customHeight="1"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</row>
    <row r="86" ht="15.75" customHeight="1"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</row>
    <row r="87" ht="15.75" customHeight="1"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</row>
    <row r="88" ht="15.75" customHeight="1"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</row>
    <row r="89" ht="15.75" customHeight="1"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</row>
    <row r="90" ht="15.75" customHeight="1"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</row>
    <row r="91" ht="15.75" customHeight="1"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</row>
    <row r="92" ht="15.75" customHeight="1"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</row>
    <row r="93" ht="15.75" customHeight="1"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</row>
    <row r="94" ht="15.75" customHeight="1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</row>
    <row r="95" ht="15.75" customHeight="1"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</row>
    <row r="96" ht="15.75" customHeight="1"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</row>
    <row r="97" ht="15.75" customHeight="1"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</row>
    <row r="98" ht="15.75" customHeight="1"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</row>
    <row r="99" ht="15.75" customHeight="1"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</row>
    <row r="100" ht="15.75" customHeight="1"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</row>
    <row r="101" ht="15.75" customHeight="1"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</row>
    <row r="102" ht="15.75" customHeight="1"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</row>
    <row r="103" ht="15.75" customHeight="1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</row>
    <row r="104" ht="15.75" customHeight="1"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</row>
    <row r="105" ht="15.75" customHeight="1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</row>
    <row r="106" ht="15.75" customHeight="1"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</row>
    <row r="107" ht="15.75" customHeight="1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</row>
    <row r="108" ht="15.75" customHeight="1"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</row>
    <row r="109" ht="15.75" customHeight="1"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</row>
    <row r="110" ht="15.75" customHeight="1"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</row>
    <row r="111" ht="15.75" customHeight="1"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</row>
    <row r="112" ht="15.75" customHeight="1"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</row>
    <row r="113" ht="15.75" customHeight="1"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</row>
    <row r="114" ht="15.75" customHeight="1"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</row>
    <row r="115" ht="15.75" customHeight="1"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</row>
    <row r="116" ht="15.75" customHeight="1"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</row>
    <row r="117" ht="15.75" customHeight="1"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</row>
    <row r="118" ht="15.75" customHeight="1"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</row>
    <row r="119" ht="15.75" customHeight="1"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</row>
    <row r="120" ht="15.75" customHeight="1"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</row>
    <row r="121" ht="15.75" customHeight="1"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</row>
    <row r="122" ht="15.75" customHeight="1"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</row>
    <row r="123" ht="15.75" customHeight="1"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</row>
    <row r="124" ht="15.75" customHeight="1"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</row>
    <row r="125" ht="15.75" customHeight="1"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</row>
    <row r="126" ht="15.75" customHeight="1"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</row>
    <row r="127" ht="15.75" customHeight="1"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</row>
    <row r="128" ht="15.75" customHeight="1"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</row>
    <row r="129" ht="15.75" customHeight="1"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</row>
    <row r="130" ht="15.75" customHeight="1"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</row>
    <row r="131" ht="15.75" customHeight="1"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</row>
    <row r="132" ht="15.75" customHeight="1"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</row>
    <row r="133" ht="15.75" customHeight="1"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</row>
    <row r="134" ht="15.75" customHeight="1"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</row>
    <row r="135" ht="15.75" customHeight="1"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</row>
    <row r="136" ht="15.75" customHeight="1"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</row>
    <row r="137" ht="15.75" customHeight="1"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</row>
    <row r="138" ht="15.75" customHeight="1"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</row>
    <row r="139" ht="15.75" customHeight="1"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</row>
    <row r="140" ht="15.75" customHeight="1"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</row>
    <row r="141" ht="15.75" customHeight="1"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</row>
    <row r="142" ht="15.75" customHeight="1"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</row>
    <row r="143" ht="15.75" customHeight="1"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</row>
    <row r="144" ht="15.75" customHeight="1"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</row>
    <row r="145" ht="15.75" customHeight="1"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</row>
    <row r="146" ht="15.75" customHeight="1"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</row>
    <row r="147" ht="15.75" customHeight="1"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</row>
    <row r="148" ht="15.75" customHeight="1"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</row>
    <row r="149" ht="15.75" customHeight="1"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</row>
    <row r="150" ht="15.75" customHeight="1"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</row>
    <row r="151" ht="15.75" customHeight="1"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</row>
    <row r="152" ht="15.75" customHeight="1"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</row>
    <row r="153" ht="15.75" customHeight="1"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</row>
    <row r="154" ht="15.75" customHeight="1"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</row>
    <row r="155" ht="15.75" customHeight="1"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</row>
    <row r="156" ht="15.75" customHeight="1"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</row>
    <row r="157" ht="15.75" customHeight="1"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</row>
    <row r="158" ht="15.75" customHeight="1"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</row>
    <row r="159" ht="15.75" customHeight="1"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</row>
    <row r="160" ht="15.75" customHeight="1"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</row>
    <row r="161" ht="15.75" customHeight="1"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</row>
    <row r="162" ht="15.75" customHeight="1"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</row>
    <row r="163" ht="15.75" customHeight="1"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</row>
    <row r="164" ht="15.75" customHeight="1"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</row>
    <row r="165" ht="15.75" customHeight="1"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</row>
    <row r="166" ht="15.75" customHeight="1"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</row>
    <row r="167" ht="15.75" customHeight="1"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</row>
    <row r="168" ht="15.75" customHeight="1"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</row>
    <row r="169" ht="15.75" customHeight="1"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</row>
    <row r="170" ht="15.75" customHeight="1"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</row>
    <row r="171" ht="15.75" customHeight="1"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</row>
    <row r="172" ht="15.75" customHeight="1"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</row>
    <row r="173" ht="15.75" customHeight="1"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</row>
    <row r="174" ht="15.75" customHeight="1"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</row>
    <row r="175" ht="15.75" customHeight="1"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</row>
    <row r="176" ht="15.75" customHeight="1"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</row>
    <row r="177" ht="15.75" customHeight="1"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</row>
    <row r="178" ht="15.75" customHeight="1"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</row>
    <row r="179" ht="15.75" customHeight="1"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</row>
    <row r="180" ht="15.75" customHeight="1"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</row>
    <row r="181" ht="15.75" customHeight="1"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</row>
    <row r="182" ht="15.75" customHeight="1"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</row>
    <row r="183" ht="15.75" customHeight="1"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</row>
    <row r="184" ht="15.75" customHeight="1"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</row>
    <row r="185" ht="15.75" customHeight="1"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</row>
    <row r="186" ht="15.75" customHeight="1"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</row>
    <row r="187" ht="15.75" customHeight="1"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</row>
    <row r="188" ht="15.75" customHeight="1"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</row>
    <row r="189" ht="15.75" customHeight="1"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</row>
    <row r="190" ht="15.75" customHeight="1"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</row>
    <row r="191" ht="15.75" customHeight="1"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</row>
    <row r="192" ht="15.75" customHeight="1"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</row>
    <row r="193" ht="15.75" customHeight="1"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</row>
    <row r="194" ht="15.75" customHeight="1"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</row>
    <row r="195" ht="15.75" customHeight="1"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</row>
    <row r="196" ht="15.75" customHeight="1"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</row>
    <row r="197" ht="15.7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</row>
    <row r="198" ht="15.75" customHeight="1"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</row>
    <row r="199" ht="15.75" customHeight="1"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</row>
    <row r="200" ht="15.75" customHeight="1"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</row>
    <row r="201" ht="15.75" customHeight="1"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</row>
    <row r="202" ht="15.75" customHeight="1"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</row>
    <row r="203" ht="15.75" customHeight="1"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</row>
    <row r="204" ht="15.75" customHeight="1"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</row>
    <row r="205" ht="15.75" customHeight="1"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</row>
    <row r="206" ht="15.75" customHeight="1"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</row>
    <row r="207" ht="15.75" customHeight="1"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</row>
    <row r="208" ht="15.75" customHeight="1"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</row>
    <row r="209" ht="15.75" customHeight="1"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</row>
    <row r="210" ht="15.75" customHeight="1"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</row>
    <row r="211" ht="15.75" customHeight="1"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</row>
    <row r="212" ht="15.75" customHeight="1"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</row>
    <row r="213" ht="15.75" customHeight="1"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</row>
    <row r="214" ht="15.75" customHeight="1"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</row>
    <row r="215" ht="15.75" customHeight="1"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</row>
    <row r="216" ht="15.75" customHeight="1"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</row>
    <row r="217" ht="15.75" customHeight="1"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</row>
    <row r="218" ht="15.75" customHeight="1"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</row>
    <row r="219" ht="15.75" customHeight="1"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</row>
    <row r="220" ht="15.75" customHeight="1"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</row>
    <row r="221" ht="15.75" customHeight="1"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</row>
    <row r="222" ht="15.75" customHeight="1"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</row>
    <row r="223" ht="15.75" customHeight="1"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</row>
    <row r="224" ht="15.75" customHeight="1"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</row>
    <row r="225" ht="15.75" customHeight="1"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</row>
    <row r="226" ht="15.75" customHeight="1"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</row>
    <row r="227" ht="15.75" customHeight="1"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</row>
    <row r="228" ht="15.75" customHeight="1"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</row>
    <row r="229" ht="15.75" customHeight="1"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</row>
    <row r="230" ht="15.75" customHeight="1"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</row>
    <row r="231" ht="15.75" customHeight="1"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</row>
    <row r="232" ht="15.75" customHeight="1"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</row>
    <row r="233" ht="15.75" customHeight="1"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</row>
    <row r="234" ht="15.75" customHeight="1"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</row>
    <row r="235" ht="15.75" customHeight="1"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</row>
    <row r="236" ht="15.75" customHeight="1"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</row>
    <row r="237" ht="15.75" customHeight="1"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</row>
    <row r="238" ht="15.75" customHeight="1"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</row>
    <row r="239" ht="15.75" customHeight="1"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</row>
    <row r="240" ht="15.75" customHeight="1"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</row>
    <row r="241" ht="15.75" customHeight="1"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</row>
    <row r="242" ht="15.75" customHeight="1"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</row>
    <row r="243" ht="15.75" customHeight="1"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</row>
    <row r="244" ht="15.75" customHeight="1"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</row>
    <row r="245" ht="15.75" customHeight="1"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</row>
    <row r="246" ht="15.75" customHeight="1"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</row>
    <row r="247" ht="15.75" customHeight="1"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</row>
    <row r="248" ht="15.75" customHeight="1"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</row>
    <row r="249" ht="15.75" customHeight="1"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</row>
    <row r="250" ht="15.75" customHeight="1"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</row>
    <row r="251" ht="15.75" customHeight="1"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</row>
    <row r="252" ht="15.75" customHeight="1"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</row>
    <row r="253" ht="15.75" customHeight="1"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</row>
    <row r="254" ht="15.75" customHeight="1"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</row>
    <row r="255" ht="15.75" customHeight="1"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</row>
    <row r="256" ht="15.75" customHeight="1"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</row>
    <row r="257" ht="15.75" customHeight="1"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</row>
    <row r="258" ht="15.75" customHeight="1"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</row>
    <row r="259" ht="15.75" customHeight="1"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</row>
    <row r="260" ht="15.75" customHeight="1"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</row>
    <row r="261" ht="15.75" customHeight="1"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</row>
    <row r="262" ht="15.75" customHeight="1"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</row>
    <row r="263" ht="15.75" customHeight="1"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</row>
    <row r="264" ht="15.75" customHeight="1"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</row>
    <row r="265" ht="15.75" customHeight="1"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</row>
    <row r="266" ht="15.75" customHeight="1"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</row>
    <row r="267" ht="15.75" customHeight="1"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</row>
    <row r="268" ht="15.75" customHeight="1"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</row>
    <row r="269" ht="15.75" customHeight="1"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</row>
    <row r="270" ht="15.75" customHeight="1"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</row>
    <row r="271" ht="15.75" customHeight="1"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</row>
    <row r="272" ht="15.75" customHeight="1"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</row>
    <row r="273" ht="15.75" customHeight="1"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</row>
    <row r="274" ht="15.75" customHeight="1"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</row>
    <row r="275" ht="15.75" customHeight="1"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</row>
    <row r="276" ht="15.75" customHeight="1"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</row>
    <row r="277" ht="15.75" customHeight="1"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</row>
    <row r="278" ht="15.75" customHeight="1"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</row>
    <row r="279" ht="15.75" customHeight="1"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</row>
    <row r="280" ht="15.75" customHeight="1"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</row>
    <row r="281" ht="15.75" customHeight="1"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</row>
    <row r="282" ht="15.75" customHeight="1"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</row>
    <row r="283" ht="15.75" customHeight="1"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</row>
    <row r="284" ht="15.75" customHeight="1"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</row>
    <row r="285" ht="15.75" customHeight="1"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</row>
    <row r="286" ht="15.75" customHeight="1"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</row>
    <row r="287" ht="15.75" customHeight="1"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</row>
    <row r="288" ht="15.75" customHeight="1"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</row>
    <row r="289" ht="15.75" customHeight="1"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</row>
    <row r="290" ht="15.75" customHeight="1"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</row>
    <row r="291" ht="15.75" customHeight="1"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</row>
    <row r="292" ht="15.75" customHeight="1"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</row>
    <row r="293" ht="15.75" customHeight="1"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</row>
    <row r="294" ht="15.75" customHeight="1"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</row>
    <row r="295" ht="15.75" customHeight="1"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</row>
    <row r="296" ht="15.75" customHeight="1"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</row>
    <row r="297" ht="15.75" customHeight="1"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</row>
    <row r="298" ht="15.75" customHeight="1"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</row>
    <row r="299" ht="15.75" customHeight="1"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</row>
    <row r="300" ht="15.75" customHeight="1"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</row>
    <row r="301" ht="15.75" customHeight="1"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</row>
    <row r="302" ht="15.75" customHeight="1"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</row>
    <row r="303" ht="15.75" customHeight="1"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</row>
    <row r="304" ht="15.75" customHeight="1"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</row>
    <row r="305" ht="15.75" customHeight="1"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</row>
    <row r="306" ht="15.75" customHeight="1"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</row>
    <row r="307" ht="15.75" customHeight="1"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</row>
    <row r="308" ht="15.75" customHeight="1"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</row>
    <row r="309" ht="15.75" customHeight="1"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</row>
    <row r="310" ht="15.75" customHeight="1"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</row>
    <row r="311" ht="15.75" customHeight="1"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</row>
    <row r="312" ht="15.75" customHeight="1"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</row>
    <row r="313" ht="15.75" customHeight="1"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</row>
    <row r="314" ht="15.75" customHeight="1"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</row>
    <row r="315" ht="15.75" customHeight="1"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</row>
    <row r="316" ht="15.75" customHeight="1"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</row>
    <row r="317" ht="15.75" customHeight="1"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</row>
    <row r="318" ht="15.75" customHeight="1"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</row>
    <row r="319" ht="15.75" customHeight="1"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</row>
    <row r="320" ht="15.75" customHeight="1"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</row>
    <row r="321" ht="15.75" customHeight="1"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</row>
    <row r="322" ht="15.75" customHeight="1"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</row>
    <row r="323" ht="15.75" customHeight="1"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</row>
    <row r="324" ht="15.75" customHeight="1"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</row>
    <row r="325" ht="15.75" customHeight="1"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</row>
    <row r="326" ht="15.75" customHeight="1"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</row>
    <row r="327" ht="15.75" customHeight="1"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</row>
    <row r="328" ht="15.75" customHeight="1"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</row>
    <row r="329" ht="15.75" customHeight="1"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</row>
    <row r="330" ht="15.75" customHeight="1"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</row>
    <row r="331" ht="15.75" customHeight="1"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</row>
    <row r="332" ht="15.75" customHeight="1"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</row>
    <row r="333" ht="15.75" customHeight="1"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</row>
    <row r="334" ht="15.75" customHeight="1"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</row>
    <row r="335" ht="15.75" customHeight="1"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</row>
    <row r="336" ht="15.75" customHeight="1"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</row>
    <row r="337" ht="15.75" customHeight="1"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</row>
    <row r="338" ht="15.75" customHeight="1"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</row>
    <row r="339" ht="15.75" customHeight="1"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</row>
    <row r="340" ht="15.75" customHeight="1"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</row>
    <row r="341" ht="15.75" customHeight="1"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</row>
    <row r="342" ht="15.75" customHeight="1"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</row>
    <row r="343" ht="15.75" customHeight="1"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</row>
    <row r="344" ht="15.75" customHeight="1"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</row>
    <row r="345" ht="15.75" customHeight="1"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</row>
    <row r="346" ht="15.75" customHeight="1"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</row>
    <row r="347" ht="15.75" customHeight="1"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</row>
    <row r="348" ht="15.75" customHeight="1"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</row>
    <row r="349" ht="15.75" customHeight="1"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</row>
    <row r="350" ht="15.75" customHeight="1"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</row>
    <row r="351" ht="15.75" customHeight="1"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</row>
    <row r="352" ht="15.75" customHeight="1"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</row>
    <row r="353" ht="15.75" customHeight="1"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</row>
    <row r="354" ht="15.75" customHeight="1"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</row>
    <row r="355" ht="15.75" customHeight="1"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</row>
    <row r="356" ht="15.75" customHeight="1"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</row>
    <row r="357" ht="15.75" customHeight="1"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</row>
    <row r="358" ht="15.75" customHeight="1"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</row>
    <row r="359" ht="15.75" customHeight="1"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</row>
    <row r="360" ht="15.75" customHeight="1"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</row>
    <row r="361" ht="15.75" customHeight="1"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</row>
    <row r="362" ht="15.75" customHeight="1"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</row>
    <row r="363" ht="15.75" customHeight="1"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</row>
    <row r="364" ht="15.75" customHeight="1"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</row>
    <row r="365" ht="15.75" customHeight="1"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</row>
    <row r="366" ht="15.75" customHeight="1"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</row>
    <row r="367" ht="15.75" customHeight="1"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</row>
    <row r="368" ht="15.75" customHeight="1"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</row>
    <row r="369" ht="15.75" customHeight="1"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</row>
    <row r="370" ht="15.75" customHeight="1"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</row>
    <row r="371" ht="15.75" customHeight="1"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</row>
    <row r="372" ht="15.75" customHeight="1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</row>
    <row r="373" ht="15.75" customHeight="1"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</row>
    <row r="374" ht="15.75" customHeight="1"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</row>
    <row r="375" ht="15.75" customHeight="1"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</row>
    <row r="376" ht="15.75" customHeight="1"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</row>
    <row r="377" ht="15.75" customHeight="1"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</row>
    <row r="378" ht="15.75" customHeight="1"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</row>
    <row r="379" ht="15.75" customHeight="1"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</row>
    <row r="380" ht="15.75" customHeight="1"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</row>
    <row r="381" ht="15.75" customHeight="1"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</row>
    <row r="382" ht="15.75" customHeight="1"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</row>
    <row r="383" ht="15.75" customHeight="1"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</row>
    <row r="384" ht="15.75" customHeight="1"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</row>
    <row r="385" ht="15.75" customHeight="1"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</row>
    <row r="386" ht="15.75" customHeight="1"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</row>
    <row r="387" ht="15.75" customHeight="1"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</row>
    <row r="388" ht="15.75" customHeight="1"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</row>
    <row r="389" ht="15.75" customHeight="1"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</row>
    <row r="390" ht="15.75" customHeight="1"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</row>
    <row r="391" ht="15.75" customHeight="1"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</row>
    <row r="392" ht="15.75" customHeight="1"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</row>
    <row r="393" ht="15.75" customHeight="1"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</row>
    <row r="394" ht="15.75" customHeight="1"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</row>
    <row r="395" ht="15.75" customHeight="1"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</row>
    <row r="396" ht="15.75" customHeight="1"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</row>
    <row r="397" ht="15.75" customHeight="1"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</row>
    <row r="398" ht="15.75" customHeight="1"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</row>
    <row r="399" ht="15.75" customHeight="1"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</row>
    <row r="400" ht="15.75" customHeight="1"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</row>
    <row r="401" ht="15.75" customHeight="1"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</row>
    <row r="402" ht="15.75" customHeight="1"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</row>
    <row r="403" ht="15.75" customHeight="1"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</row>
    <row r="404" ht="15.75" customHeight="1"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</row>
    <row r="405" ht="15.75" customHeight="1"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</row>
    <row r="406" ht="15.75" customHeight="1"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</row>
    <row r="407" ht="15.75" customHeight="1"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</row>
    <row r="408" ht="15.75" customHeight="1"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</row>
    <row r="409" ht="15.75" customHeight="1"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</row>
    <row r="410" ht="15.75" customHeight="1"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</row>
    <row r="411" ht="15.75" customHeight="1"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</row>
    <row r="412" ht="15.75" customHeight="1"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</row>
    <row r="413" ht="15.75" customHeight="1"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</row>
    <row r="414" ht="15.75" customHeight="1"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</row>
    <row r="415" ht="15.75" customHeight="1"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</row>
    <row r="416" ht="15.75" customHeight="1"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</row>
    <row r="417" ht="15.75" customHeight="1"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</row>
    <row r="418" ht="15.75" customHeight="1"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</row>
    <row r="419" ht="15.75" customHeight="1"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</row>
    <row r="420" ht="15.75" customHeight="1"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</row>
    <row r="421" ht="15.75" customHeight="1"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</row>
    <row r="422" ht="15.75" customHeight="1"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</row>
    <row r="423" ht="15.75" customHeight="1"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</row>
    <row r="424" ht="15.75" customHeight="1"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</row>
    <row r="425" ht="15.75" customHeight="1"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</row>
    <row r="426" ht="15.75" customHeight="1"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</row>
    <row r="427" ht="15.75" customHeight="1"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</row>
    <row r="428" ht="15.75" customHeight="1"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</row>
    <row r="429" ht="15.75" customHeight="1"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</row>
    <row r="430" ht="15.75" customHeight="1"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</row>
    <row r="431" ht="15.75" customHeight="1"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</row>
    <row r="432" ht="15.75" customHeight="1"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</row>
    <row r="433" ht="15.75" customHeight="1"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</row>
    <row r="434" ht="15.75" customHeight="1"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</row>
    <row r="435" ht="15.75" customHeight="1"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</row>
    <row r="436" ht="15.75" customHeight="1"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</row>
    <row r="437" ht="15.75" customHeight="1"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</row>
    <row r="438" ht="15.75" customHeight="1"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</row>
    <row r="439" ht="15.75" customHeight="1"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</row>
    <row r="440" ht="15.75" customHeight="1"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</row>
    <row r="441" ht="15.75" customHeight="1"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</row>
    <row r="442" ht="15.75" customHeight="1"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</row>
    <row r="443" ht="15.75" customHeight="1"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</row>
    <row r="444" ht="15.75" customHeight="1"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</row>
    <row r="445" ht="15.75" customHeight="1"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</row>
    <row r="446" ht="15.75" customHeight="1"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</row>
    <row r="447" ht="15.75" customHeight="1"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</row>
    <row r="448" ht="15.75" customHeight="1"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</row>
    <row r="449" ht="15.75" customHeight="1"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</row>
    <row r="450" ht="15.75" customHeight="1"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</row>
    <row r="451" ht="15.75" customHeight="1"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</row>
    <row r="452" ht="15.75" customHeight="1"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</row>
    <row r="453" ht="15.75" customHeight="1"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</row>
    <row r="454" ht="15.75" customHeight="1"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</row>
    <row r="455" ht="15.75" customHeight="1"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</row>
    <row r="456" ht="15.75" customHeight="1"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</row>
    <row r="457" ht="15.75" customHeight="1"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</row>
    <row r="458" ht="15.75" customHeight="1"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</row>
    <row r="459" ht="15.75" customHeight="1"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</row>
    <row r="460" ht="15.75" customHeight="1"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</row>
    <row r="461" ht="15.75" customHeight="1"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</row>
    <row r="462" ht="15.75" customHeight="1"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</row>
    <row r="463" ht="15.75" customHeight="1"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</row>
    <row r="464" ht="15.75" customHeight="1"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</row>
    <row r="465" ht="15.75" customHeight="1"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</row>
    <row r="466" ht="15.75" customHeight="1"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</row>
    <row r="467" ht="15.75" customHeight="1"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</row>
    <row r="468" ht="15.75" customHeight="1"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</row>
    <row r="469" ht="15.75" customHeight="1"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</row>
    <row r="470" ht="15.75" customHeight="1"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</row>
    <row r="471" ht="15.75" customHeight="1"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</row>
    <row r="472" ht="15.75" customHeight="1"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</row>
    <row r="473" ht="15.75" customHeight="1"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</row>
    <row r="474" ht="15.75" customHeight="1"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</row>
    <row r="475" ht="15.75" customHeight="1"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</row>
    <row r="476" ht="15.75" customHeight="1"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</row>
    <row r="477" ht="15.75" customHeight="1"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</row>
    <row r="478" ht="15.75" customHeight="1"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</row>
    <row r="479" ht="15.75" customHeight="1"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</row>
    <row r="480" ht="15.75" customHeight="1"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</row>
    <row r="481" ht="15.75" customHeight="1"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</row>
    <row r="482" ht="15.75" customHeight="1"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</row>
    <row r="483" ht="15.75" customHeight="1"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</row>
    <row r="484" ht="15.75" customHeight="1"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</row>
    <row r="485" ht="15.75" customHeight="1"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</row>
    <row r="486" ht="15.75" customHeight="1"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</row>
    <row r="487" ht="15.75" customHeight="1"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</row>
    <row r="488" ht="15.75" customHeight="1"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</row>
    <row r="489" ht="15.75" customHeight="1"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</row>
    <row r="490" ht="15.75" customHeight="1"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</row>
    <row r="491" ht="15.75" customHeight="1"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</row>
    <row r="492" ht="15.75" customHeight="1"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</row>
    <row r="493" ht="15.75" customHeight="1"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</row>
    <row r="494" ht="15.75" customHeight="1"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</row>
    <row r="495" ht="15.75" customHeight="1"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</row>
    <row r="496" ht="15.75" customHeight="1"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</row>
    <row r="497" ht="15.75" customHeight="1"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</row>
    <row r="498" ht="15.75" customHeight="1"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</row>
    <row r="499" ht="15.75" customHeight="1"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</row>
    <row r="500" ht="15.75" customHeight="1"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</row>
    <row r="501" ht="15.75" customHeight="1"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</row>
    <row r="502" ht="15.75" customHeight="1"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</row>
    <row r="503" ht="15.75" customHeight="1"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</row>
    <row r="504" ht="15.75" customHeight="1"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</row>
    <row r="505" ht="15.75" customHeight="1"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</row>
    <row r="506" ht="15.75" customHeight="1"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</row>
    <row r="507" ht="15.75" customHeight="1"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</row>
    <row r="508" ht="15.75" customHeight="1"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</row>
    <row r="509" ht="15.75" customHeight="1"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</row>
    <row r="510" ht="15.75" customHeight="1"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</row>
    <row r="511" ht="15.75" customHeight="1"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</row>
    <row r="512" ht="15.75" customHeight="1"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</row>
    <row r="513" ht="15.75" customHeight="1"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</row>
    <row r="514" ht="15.75" customHeight="1"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</row>
    <row r="515" ht="15.75" customHeight="1"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</row>
    <row r="516" ht="15.75" customHeight="1"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</row>
    <row r="517" ht="15.75" customHeight="1"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</row>
    <row r="518" ht="15.75" customHeight="1"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</row>
    <row r="519" ht="15.75" customHeight="1"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</row>
    <row r="520" ht="15.75" customHeight="1"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</row>
    <row r="521" ht="15.75" customHeight="1"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</row>
    <row r="522" ht="15.75" customHeight="1"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</row>
    <row r="523" ht="15.75" customHeight="1"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</row>
    <row r="524" ht="15.75" customHeight="1"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</row>
    <row r="525" ht="15.75" customHeight="1"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</row>
    <row r="526" ht="15.75" customHeight="1"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</row>
    <row r="527" ht="15.75" customHeight="1"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</row>
    <row r="528" ht="15.75" customHeight="1"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</row>
    <row r="529" ht="15.75" customHeight="1"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</row>
    <row r="530" ht="15.75" customHeight="1"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</row>
    <row r="531" ht="15.75" customHeight="1"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</row>
    <row r="532" ht="15.75" customHeight="1"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</row>
    <row r="533" ht="15.75" customHeight="1"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</row>
    <row r="534" ht="15.75" customHeight="1"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</row>
    <row r="535" ht="15.75" customHeight="1"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</row>
    <row r="536" ht="15.75" customHeight="1"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</row>
    <row r="537" ht="15.75" customHeight="1"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</row>
    <row r="538" ht="15.75" customHeight="1"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</row>
    <row r="539" ht="15.75" customHeight="1"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</row>
    <row r="540" ht="15.75" customHeight="1"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</row>
    <row r="541" ht="15.75" customHeight="1"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</row>
    <row r="542" ht="15.75" customHeight="1"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</row>
    <row r="543" ht="15.75" customHeight="1"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</row>
    <row r="544" ht="15.75" customHeight="1"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</row>
    <row r="545" ht="15.75" customHeight="1"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</row>
    <row r="546" ht="15.75" customHeight="1"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</row>
    <row r="547" ht="15.75" customHeight="1"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</row>
    <row r="548" ht="15.75" customHeight="1"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</row>
    <row r="549" ht="15.75" customHeight="1"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</row>
    <row r="550" ht="15.75" customHeight="1"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</row>
    <row r="551" ht="15.75" customHeight="1"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</row>
    <row r="552" ht="15.75" customHeight="1"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</row>
    <row r="553" ht="15.75" customHeight="1"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</row>
    <row r="554" ht="15.75" customHeight="1"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</row>
    <row r="555" ht="15.75" customHeight="1"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</row>
    <row r="556" ht="15.75" customHeight="1"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</row>
    <row r="557" ht="15.75" customHeight="1"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</row>
    <row r="558" ht="15.75" customHeight="1"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</row>
    <row r="559" ht="15.75" customHeight="1"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</row>
    <row r="560" ht="15.75" customHeight="1"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</row>
    <row r="561" ht="15.75" customHeight="1"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</row>
    <row r="562" ht="15.75" customHeight="1"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</row>
    <row r="563" ht="15.75" customHeight="1"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</row>
    <row r="564" ht="15.75" customHeight="1"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</row>
    <row r="565" ht="15.75" customHeight="1"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</row>
    <row r="566" ht="15.75" customHeight="1"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</row>
    <row r="567" ht="15.75" customHeight="1"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</row>
    <row r="568" ht="15.75" customHeight="1"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</row>
    <row r="569" ht="15.75" customHeight="1"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</row>
    <row r="570" ht="15.75" customHeight="1"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</row>
    <row r="571" ht="15.75" customHeight="1"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</row>
    <row r="572" ht="15.75" customHeight="1"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</row>
    <row r="573" ht="15.75" customHeight="1"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</row>
    <row r="574" ht="15.75" customHeight="1"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</row>
    <row r="575" ht="15.75" customHeight="1"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</row>
    <row r="576" ht="15.75" customHeight="1"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</row>
    <row r="577" ht="15.75" customHeight="1"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</row>
    <row r="578" ht="15.75" customHeight="1"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</row>
    <row r="579" ht="15.75" customHeight="1"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</row>
    <row r="580" ht="15.75" customHeight="1"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</row>
    <row r="581" ht="15.75" customHeight="1"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</row>
    <row r="582" ht="15.75" customHeight="1"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</row>
    <row r="583" ht="15.75" customHeight="1"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</row>
    <row r="584" ht="15.75" customHeight="1"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</row>
    <row r="585" ht="15.75" customHeight="1"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</row>
    <row r="586" ht="15.75" customHeight="1"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</row>
    <row r="587" ht="15.75" customHeight="1"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</row>
    <row r="588" ht="15.75" customHeight="1"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</row>
    <row r="589" ht="15.75" customHeight="1"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</row>
    <row r="590" ht="15.75" customHeight="1"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</row>
    <row r="591" ht="15.75" customHeight="1"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</row>
    <row r="592" ht="15.75" customHeight="1"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</row>
    <row r="593" ht="15.75" customHeight="1"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</row>
    <row r="594" ht="15.75" customHeight="1"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</row>
    <row r="595" ht="15.75" customHeight="1"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</row>
    <row r="596" ht="15.75" customHeight="1"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</row>
    <row r="597" ht="15.75" customHeight="1"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</row>
    <row r="598" ht="15.75" customHeight="1"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</row>
    <row r="599" ht="15.75" customHeight="1"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</row>
    <row r="600" ht="15.75" customHeight="1"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</row>
    <row r="601" ht="15.75" customHeight="1"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</row>
    <row r="602" ht="15.75" customHeight="1"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</row>
    <row r="603" ht="15.75" customHeight="1"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</row>
    <row r="604" ht="15.75" customHeight="1"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</row>
    <row r="605" ht="15.75" customHeight="1"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</row>
    <row r="606" ht="15.75" customHeight="1"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</row>
    <row r="607" ht="15.75" customHeight="1"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</row>
    <row r="608" ht="15.75" customHeight="1"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</row>
    <row r="609" ht="15.75" customHeight="1"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</row>
    <row r="610" ht="15.75" customHeight="1"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</row>
    <row r="611" ht="15.75" customHeight="1"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</row>
    <row r="612" ht="15.75" customHeight="1"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</row>
    <row r="613" ht="15.75" customHeight="1"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</row>
    <row r="614" ht="15.75" customHeight="1"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</row>
    <row r="615" ht="15.75" customHeight="1"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</row>
    <row r="616" ht="15.75" customHeight="1"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</row>
    <row r="617" ht="15.75" customHeight="1"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</row>
    <row r="618" ht="15.75" customHeight="1"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</row>
    <row r="619" ht="15.75" customHeight="1"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</row>
    <row r="620" ht="15.75" customHeight="1"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</row>
    <row r="621" ht="15.75" customHeight="1"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</row>
    <row r="622" ht="15.75" customHeight="1"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</row>
    <row r="623" ht="15.75" customHeight="1"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</row>
    <row r="624" ht="15.75" customHeight="1"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</row>
    <row r="625" ht="15.75" customHeight="1"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</row>
    <row r="626" ht="15.75" customHeight="1"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</row>
    <row r="627" ht="15.75" customHeight="1"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</row>
    <row r="628" ht="15.75" customHeight="1"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</row>
    <row r="629" ht="15.75" customHeight="1"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</row>
    <row r="630" ht="15.75" customHeight="1"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</row>
    <row r="631" ht="15.75" customHeight="1"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</row>
    <row r="632" ht="15.75" customHeight="1"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</row>
    <row r="633" ht="15.75" customHeight="1"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</row>
    <row r="634" ht="15.75" customHeight="1"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</row>
    <row r="635" ht="15.75" customHeight="1"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</row>
    <row r="636" ht="15.75" customHeight="1"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</row>
    <row r="637" ht="15.75" customHeight="1"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</row>
    <row r="638" ht="15.75" customHeight="1"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</row>
    <row r="639" ht="15.75" customHeight="1"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</row>
    <row r="640" ht="15.75" customHeight="1"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</row>
    <row r="641" ht="15.75" customHeight="1"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</row>
    <row r="642" ht="15.75" customHeight="1"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</row>
    <row r="643" ht="15.75" customHeight="1"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</row>
    <row r="644" ht="15.75" customHeight="1"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</row>
    <row r="645" ht="15.75" customHeight="1"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</row>
    <row r="646" ht="15.75" customHeight="1"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</row>
    <row r="647" ht="15.75" customHeight="1"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</row>
    <row r="648" ht="15.75" customHeight="1"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</row>
    <row r="649" ht="15.75" customHeight="1"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</row>
    <row r="650" ht="15.75" customHeight="1"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</row>
    <row r="651" ht="15.75" customHeight="1"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</row>
    <row r="652" ht="15.75" customHeight="1"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</row>
    <row r="653" ht="15.75" customHeight="1"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</row>
    <row r="654" ht="15.75" customHeight="1"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</row>
    <row r="655" ht="15.75" customHeight="1"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</row>
    <row r="656" ht="15.75" customHeight="1"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</row>
    <row r="657" ht="15.75" customHeight="1"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</row>
    <row r="658" ht="15.75" customHeight="1"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</row>
    <row r="659" ht="15.75" customHeight="1"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</row>
    <row r="660" ht="15.75" customHeight="1"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</row>
    <row r="661" ht="15.75" customHeight="1"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</row>
    <row r="662" ht="15.75" customHeight="1"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</row>
    <row r="663" ht="15.75" customHeight="1"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</row>
    <row r="664" ht="15.75" customHeight="1"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</row>
    <row r="665" ht="15.75" customHeight="1"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</row>
    <row r="666" ht="15.75" customHeight="1"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</row>
    <row r="667" ht="15.75" customHeight="1"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</row>
    <row r="668" ht="15.75" customHeight="1"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</row>
    <row r="669" ht="15.75" customHeight="1"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</row>
    <row r="670" ht="15.75" customHeight="1"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</row>
    <row r="671" ht="15.75" customHeight="1"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</row>
    <row r="672" ht="15.75" customHeight="1"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</row>
    <row r="673" ht="15.75" customHeight="1"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</row>
    <row r="674" ht="15.75" customHeight="1"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</row>
    <row r="675" ht="15.75" customHeight="1"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</row>
    <row r="676" ht="15.75" customHeight="1"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</row>
    <row r="677" ht="15.75" customHeight="1"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</row>
    <row r="678" ht="15.75" customHeight="1"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</row>
    <row r="679" ht="15.75" customHeight="1"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</row>
    <row r="680" ht="15.75" customHeight="1"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</row>
    <row r="681" ht="15.75" customHeight="1"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</row>
    <row r="682" ht="15.75" customHeight="1"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</row>
    <row r="683" ht="15.75" customHeight="1"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</row>
    <row r="684" ht="15.75" customHeight="1"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</row>
    <row r="685" ht="15.75" customHeight="1"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</row>
    <row r="686" ht="15.75" customHeight="1"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</row>
    <row r="687" ht="15.75" customHeight="1"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</row>
    <row r="688" ht="15.75" customHeight="1"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</row>
    <row r="689" ht="15.75" customHeight="1"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</row>
    <row r="690" ht="15.75" customHeight="1"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</row>
    <row r="691" ht="15.75" customHeight="1"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</row>
    <row r="692" ht="15.75" customHeight="1"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</row>
    <row r="693" ht="15.75" customHeight="1"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</row>
    <row r="694" ht="15.75" customHeight="1"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</row>
    <row r="695" ht="15.75" customHeight="1"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</row>
    <row r="696" ht="15.75" customHeight="1"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</row>
    <row r="697" ht="15.75" customHeight="1"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</row>
    <row r="698" ht="15.75" customHeight="1"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</row>
    <row r="699" ht="15.75" customHeight="1"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</row>
    <row r="700" ht="15.75" customHeight="1"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</row>
    <row r="701" ht="15.75" customHeight="1"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</row>
    <row r="702" ht="15.75" customHeight="1"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</row>
    <row r="703" ht="15.75" customHeight="1"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</row>
    <row r="704" ht="15.75" customHeight="1"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</row>
    <row r="705" ht="15.75" customHeight="1"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</row>
    <row r="706" ht="15.75" customHeight="1"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</row>
    <row r="707" ht="15.75" customHeight="1"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</row>
    <row r="708" ht="15.75" customHeight="1"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</row>
    <row r="709" ht="15.75" customHeight="1"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</row>
    <row r="710" ht="15.75" customHeight="1"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</row>
    <row r="711" ht="15.75" customHeight="1"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</row>
    <row r="712" ht="15.75" customHeight="1"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</row>
    <row r="713" ht="15.75" customHeight="1"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</row>
    <row r="714" ht="15.75" customHeight="1"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</row>
    <row r="715" ht="15.75" customHeight="1"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</row>
    <row r="716" ht="15.75" customHeight="1"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</row>
    <row r="717" ht="15.75" customHeight="1"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</row>
    <row r="718" ht="15.75" customHeight="1"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</row>
    <row r="719" ht="15.75" customHeight="1"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</row>
    <row r="720" ht="15.75" customHeight="1"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</row>
    <row r="721" ht="15.75" customHeight="1"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</row>
    <row r="722" ht="15.75" customHeight="1"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</row>
    <row r="723" ht="15.75" customHeight="1"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</row>
    <row r="724" ht="15.75" customHeight="1"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</row>
    <row r="725" ht="15.75" customHeight="1"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</row>
    <row r="726" ht="15.75" customHeight="1"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</row>
    <row r="727" ht="15.75" customHeight="1"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</row>
    <row r="728" ht="15.75" customHeight="1"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</row>
    <row r="729" ht="15.75" customHeight="1"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</row>
    <row r="730" ht="15.75" customHeight="1"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</row>
    <row r="731" ht="15.75" customHeight="1"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</row>
    <row r="732" ht="15.75" customHeight="1"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</row>
    <row r="733" ht="15.75" customHeight="1"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</row>
    <row r="734" ht="15.75" customHeight="1"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</row>
    <row r="735" ht="15.75" customHeight="1"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</row>
    <row r="736" ht="15.75" customHeight="1"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</row>
    <row r="737" ht="15.75" customHeight="1"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</row>
    <row r="738" ht="15.75" customHeight="1"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</row>
    <row r="739" ht="15.75" customHeight="1"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</row>
    <row r="740" ht="15.75" customHeight="1"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</row>
    <row r="741" ht="15.75" customHeight="1"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</row>
    <row r="742" ht="15.75" customHeight="1"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</row>
    <row r="743" ht="15.75" customHeight="1"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</row>
    <row r="744" ht="15.75" customHeight="1"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</row>
    <row r="745" ht="15.75" customHeight="1"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</row>
    <row r="746" ht="15.75" customHeight="1"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</row>
    <row r="747" ht="15.75" customHeight="1"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</row>
    <row r="748" ht="15.75" customHeight="1"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</row>
    <row r="749" ht="15.75" customHeight="1"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</row>
    <row r="750" ht="15.75" customHeight="1"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</row>
    <row r="751" ht="15.75" customHeight="1"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</row>
    <row r="752" ht="15.75" customHeight="1"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</row>
    <row r="753" ht="15.75" customHeight="1"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</row>
    <row r="754" ht="15.75" customHeight="1"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</row>
    <row r="755" ht="15.75" customHeight="1"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</row>
    <row r="756" ht="15.75" customHeight="1"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</row>
    <row r="757" ht="15.75" customHeight="1"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</row>
    <row r="758" ht="15.75" customHeight="1"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</row>
    <row r="759" ht="15.75" customHeight="1"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</row>
    <row r="760" ht="15.75" customHeight="1"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</row>
    <row r="761" ht="15.75" customHeight="1"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</row>
    <row r="762" ht="15.75" customHeight="1"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</row>
    <row r="763" ht="15.75" customHeight="1"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</row>
    <row r="764" ht="15.75" customHeight="1"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</row>
    <row r="765" ht="15.75" customHeight="1"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</row>
    <row r="766" ht="15.75" customHeight="1"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</row>
    <row r="767" ht="15.75" customHeight="1"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</row>
    <row r="768" ht="15.75" customHeight="1"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</row>
    <row r="769" ht="15.75" customHeight="1"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</row>
    <row r="770" ht="15.75" customHeight="1"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</row>
    <row r="771" ht="15.75" customHeight="1"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</row>
    <row r="772" ht="15.75" customHeight="1"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</row>
    <row r="773" ht="15.75" customHeight="1"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</row>
    <row r="774" ht="15.75" customHeight="1"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</row>
    <row r="775" ht="15.75" customHeight="1"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</row>
    <row r="776" ht="15.75" customHeight="1"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</row>
    <row r="777" ht="15.75" customHeight="1"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</row>
    <row r="778" ht="15.75" customHeight="1"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</row>
    <row r="779" ht="15.75" customHeight="1"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</row>
    <row r="780" ht="15.75" customHeight="1"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</row>
    <row r="781" ht="15.75" customHeight="1"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</row>
    <row r="782" ht="15.75" customHeight="1"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</row>
    <row r="783" ht="15.75" customHeight="1"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</row>
    <row r="784" ht="15.75" customHeight="1"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</row>
    <row r="785" ht="15.75" customHeight="1"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</row>
    <row r="786" ht="15.75" customHeight="1"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</row>
    <row r="787" ht="15.75" customHeight="1"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</row>
    <row r="788" ht="15.75" customHeight="1"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</row>
    <row r="789" ht="15.75" customHeight="1"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</row>
    <row r="790" ht="15.75" customHeight="1"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</row>
    <row r="791" ht="15.75" customHeight="1"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</row>
    <row r="792" ht="15.75" customHeight="1"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</row>
    <row r="793" ht="15.75" customHeight="1"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</row>
    <row r="794" ht="15.75" customHeight="1"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</row>
    <row r="795" ht="15.75" customHeight="1"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</row>
    <row r="796" ht="15.75" customHeight="1"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</row>
    <row r="797" ht="15.75" customHeight="1"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</row>
    <row r="798" ht="15.75" customHeight="1"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</row>
    <row r="799" ht="15.75" customHeight="1"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</row>
    <row r="800" ht="15.75" customHeight="1"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</row>
    <row r="801" ht="15.75" customHeight="1"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</row>
    <row r="802" ht="15.75" customHeight="1"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</row>
    <row r="803" ht="15.75" customHeight="1"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</row>
    <row r="804" ht="15.75" customHeight="1"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</row>
    <row r="805" ht="15.75" customHeight="1"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</row>
    <row r="806" ht="15.75" customHeight="1"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</row>
    <row r="807" ht="15.75" customHeight="1"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</row>
    <row r="808" ht="15.75" customHeight="1"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</row>
    <row r="809" ht="15.75" customHeight="1"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</row>
    <row r="810" ht="15.75" customHeight="1"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</row>
    <row r="811" ht="15.75" customHeight="1"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</row>
    <row r="812" ht="15.75" customHeight="1"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</row>
    <row r="813" ht="15.75" customHeight="1"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</row>
    <row r="814" ht="15.75" customHeight="1"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</row>
    <row r="815" ht="15.75" customHeight="1"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</row>
    <row r="816" ht="15.75" customHeight="1"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</row>
    <row r="817" ht="15.75" customHeight="1"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</row>
    <row r="818" ht="15.75" customHeight="1"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</row>
    <row r="819" ht="15.75" customHeight="1"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</row>
    <row r="820" ht="15.75" customHeight="1"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</row>
    <row r="821" ht="15.75" customHeight="1"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</row>
    <row r="822" ht="15.75" customHeight="1"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</row>
    <row r="823" ht="15.75" customHeight="1"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</row>
    <row r="824" ht="15.75" customHeight="1"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</row>
    <row r="825" ht="15.75" customHeight="1"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</row>
    <row r="826" ht="15.75" customHeight="1"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</row>
    <row r="827" ht="15.75" customHeight="1"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</row>
    <row r="828" ht="15.75" customHeight="1"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</row>
    <row r="829" ht="15.75" customHeight="1"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</row>
    <row r="830" ht="15.75" customHeight="1"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</row>
    <row r="831" ht="15.75" customHeight="1"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</row>
    <row r="832" ht="15.75" customHeight="1"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</row>
    <row r="833" ht="15.75" customHeight="1"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</row>
    <row r="834" ht="15.75" customHeight="1"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</row>
    <row r="835" ht="15.75" customHeight="1"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</row>
    <row r="836" ht="15.75" customHeight="1"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</row>
    <row r="837" ht="15.75" customHeight="1"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</row>
    <row r="838" ht="15.75" customHeight="1"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</row>
    <row r="839" ht="15.75" customHeight="1"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</row>
    <row r="840" ht="15.75" customHeight="1"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</row>
    <row r="841" ht="15.75" customHeight="1"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</row>
    <row r="842" ht="15.75" customHeight="1"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</row>
    <row r="843" ht="15.75" customHeight="1"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</row>
    <row r="844" ht="15.75" customHeight="1"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</row>
    <row r="845" ht="15.75" customHeight="1"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</row>
    <row r="846" ht="15.75" customHeight="1"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</row>
    <row r="847" ht="15.75" customHeight="1"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</row>
    <row r="848" ht="15.75" customHeight="1"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</row>
    <row r="849" ht="15.75" customHeight="1"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</row>
    <row r="850" ht="15.75" customHeight="1"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</row>
    <row r="851" ht="15.75" customHeight="1"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</row>
    <row r="852" ht="15.75" customHeight="1"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</row>
    <row r="853" ht="15.75" customHeight="1"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</row>
    <row r="854" ht="15.75" customHeight="1"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</row>
    <row r="855" ht="15.75" customHeight="1"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</row>
    <row r="856" ht="15.75" customHeight="1"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</row>
    <row r="857" ht="15.75" customHeight="1"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</row>
    <row r="858" ht="15.75" customHeight="1"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</row>
    <row r="859" ht="15.75" customHeight="1"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</row>
    <row r="860" ht="15.75" customHeight="1"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</row>
    <row r="861" ht="15.75" customHeight="1"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</row>
    <row r="862" ht="15.75" customHeight="1"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</row>
    <row r="863" ht="15.75" customHeight="1"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</row>
    <row r="864" ht="15.75" customHeight="1"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</row>
    <row r="865" ht="15.75" customHeight="1"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</row>
    <row r="866" ht="15.75" customHeight="1"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</row>
    <row r="867" ht="15.75" customHeight="1"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</row>
    <row r="868" ht="15.75" customHeight="1"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</row>
    <row r="869" ht="15.75" customHeight="1"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</row>
    <row r="870" ht="15.75" customHeight="1"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</row>
    <row r="871" ht="15.75" customHeight="1"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</row>
    <row r="872" ht="15.75" customHeight="1"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</row>
    <row r="873" ht="15.75" customHeight="1"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</row>
    <row r="874" ht="15.75" customHeight="1"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</row>
    <row r="875" ht="15.75" customHeight="1"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</row>
    <row r="876" ht="15.75" customHeight="1"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</row>
    <row r="877" ht="15.75" customHeight="1"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</row>
    <row r="878" ht="15.75" customHeight="1"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</row>
    <row r="879" ht="15.75" customHeight="1"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</row>
    <row r="880" ht="15.75" customHeight="1"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</row>
    <row r="881" ht="15.75" customHeight="1"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</row>
    <row r="882" ht="15.75" customHeight="1"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</row>
    <row r="883" ht="15.75" customHeight="1"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</row>
    <row r="884" ht="15.75" customHeight="1"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</row>
    <row r="885" ht="15.75" customHeight="1"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</row>
    <row r="886" ht="15.75" customHeight="1"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</row>
    <row r="887" ht="15.75" customHeight="1"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</row>
    <row r="888" ht="15.75" customHeight="1"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</row>
    <row r="889" ht="15.75" customHeight="1"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</row>
    <row r="890" ht="15.75" customHeight="1"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</row>
    <row r="891" ht="15.75" customHeight="1"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</row>
    <row r="892" ht="15.75" customHeight="1"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</row>
    <row r="893" ht="15.75" customHeight="1"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</row>
    <row r="894" ht="15.75" customHeight="1"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</row>
    <row r="895" ht="15.75" customHeight="1"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</row>
    <row r="896" ht="15.75" customHeight="1"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</row>
    <row r="897" ht="15.75" customHeight="1"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</row>
    <row r="898" ht="15.75" customHeight="1"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</row>
    <row r="899" ht="15.75" customHeight="1"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</row>
    <row r="900" ht="15.75" customHeight="1"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</row>
    <row r="901" ht="15.75" customHeight="1"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</row>
    <row r="902" ht="15.75" customHeight="1"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</row>
    <row r="903" ht="15.75" customHeight="1"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</row>
    <row r="904" ht="15.75" customHeight="1"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</row>
    <row r="905" ht="15.75" customHeight="1"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</row>
    <row r="906" ht="15.75" customHeight="1"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</row>
    <row r="907" ht="15.75" customHeight="1"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</row>
    <row r="908" ht="15.75" customHeight="1"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</row>
    <row r="909" ht="15.75" customHeight="1"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</row>
    <row r="910" ht="15.75" customHeight="1"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</row>
    <row r="911" ht="15.75" customHeight="1"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</row>
    <row r="912" ht="15.75" customHeight="1"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</row>
    <row r="913" ht="15.75" customHeight="1"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</row>
    <row r="914" ht="15.75" customHeight="1"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</row>
    <row r="915" ht="15.75" customHeight="1"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</row>
    <row r="916" ht="15.75" customHeight="1"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</row>
    <row r="917" ht="15.75" customHeight="1"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</row>
    <row r="918" ht="15.75" customHeight="1"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</row>
    <row r="919" ht="15.75" customHeight="1"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</row>
    <row r="920" ht="15.75" customHeight="1"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</row>
    <row r="921" ht="15.75" customHeight="1"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</row>
    <row r="922" ht="15.75" customHeight="1"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</row>
    <row r="923" ht="15.75" customHeight="1"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</row>
    <row r="924" ht="15.75" customHeight="1"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</row>
    <row r="925" ht="15.75" customHeight="1"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</row>
    <row r="926" ht="15.75" customHeight="1"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</row>
    <row r="927" ht="15.75" customHeight="1"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</row>
    <row r="928" ht="15.75" customHeight="1"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</row>
    <row r="929" ht="15.75" customHeight="1"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</row>
    <row r="930" ht="15.75" customHeight="1"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</row>
    <row r="931" ht="15.75" customHeight="1"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</row>
    <row r="932" ht="15.75" customHeight="1"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</row>
    <row r="933" ht="15.75" customHeight="1"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</row>
    <row r="934" ht="15.75" customHeight="1"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</row>
    <row r="935" ht="15.75" customHeight="1"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</row>
    <row r="936" ht="15.75" customHeight="1"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</row>
    <row r="937" ht="15.75" customHeight="1"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</row>
    <row r="938" ht="15.75" customHeight="1"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</row>
    <row r="939" ht="15.75" customHeight="1"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</row>
    <row r="940" ht="15.75" customHeight="1"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</row>
    <row r="941" ht="15.75" customHeight="1"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</row>
    <row r="942" ht="15.75" customHeight="1"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</row>
    <row r="943" ht="15.75" customHeight="1"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</row>
    <row r="944" ht="15.75" customHeight="1"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</row>
    <row r="945" ht="15.75" customHeight="1"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</row>
    <row r="946" ht="15.75" customHeight="1"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</row>
    <row r="947" ht="15.75" customHeight="1"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</row>
    <row r="948" ht="15.75" customHeight="1"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</row>
    <row r="949" ht="15.75" customHeight="1"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</row>
    <row r="950" ht="15.75" customHeight="1"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</row>
    <row r="951" ht="15.75" customHeight="1"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</row>
    <row r="952" ht="15.75" customHeight="1"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</row>
    <row r="953" ht="15.75" customHeight="1"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</row>
    <row r="954" ht="15.75" customHeight="1"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</row>
    <row r="955" ht="15.75" customHeight="1"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</row>
    <row r="956" ht="15.75" customHeight="1"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</row>
    <row r="957" ht="15.75" customHeight="1"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</row>
    <row r="958" ht="15.75" customHeight="1"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</row>
    <row r="959" ht="15.75" customHeight="1"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</row>
    <row r="960" ht="15.75" customHeight="1"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</row>
    <row r="961" ht="15.75" customHeight="1"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</row>
    <row r="962" ht="15.75" customHeight="1"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</row>
    <row r="963" ht="15.75" customHeight="1"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</row>
    <row r="964" ht="15.75" customHeight="1"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</row>
    <row r="965" ht="15.75" customHeight="1"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</row>
    <row r="966" ht="15.75" customHeight="1"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</row>
    <row r="967" ht="15.75" customHeight="1"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</row>
    <row r="968" ht="15.75" customHeight="1"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</row>
    <row r="969" ht="15.75" customHeight="1"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</row>
    <row r="970" ht="15.75" customHeight="1"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</row>
    <row r="971" ht="15.75" customHeight="1"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</row>
    <row r="972" ht="15.75" customHeight="1"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</row>
    <row r="973" ht="15.75" customHeight="1"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</row>
    <row r="974" ht="15.75" customHeight="1"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</row>
    <row r="975" ht="15.75" customHeight="1"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</row>
    <row r="976" ht="15.75" customHeight="1"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</row>
    <row r="977" ht="15.75" customHeight="1"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</row>
    <row r="978" ht="15.75" customHeight="1"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</row>
    <row r="979" ht="15.75" customHeight="1"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</row>
    <row r="980" ht="15.75" customHeight="1"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</row>
    <row r="981" ht="15.75" customHeight="1"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</row>
    <row r="982" ht="15.75" customHeight="1"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</row>
    <row r="983" ht="15.75" customHeight="1"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</row>
    <row r="984" ht="15.75" customHeight="1"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</row>
    <row r="985" ht="15.75" customHeight="1"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</row>
    <row r="986" ht="15.75" customHeight="1"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</row>
    <row r="987" ht="15.75" customHeight="1"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</row>
    <row r="988" ht="15.75" customHeight="1"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</row>
    <row r="989" ht="15.75" customHeight="1"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</row>
    <row r="990" ht="15.75" customHeight="1"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</row>
    <row r="991" ht="15.75" customHeight="1"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</row>
    <row r="992" ht="15.75" customHeight="1"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</row>
    <row r="993" ht="15.75" customHeight="1"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</row>
    <row r="994" ht="15.75" customHeight="1"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</row>
    <row r="995" ht="15.75" customHeight="1"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</row>
    <row r="996" ht="15.75" customHeight="1"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</row>
    <row r="997" ht="15.75" customHeight="1"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</row>
    <row r="998" ht="15.75" customHeight="1"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</row>
    <row r="999" ht="15.75" customHeight="1"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</row>
    <row r="1000" ht="15.75" customHeight="1"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</row>
    <row r="1001" ht="15.75" customHeight="1"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</row>
    <row r="1002" ht="15.75" customHeight="1"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</row>
    <row r="1003" ht="15.75" customHeight="1"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</row>
    <row r="1004" ht="15.75" customHeight="1"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</row>
    <row r="1005" ht="15.75" customHeight="1"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</row>
    <row r="1006" ht="15.75" customHeight="1"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</row>
    <row r="1007" ht="15.75" customHeight="1"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</row>
    <row r="1008" ht="15.75" customHeight="1"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</row>
  </sheetData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2.78"/>
    <col customWidth="1" min="4" max="4" width="18.56"/>
    <col customWidth="1" min="5" max="5" width="12.78"/>
    <col customWidth="1" min="6" max="6" width="16.22"/>
    <col customWidth="1" min="7" max="8" width="12.78"/>
    <col customWidth="1" min="9" max="10" width="20.56"/>
    <col customWidth="1" min="11" max="11" width="11.67"/>
    <col customWidth="1" min="12" max="12" width="12.0"/>
    <col customWidth="1" min="13" max="26" width="10.44"/>
  </cols>
  <sheetData>
    <row r="1" ht="15.75" customHeight="1">
      <c r="A1" s="40"/>
    </row>
    <row r="2" ht="42.0" customHeight="1">
      <c r="A2" s="40"/>
      <c r="B2" s="42" t="s">
        <v>25</v>
      </c>
      <c r="C2" s="43" t="s">
        <v>27</v>
      </c>
      <c r="E2" s="44"/>
    </row>
    <row r="3" ht="15.75" customHeight="1">
      <c r="A3" s="45"/>
      <c r="B3" s="46"/>
      <c r="C3" s="47" t="s">
        <v>29</v>
      </c>
      <c r="D3" s="47" t="s">
        <v>30</v>
      </c>
      <c r="E3" s="47" t="s">
        <v>31</v>
      </c>
      <c r="F3" s="47" t="s">
        <v>33</v>
      </c>
      <c r="G3" s="47" t="s">
        <v>34</v>
      </c>
      <c r="H3" s="51" t="s">
        <v>35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5.75" customHeight="1">
      <c r="A4" s="40"/>
      <c r="B4" s="56" t="s">
        <v>29</v>
      </c>
      <c r="C4" s="60">
        <f>C15+D15+C16+D16</f>
        <v>28628700.44</v>
      </c>
      <c r="D4" s="61">
        <f>E15+E16+H15+H16</f>
        <v>3595466.778</v>
      </c>
      <c r="E4" s="61">
        <f t="shared" ref="E4:F4" si="1">F15+F16</f>
        <v>2056260.363</v>
      </c>
      <c r="F4" s="61">
        <f t="shared" si="1"/>
        <v>5101142.586</v>
      </c>
      <c r="G4" s="60">
        <f>J15+J16+K15+K16</f>
        <v>497164.0691</v>
      </c>
      <c r="H4" s="62">
        <f t="shared" ref="H4:H9" si="3">SUM(C4:G4)</f>
        <v>39878734.23</v>
      </c>
    </row>
    <row r="5" ht="15.75" customHeight="1">
      <c r="A5" s="40"/>
      <c r="B5" s="56" t="s">
        <v>30</v>
      </c>
      <c r="C5" s="61">
        <f>C18+D18+C21+D21</f>
        <v>426219.7698</v>
      </c>
      <c r="D5" s="60">
        <f>E18+E21+H18+H21</f>
        <v>8847942.512</v>
      </c>
      <c r="E5" s="61">
        <f t="shared" ref="E5:F5" si="2">F18+F21</f>
        <v>744679.6498</v>
      </c>
      <c r="F5" s="61">
        <f t="shared" si="2"/>
        <v>705047.3286</v>
      </c>
      <c r="G5" s="60">
        <f>J18+K18+J21+K21</f>
        <v>154616.3475</v>
      </c>
      <c r="H5" s="62">
        <f t="shared" si="3"/>
        <v>10878505.61</v>
      </c>
    </row>
    <row r="6" ht="15.75" customHeight="1">
      <c r="A6" s="40"/>
      <c r="B6" s="56" t="s">
        <v>31</v>
      </c>
      <c r="C6" s="61">
        <f t="shared" ref="C6:C7" si="5">C19+D19</f>
        <v>2110870.771</v>
      </c>
      <c r="D6" s="61">
        <f t="shared" ref="D6:D7" si="6">E19+H19</f>
        <v>2693853.887</v>
      </c>
      <c r="E6" s="60">
        <f t="shared" ref="E6:F6" si="4">F19</f>
        <v>2295830.123</v>
      </c>
      <c r="F6" s="61">
        <f t="shared" si="4"/>
        <v>2543709.015</v>
      </c>
      <c r="G6" s="60">
        <f t="shared" ref="G6:G7" si="8">J19+K19</f>
        <v>502766.602</v>
      </c>
      <c r="H6" s="62">
        <f t="shared" si="3"/>
        <v>10147030.4</v>
      </c>
    </row>
    <row r="7" ht="15.75" customHeight="1">
      <c r="A7" s="40"/>
      <c r="B7" s="56" t="s">
        <v>33</v>
      </c>
      <c r="C7" s="61">
        <f t="shared" si="5"/>
        <v>3636369.798</v>
      </c>
      <c r="D7" s="61">
        <f t="shared" si="6"/>
        <v>10221731.03</v>
      </c>
      <c r="E7" s="61">
        <f t="shared" ref="E7:F7" si="7">F20</f>
        <v>4674381.127</v>
      </c>
      <c r="F7" s="60">
        <f t="shared" si="7"/>
        <v>25226803.94</v>
      </c>
      <c r="G7" s="60">
        <f t="shared" si="8"/>
        <v>837156.0388</v>
      </c>
      <c r="H7" s="62">
        <f t="shared" si="3"/>
        <v>44596441.94</v>
      </c>
    </row>
    <row r="8" ht="15.75" customHeight="1">
      <c r="A8" s="40"/>
      <c r="B8" s="56" t="s">
        <v>34</v>
      </c>
      <c r="C8" s="60">
        <f>C22+D22+C23+D23</f>
        <v>171391.625</v>
      </c>
      <c r="D8" s="60">
        <f>E22+E23+H22+H23</f>
        <v>26648.00928</v>
      </c>
      <c r="E8" s="60">
        <f t="shared" ref="E8:F8" si="9">F22+F23</f>
        <v>89522.1796</v>
      </c>
      <c r="F8" s="60">
        <f t="shared" si="9"/>
        <v>81549.18535</v>
      </c>
      <c r="G8" s="60">
        <f>J22+K22+J23+K23</f>
        <v>2804665.941</v>
      </c>
      <c r="H8" s="62">
        <f t="shared" si="3"/>
        <v>3173776.94</v>
      </c>
    </row>
    <row r="9" ht="15.75" customHeight="1">
      <c r="A9" s="40"/>
      <c r="B9" s="68" t="s">
        <v>44</v>
      </c>
      <c r="C9" s="72">
        <f t="shared" ref="C9:G9" si="10">SUM(C4:C8)</f>
        <v>34973552.4</v>
      </c>
      <c r="D9" s="72">
        <f t="shared" si="10"/>
        <v>25385642.22</v>
      </c>
      <c r="E9" s="72">
        <f t="shared" si="10"/>
        <v>9860673.442</v>
      </c>
      <c r="F9" s="72">
        <f t="shared" si="10"/>
        <v>33658252.06</v>
      </c>
      <c r="G9" s="72">
        <f t="shared" si="10"/>
        <v>4796368.998</v>
      </c>
      <c r="H9" s="74">
        <f t="shared" si="3"/>
        <v>108674489.1</v>
      </c>
    </row>
    <row r="10" ht="15.75" customHeight="1">
      <c r="A10" s="40"/>
    </row>
    <row r="11" ht="15.75" customHeight="1">
      <c r="A11" s="40"/>
    </row>
    <row r="12" ht="15.75" customHeight="1">
      <c r="A12" s="40"/>
    </row>
    <row r="13" ht="15.75" customHeight="1">
      <c r="A13" s="76"/>
      <c r="B13" s="77"/>
      <c r="C13" s="77" t="s">
        <v>12</v>
      </c>
      <c r="D13" s="77" t="s">
        <v>40</v>
      </c>
      <c r="E13" s="77" t="s">
        <v>47</v>
      </c>
      <c r="F13" s="77"/>
      <c r="G13" s="77"/>
      <c r="H13" s="77"/>
      <c r="I13" s="78" t="s">
        <v>48</v>
      </c>
      <c r="J13" s="77" t="s">
        <v>49</v>
      </c>
      <c r="K13" s="77" t="s">
        <v>50</v>
      </c>
      <c r="L13" s="79" t="s">
        <v>51</v>
      </c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</row>
    <row r="14" ht="15.75" customHeight="1">
      <c r="A14" s="76"/>
      <c r="B14" s="77" t="s">
        <v>53</v>
      </c>
      <c r="C14" s="77"/>
      <c r="D14" s="77"/>
      <c r="E14" s="77" t="s">
        <v>54</v>
      </c>
      <c r="F14" s="77" t="s">
        <v>55</v>
      </c>
      <c r="G14" s="77" t="s">
        <v>56</v>
      </c>
      <c r="H14" s="77" t="s">
        <v>57</v>
      </c>
      <c r="I14" s="78"/>
      <c r="J14" s="77"/>
      <c r="K14" s="77"/>
      <c r="L14" s="83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</row>
    <row r="15" ht="15.75" customHeight="1">
      <c r="A15" s="76"/>
      <c r="B15" s="84" t="s">
        <v>12</v>
      </c>
      <c r="C15" s="85">
        <v>2.5343554470470645E7</v>
      </c>
      <c r="D15" s="85">
        <v>47826.19455325933</v>
      </c>
      <c r="E15" s="85">
        <v>1001279.2822205474</v>
      </c>
      <c r="F15" s="85">
        <v>1758189.3730514594</v>
      </c>
      <c r="G15" s="85">
        <v>4359004.5935530625</v>
      </c>
      <c r="H15" s="85">
        <v>1546346.4951147242</v>
      </c>
      <c r="I15" s="85">
        <v>8664819.743939795</v>
      </c>
      <c r="J15" s="85">
        <v>129874.706178534</v>
      </c>
      <c r="K15" s="85">
        <v>111220.76088123188</v>
      </c>
      <c r="L15" s="83">
        <v>3.429729587602346E7</v>
      </c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</row>
    <row r="16" ht="15.75" customHeight="1">
      <c r="A16" s="76"/>
      <c r="B16" s="84" t="s">
        <v>40</v>
      </c>
      <c r="C16" s="85">
        <v>68597.02180015866</v>
      </c>
      <c r="D16" s="85">
        <v>3168722.7530722073</v>
      </c>
      <c r="E16" s="85">
        <v>754808.5535360178</v>
      </c>
      <c r="F16" s="85">
        <v>298070.989671857</v>
      </c>
      <c r="G16" s="85">
        <v>742137.9920898258</v>
      </c>
      <c r="H16" s="85">
        <v>293032.4466943551</v>
      </c>
      <c r="I16" s="85">
        <v>2088049.9819920557</v>
      </c>
      <c r="J16" s="85">
        <v>110678.1374339599</v>
      </c>
      <c r="K16" s="85">
        <v>145390.46463786357</v>
      </c>
      <c r="L16" s="83">
        <v>5581438.358936246</v>
      </c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</row>
    <row r="17" ht="15.75" customHeight="1">
      <c r="A17" s="76"/>
      <c r="B17" s="84" t="s">
        <v>47</v>
      </c>
      <c r="C17" s="85">
        <v>5334393.878138195</v>
      </c>
      <c r="D17" s="85">
        <v>839066.4607072935</v>
      </c>
      <c r="E17" s="85">
        <v>1.8688192040844988E7</v>
      </c>
      <c r="F17" s="85">
        <v>7714890.89973918</v>
      </c>
      <c r="G17" s="85">
        <v>2.8475560286773182E7</v>
      </c>
      <c r="H17" s="85">
        <v>3075335.3891854347</v>
      </c>
      <c r="I17" s="85">
        <v>5.795397861654278E7</v>
      </c>
      <c r="J17" s="85">
        <v>1187281.1262522095</v>
      </c>
      <c r="K17" s="85">
        <v>307257.8621198001</v>
      </c>
      <c r="L17" s="83">
        <v>6.562197794376028E7</v>
      </c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</row>
    <row r="18" ht="15.75" customHeight="1">
      <c r="A18" s="76"/>
      <c r="B18" s="87" t="s">
        <v>54</v>
      </c>
      <c r="C18" s="85">
        <v>215895.60316605231</v>
      </c>
      <c r="D18" s="85">
        <v>65643.37762599386</v>
      </c>
      <c r="E18" s="85">
        <v>7798130.356708073</v>
      </c>
      <c r="F18" s="85">
        <v>693625.7212400807</v>
      </c>
      <c r="G18" s="85">
        <v>615376.5221333101</v>
      </c>
      <c r="H18" s="85">
        <v>181504.72340804432</v>
      </c>
      <c r="I18" s="85">
        <v>9288637.323489506</v>
      </c>
      <c r="J18" s="85">
        <v>129078.57987546387</v>
      </c>
      <c r="K18" s="85">
        <v>18049.778361676046</v>
      </c>
      <c r="L18" s="83">
        <v>9717304.662518695</v>
      </c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</row>
    <row r="19" ht="15.75" customHeight="1">
      <c r="A19" s="76"/>
      <c r="B19" s="87" t="s">
        <v>55</v>
      </c>
      <c r="C19" s="85">
        <v>1919181.6058981891</v>
      </c>
      <c r="D19" s="85">
        <v>191689.16515298464</v>
      </c>
      <c r="E19" s="85">
        <v>2288045.048370921</v>
      </c>
      <c r="F19" s="85">
        <v>2295830.1233212454</v>
      </c>
      <c r="G19" s="85">
        <v>2543709.0153179094</v>
      </c>
      <c r="H19" s="85">
        <v>405808.83823351236</v>
      </c>
      <c r="I19" s="85">
        <v>7533393.025243588</v>
      </c>
      <c r="J19" s="85">
        <v>408279.3386717063</v>
      </c>
      <c r="K19" s="85">
        <v>94487.26334843121</v>
      </c>
      <c r="L19" s="83">
        <v>1.0147030398314897E7</v>
      </c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 ht="15.75" customHeight="1">
      <c r="A20" s="76"/>
      <c r="B20" s="87" t="s">
        <v>56</v>
      </c>
      <c r="C20" s="85">
        <v>3059755.56407916</v>
      </c>
      <c r="D20" s="85">
        <v>576614.2339623665</v>
      </c>
      <c r="E20" s="85">
        <v>8539312.103939155</v>
      </c>
      <c r="F20" s="85">
        <v>4674381.126653128</v>
      </c>
      <c r="G20" s="85">
        <v>2.522680394287933E7</v>
      </c>
      <c r="H20" s="85">
        <v>1682418.9277196932</v>
      </c>
      <c r="I20" s="85">
        <v>4.0122916101191305E7</v>
      </c>
      <c r="J20" s="85">
        <v>644522.1540748026</v>
      </c>
      <c r="K20" s="85">
        <v>192633.88475885664</v>
      </c>
      <c r="L20" s="83">
        <v>4.459644193806649E7</v>
      </c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</row>
    <row r="21" ht="15.75" customHeight="1">
      <c r="A21" s="76"/>
      <c r="B21" s="87" t="s">
        <v>57</v>
      </c>
      <c r="C21" s="85">
        <v>139561.10499479377</v>
      </c>
      <c r="D21" s="85">
        <v>5119.683965948487</v>
      </c>
      <c r="E21" s="85">
        <v>62704.53182683723</v>
      </c>
      <c r="F21" s="85">
        <v>51053.928524725365</v>
      </c>
      <c r="G21" s="85">
        <v>89670.80644263452</v>
      </c>
      <c r="H21" s="85">
        <v>805602.8998241848</v>
      </c>
      <c r="I21" s="85">
        <v>1009032.166618382</v>
      </c>
      <c r="J21" s="85">
        <v>5401.053630236815</v>
      </c>
      <c r="K21" s="85">
        <v>2086.935650836182</v>
      </c>
      <c r="L21" s="83">
        <v>1161200.9448601971</v>
      </c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</row>
    <row r="22" ht="15.75" customHeight="1">
      <c r="A22" s="76"/>
      <c r="B22" s="84" t="s">
        <v>49</v>
      </c>
      <c r="C22" s="85">
        <v>4876.1081878845225</v>
      </c>
      <c r="D22" s="85">
        <v>26609.112805767767</v>
      </c>
      <c r="E22" s="85">
        <v>9329.677600219728</v>
      </c>
      <c r="F22" s="85">
        <v>20732.39935769653</v>
      </c>
      <c r="G22" s="85">
        <v>28839.1927228759</v>
      </c>
      <c r="H22" s="85">
        <v>4441.081921490472</v>
      </c>
      <c r="I22" s="85">
        <v>63342.35160228263</v>
      </c>
      <c r="J22" s="85">
        <v>1094892.0356849825</v>
      </c>
      <c r="K22" s="85">
        <v>4673.105346069334</v>
      </c>
      <c r="L22" s="83">
        <v>1194392.7136269868</v>
      </c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</row>
    <row r="23" ht="15.75" customHeight="1">
      <c r="A23" s="76"/>
      <c r="B23" s="84" t="s">
        <v>50</v>
      </c>
      <c r="C23" s="85">
        <v>81896.93818652348</v>
      </c>
      <c r="D23" s="85">
        <v>58009.465789678965</v>
      </c>
      <c r="E23" s="85">
        <v>9703.48122957764</v>
      </c>
      <c r="F23" s="85">
        <v>68789.78023776859</v>
      </c>
      <c r="G23" s="85">
        <v>52709.99262894293</v>
      </c>
      <c r="H23" s="85">
        <v>3173.768530090332</v>
      </c>
      <c r="I23" s="85">
        <v>134377.0226263795</v>
      </c>
      <c r="J23" s="85">
        <v>17427.150313024897</v>
      </c>
      <c r="K23" s="85">
        <v>1687673.649165938</v>
      </c>
      <c r="L23" s="83">
        <v>1979384.2260815448</v>
      </c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</row>
    <row r="24" ht="15.75" customHeight="1">
      <c r="A24" s="76"/>
      <c r="B24" s="97" t="s">
        <v>51</v>
      </c>
      <c r="C24" s="79">
        <v>3.0833318416783407E7</v>
      </c>
      <c r="D24" s="79">
        <v>4140233.986928207</v>
      </c>
      <c r="E24" s="79">
        <v>2.046331303543135E7</v>
      </c>
      <c r="F24" s="79">
        <v>9860673.442057962</v>
      </c>
      <c r="G24" s="79">
        <v>3.365825205776789E7</v>
      </c>
      <c r="H24" s="79">
        <v>4922329.181446095</v>
      </c>
      <c r="I24" s="79">
        <v>6.89045677167033E7</v>
      </c>
      <c r="J24" s="79">
        <v>2540153.155862711</v>
      </c>
      <c r="K24" s="79">
        <v>2256215.842150903</v>
      </c>
      <c r="L24" s="83">
        <v>1.086744891184285E8</v>
      </c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</row>
    <row r="25" ht="15.75" customHeight="1">
      <c r="A25" s="76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</row>
    <row r="26" ht="15.75" customHeight="1">
      <c r="A26" s="99"/>
      <c r="B26" s="100" t="s">
        <v>87</v>
      </c>
      <c r="C26" s="101"/>
      <c r="D26" s="101"/>
      <c r="E26" s="101"/>
      <c r="F26" s="101"/>
      <c r="G26" s="101"/>
      <c r="H26" s="101"/>
      <c r="I26" s="101"/>
      <c r="J26" s="101"/>
    </row>
    <row r="27" ht="33.0" customHeight="1">
      <c r="A27" s="99"/>
      <c r="B27" s="103" t="s">
        <v>25</v>
      </c>
      <c r="C27" s="104" t="s">
        <v>89</v>
      </c>
      <c r="D27" s="101"/>
      <c r="E27" s="105"/>
      <c r="F27" s="101"/>
      <c r="G27" s="101"/>
      <c r="H27" s="101"/>
      <c r="I27" s="101"/>
      <c r="J27" s="101"/>
    </row>
    <row r="28" ht="15.75" customHeight="1">
      <c r="A28" s="99"/>
      <c r="B28" s="107"/>
      <c r="C28" s="108" t="s">
        <v>29</v>
      </c>
      <c r="D28" s="108" t="s">
        <v>30</v>
      </c>
      <c r="E28" s="108" t="s">
        <v>31</v>
      </c>
      <c r="F28" s="108" t="s">
        <v>33</v>
      </c>
      <c r="G28" s="108" t="s">
        <v>92</v>
      </c>
      <c r="H28" s="108" t="s">
        <v>34</v>
      </c>
      <c r="I28" s="109" t="s">
        <v>35</v>
      </c>
      <c r="J28" s="110"/>
    </row>
    <row r="29" ht="15.75" customHeight="1">
      <c r="A29" s="99"/>
      <c r="B29" s="111" t="s">
        <v>29</v>
      </c>
      <c r="C29" s="113">
        <f>C15+D15+C16+D16</f>
        <v>28628700.44</v>
      </c>
      <c r="D29" s="113">
        <v>1323962.746481324</v>
      </c>
      <c r="E29" s="113">
        <v>2924256.725367717</v>
      </c>
      <c r="F29" s="113">
        <v>2646993.850301025</v>
      </c>
      <c r="G29" s="113">
        <f>H16+H15</f>
        <v>1839378.942</v>
      </c>
      <c r="H29" s="113">
        <f>J15+K15+J16+K16</f>
        <v>497164.0691</v>
      </c>
      <c r="I29" s="115">
        <f t="shared" ref="I29:I34" si="11">SUM(C29:H29)</f>
        <v>37860456.77</v>
      </c>
      <c r="J29" s="101"/>
    </row>
    <row r="30" ht="15.75" customHeight="1">
      <c r="A30" s="99"/>
      <c r="B30" s="111" t="s">
        <v>30</v>
      </c>
      <c r="C30" s="113">
        <f t="shared" ref="C30:C33" si="12">C18+D18</f>
        <v>281538.9808</v>
      </c>
      <c r="D30" s="113">
        <v>8810233.616828203</v>
      </c>
      <c r="E30" s="113">
        <v>915210.493185236</v>
      </c>
      <c r="F30" s="113">
        <v>576724.9144780716</v>
      </c>
      <c r="G30" s="113">
        <f t="shared" ref="G30:G32" si="13">H18</f>
        <v>181504.7234</v>
      </c>
      <c r="H30" s="113">
        <f t="shared" ref="H30:H33" si="14">J18+K18</f>
        <v>147128.3582</v>
      </c>
      <c r="I30" s="115">
        <f t="shared" si="11"/>
        <v>10912341.09</v>
      </c>
      <c r="J30" s="101"/>
    </row>
    <row r="31" ht="15.75" customHeight="1">
      <c r="A31" s="99"/>
      <c r="B31" s="111" t="s">
        <v>31</v>
      </c>
      <c r="C31" s="113">
        <f t="shared" si="12"/>
        <v>2110870.771</v>
      </c>
      <c r="D31" s="113">
        <v>3192072.9576386646</v>
      </c>
      <c r="E31" s="113">
        <v>8294923.779897425</v>
      </c>
      <c r="F31" s="113">
        <v>4124456.0787981707</v>
      </c>
      <c r="G31" s="113">
        <f t="shared" si="13"/>
        <v>405808.8382</v>
      </c>
      <c r="H31" s="113">
        <f t="shared" si="14"/>
        <v>502766.602</v>
      </c>
      <c r="I31" s="115">
        <f t="shared" si="11"/>
        <v>18630899.03</v>
      </c>
      <c r="J31" s="101"/>
    </row>
    <row r="32" ht="15.75" customHeight="1">
      <c r="A32" s="99"/>
      <c r="B32" s="111" t="s">
        <v>33</v>
      </c>
      <c r="C32" s="113">
        <f t="shared" si="12"/>
        <v>3636369.798</v>
      </c>
      <c r="D32" s="113">
        <v>6288625.751625823</v>
      </c>
      <c r="E32" s="113">
        <v>6562603.786726309</v>
      </c>
      <c r="F32" s="113">
        <v>2.2428972381577108E7</v>
      </c>
      <c r="G32" s="113">
        <f t="shared" si="13"/>
        <v>1682418.928</v>
      </c>
      <c r="H32" s="113">
        <f t="shared" si="14"/>
        <v>837156.0388</v>
      </c>
      <c r="I32" s="115">
        <f t="shared" si="11"/>
        <v>41436146.68</v>
      </c>
      <c r="J32" s="101"/>
    </row>
    <row r="33" ht="15.75" customHeight="1">
      <c r="A33" s="99"/>
      <c r="B33" s="111" t="s">
        <v>92</v>
      </c>
      <c r="C33" s="113">
        <f t="shared" si="12"/>
        <v>144680.789</v>
      </c>
      <c r="D33" s="113">
        <f t="shared" ref="D33:G33" si="15">E21</f>
        <v>62704.53183</v>
      </c>
      <c r="E33" s="113">
        <f t="shared" si="15"/>
        <v>51053.92852</v>
      </c>
      <c r="F33" s="113">
        <f t="shared" si="15"/>
        <v>89670.80644</v>
      </c>
      <c r="G33" s="113">
        <f t="shared" si="15"/>
        <v>805602.8998</v>
      </c>
      <c r="H33" s="113">
        <f t="shared" si="14"/>
        <v>7487.989281</v>
      </c>
      <c r="I33" s="115">
        <f t="shared" si="11"/>
        <v>1161200.945</v>
      </c>
      <c r="J33" s="101"/>
    </row>
    <row r="34" ht="15.75" customHeight="1">
      <c r="A34" s="99"/>
      <c r="B34" s="111" t="s">
        <v>34</v>
      </c>
      <c r="C34" s="113">
        <f>D22+D23+C22+C23</f>
        <v>171391.625</v>
      </c>
      <c r="D34" s="113">
        <f t="shared" ref="D34:G34" si="16">E22+E23</f>
        <v>19033.15883</v>
      </c>
      <c r="E34" s="113">
        <f t="shared" si="16"/>
        <v>89522.1796</v>
      </c>
      <c r="F34" s="113">
        <f t="shared" si="16"/>
        <v>81549.18535</v>
      </c>
      <c r="G34" s="113">
        <f t="shared" si="16"/>
        <v>7614.850452</v>
      </c>
      <c r="H34" s="113">
        <f>J22+K23+J23+K22</f>
        <v>2804665.941</v>
      </c>
      <c r="I34" s="115">
        <f t="shared" si="11"/>
        <v>3173776.94</v>
      </c>
      <c r="J34" s="105"/>
    </row>
    <row r="35" ht="15.75" customHeight="1">
      <c r="A35" s="99"/>
      <c r="B35" s="127" t="s">
        <v>44</v>
      </c>
      <c r="C35" s="130">
        <f t="shared" ref="C35:I35" si="17">SUM(C29:C34)</f>
        <v>34973552.4</v>
      </c>
      <c r="D35" s="130">
        <f t="shared" si="17"/>
        <v>19696632.76</v>
      </c>
      <c r="E35" s="130">
        <f t="shared" si="17"/>
        <v>18837570.89</v>
      </c>
      <c r="F35" s="130">
        <f t="shared" si="17"/>
        <v>29948367.22</v>
      </c>
      <c r="G35" s="130">
        <f t="shared" si="17"/>
        <v>4922329.181</v>
      </c>
      <c r="H35" s="130">
        <f t="shared" si="17"/>
        <v>4796368.998</v>
      </c>
      <c r="I35" s="133">
        <f t="shared" si="17"/>
        <v>113174821.5</v>
      </c>
      <c r="J35" s="101"/>
    </row>
    <row r="36" ht="15.75" customHeight="1">
      <c r="A36" s="99"/>
      <c r="B36" s="101"/>
      <c r="C36" s="101"/>
      <c r="D36" s="101"/>
      <c r="E36" s="101"/>
      <c r="F36" s="101"/>
      <c r="G36" s="101"/>
      <c r="H36" s="101"/>
      <c r="I36" s="101"/>
      <c r="J36" s="101"/>
    </row>
    <row r="37" ht="15.75" customHeight="1">
      <c r="A37" s="40"/>
    </row>
    <row r="38" ht="15.75" customHeight="1">
      <c r="A38" s="40"/>
      <c r="B38" s="134" t="s">
        <v>101</v>
      </c>
    </row>
    <row r="39" ht="30.0" customHeight="1">
      <c r="A39" s="40"/>
      <c r="B39" s="42" t="s">
        <v>25</v>
      </c>
      <c r="C39" s="43" t="s">
        <v>89</v>
      </c>
      <c r="E39" s="44"/>
    </row>
    <row r="40" ht="15.75" customHeight="1">
      <c r="A40" s="40"/>
      <c r="B40" s="46"/>
      <c r="C40" s="47" t="s">
        <v>29</v>
      </c>
      <c r="D40" s="47" t="s">
        <v>30</v>
      </c>
      <c r="E40" s="47" t="s">
        <v>31</v>
      </c>
      <c r="F40" s="47" t="s">
        <v>33</v>
      </c>
      <c r="G40" s="47" t="s">
        <v>92</v>
      </c>
      <c r="H40" s="47" t="s">
        <v>34</v>
      </c>
      <c r="I40" s="51" t="s">
        <v>35</v>
      </c>
    </row>
    <row r="41" ht="15.75" customHeight="1">
      <c r="A41" s="40"/>
      <c r="B41" s="56" t="s">
        <v>29</v>
      </c>
      <c r="C41" s="60">
        <f>C15+D15+C16+D16</f>
        <v>28628700.44</v>
      </c>
      <c r="D41" s="60">
        <f t="shared" ref="D41:G41" si="18">E15+E16</f>
        <v>1756087.836</v>
      </c>
      <c r="E41" s="60">
        <f t="shared" si="18"/>
        <v>2056260.363</v>
      </c>
      <c r="F41" s="60">
        <f t="shared" si="18"/>
        <v>5101142.586</v>
      </c>
      <c r="G41" s="60">
        <f t="shared" si="18"/>
        <v>1839378.942</v>
      </c>
      <c r="H41" s="60">
        <f>J15+K15+J16+K16</f>
        <v>497164.0691</v>
      </c>
      <c r="I41" s="62">
        <f t="shared" ref="I41:I46" si="20">SUM(C41:H41)</f>
        <v>39878734.23</v>
      </c>
    </row>
    <row r="42" ht="15.75" customHeight="1">
      <c r="A42" s="40"/>
      <c r="B42" s="56" t="s">
        <v>30</v>
      </c>
      <c r="C42" s="60">
        <f t="shared" ref="C42:C45" si="21">C18+D18</f>
        <v>281538.9808</v>
      </c>
      <c r="D42" s="60">
        <f t="shared" ref="D42:G42" si="19">E18</f>
        <v>7798130.357</v>
      </c>
      <c r="E42" s="60">
        <f t="shared" si="19"/>
        <v>693625.7212</v>
      </c>
      <c r="F42" s="60">
        <f t="shared" si="19"/>
        <v>615376.5221</v>
      </c>
      <c r="G42" s="60">
        <f t="shared" si="19"/>
        <v>181504.7234</v>
      </c>
      <c r="H42" s="60">
        <f t="shared" ref="H42:H45" si="23">J18+K18</f>
        <v>147128.3582</v>
      </c>
      <c r="I42" s="62">
        <f t="shared" si="20"/>
        <v>9717304.663</v>
      </c>
    </row>
    <row r="43" ht="15.75" customHeight="1">
      <c r="A43" s="40"/>
      <c r="B43" s="56" t="s">
        <v>31</v>
      </c>
      <c r="C43" s="60">
        <f t="shared" si="21"/>
        <v>2110870.771</v>
      </c>
      <c r="D43" s="60">
        <f t="shared" ref="D43:G43" si="22">E19</f>
        <v>2288045.048</v>
      </c>
      <c r="E43" s="60">
        <f t="shared" si="22"/>
        <v>2295830.123</v>
      </c>
      <c r="F43" s="60">
        <f t="shared" si="22"/>
        <v>2543709.015</v>
      </c>
      <c r="G43" s="60">
        <f t="shared" si="22"/>
        <v>405808.8382</v>
      </c>
      <c r="H43" s="60">
        <f t="shared" si="23"/>
        <v>502766.602</v>
      </c>
      <c r="I43" s="62">
        <f t="shared" si="20"/>
        <v>10147030.4</v>
      </c>
    </row>
    <row r="44" ht="15.75" customHeight="1">
      <c r="A44" s="40"/>
      <c r="B44" s="56" t="s">
        <v>33</v>
      </c>
      <c r="C44" s="60">
        <f t="shared" si="21"/>
        <v>3636369.798</v>
      </c>
      <c r="D44" s="60">
        <f t="shared" ref="D44:G44" si="24">E20</f>
        <v>8539312.104</v>
      </c>
      <c r="E44" s="60">
        <f t="shared" si="24"/>
        <v>4674381.127</v>
      </c>
      <c r="F44" s="60">
        <f t="shared" si="24"/>
        <v>25226803.94</v>
      </c>
      <c r="G44" s="60">
        <f t="shared" si="24"/>
        <v>1682418.928</v>
      </c>
      <c r="H44" s="60">
        <f t="shared" si="23"/>
        <v>837156.0388</v>
      </c>
      <c r="I44" s="62">
        <f t="shared" si="20"/>
        <v>44596441.94</v>
      </c>
    </row>
    <row r="45" ht="15.75" customHeight="1">
      <c r="A45" s="40"/>
      <c r="B45" s="56" t="s">
        <v>92</v>
      </c>
      <c r="C45" s="60">
        <f t="shared" si="21"/>
        <v>144680.789</v>
      </c>
      <c r="D45" s="60">
        <f t="shared" ref="D45:G45" si="25">E21</f>
        <v>62704.53183</v>
      </c>
      <c r="E45" s="60">
        <f t="shared" si="25"/>
        <v>51053.92852</v>
      </c>
      <c r="F45" s="60">
        <f t="shared" si="25"/>
        <v>89670.80644</v>
      </c>
      <c r="G45" s="60">
        <f t="shared" si="25"/>
        <v>805602.8998</v>
      </c>
      <c r="H45" s="60">
        <f t="shared" si="23"/>
        <v>7487.989281</v>
      </c>
      <c r="I45" s="62">
        <f t="shared" si="20"/>
        <v>1161200.945</v>
      </c>
    </row>
    <row r="46" ht="15.75" customHeight="1">
      <c r="A46" s="40"/>
      <c r="B46" s="56" t="s">
        <v>34</v>
      </c>
      <c r="C46" s="60">
        <f>C22+D22+C23+D23</f>
        <v>171391.625</v>
      </c>
      <c r="D46" s="60">
        <f t="shared" ref="D46:G46" si="26">E22+E23</f>
        <v>19033.15883</v>
      </c>
      <c r="E46" s="60">
        <f t="shared" si="26"/>
        <v>89522.1796</v>
      </c>
      <c r="F46" s="60">
        <f t="shared" si="26"/>
        <v>81549.18535</v>
      </c>
      <c r="G46" s="60">
        <f t="shared" si="26"/>
        <v>7614.850452</v>
      </c>
      <c r="H46" s="60">
        <f>J22+J23+K22+K23</f>
        <v>2804665.941</v>
      </c>
      <c r="I46" s="62">
        <f t="shared" si="20"/>
        <v>3173776.94</v>
      </c>
    </row>
    <row r="47" ht="15.75" customHeight="1">
      <c r="A47" s="40"/>
      <c r="B47" s="68" t="s">
        <v>44</v>
      </c>
      <c r="C47" s="72">
        <f t="shared" ref="C47:I47" si="27">SUM(C41:C46)</f>
        <v>34973552.4</v>
      </c>
      <c r="D47" s="72">
        <f t="shared" si="27"/>
        <v>20463313.04</v>
      </c>
      <c r="E47" s="72">
        <f t="shared" si="27"/>
        <v>9860673.442</v>
      </c>
      <c r="F47" s="72">
        <f t="shared" si="27"/>
        <v>33658252.06</v>
      </c>
      <c r="G47" s="72">
        <f t="shared" si="27"/>
        <v>4922329.181</v>
      </c>
      <c r="H47" s="72">
        <f t="shared" si="27"/>
        <v>4796368.998</v>
      </c>
      <c r="I47" s="72">
        <f t="shared" si="27"/>
        <v>108674489.1</v>
      </c>
    </row>
    <row r="48" ht="15.75" customHeight="1">
      <c r="A48" s="40"/>
    </row>
    <row r="49" ht="15.75" customHeight="1">
      <c r="A49" s="40"/>
    </row>
    <row r="50" ht="15.75" customHeight="1">
      <c r="A50" s="40"/>
    </row>
    <row r="51" ht="15.75" customHeight="1">
      <c r="A51" s="40"/>
    </row>
    <row r="52" ht="15.75" customHeight="1">
      <c r="A52" s="40"/>
    </row>
    <row r="53" ht="15.75" customHeight="1">
      <c r="A53" s="40"/>
    </row>
    <row r="54" ht="15.75" customHeight="1">
      <c r="A54" s="40"/>
    </row>
    <row r="55" ht="15.75" customHeight="1">
      <c r="A55" s="40"/>
    </row>
    <row r="56" ht="15.75" customHeight="1">
      <c r="A56" s="40"/>
    </row>
    <row r="57" ht="15.75" customHeight="1">
      <c r="A57" s="40"/>
    </row>
    <row r="58" ht="15.75" customHeight="1">
      <c r="A58" s="40"/>
    </row>
    <row r="59" ht="15.75" customHeight="1">
      <c r="A59" s="40"/>
    </row>
    <row r="60" ht="15.75" customHeight="1">
      <c r="A60" s="40"/>
    </row>
    <row r="61" ht="15.75" customHeight="1">
      <c r="A61" s="40"/>
    </row>
    <row r="62" ht="15.75" customHeight="1">
      <c r="A62" s="40"/>
    </row>
    <row r="63" ht="15.75" customHeight="1">
      <c r="A63" s="40"/>
    </row>
    <row r="64" ht="15.75" customHeight="1">
      <c r="A64" s="40"/>
    </row>
    <row r="65" ht="15.75" customHeight="1">
      <c r="A65" s="40"/>
    </row>
    <row r="66" ht="15.75" customHeight="1">
      <c r="A66" s="40"/>
    </row>
    <row r="67" ht="15.75" customHeight="1">
      <c r="A67" s="40"/>
    </row>
    <row r="68" ht="15.75" customHeight="1">
      <c r="A68" s="40"/>
    </row>
    <row r="69" ht="15.75" customHeight="1">
      <c r="A69" s="40"/>
    </row>
    <row r="70" ht="15.75" customHeight="1">
      <c r="A70" s="40"/>
    </row>
    <row r="71" ht="15.75" customHeight="1">
      <c r="A71" s="40"/>
    </row>
    <row r="72" ht="15.75" customHeight="1">
      <c r="A72" s="40"/>
    </row>
    <row r="73" ht="15.75" customHeight="1">
      <c r="A73" s="40"/>
    </row>
    <row r="74" ht="15.75" customHeight="1">
      <c r="A74" s="40"/>
    </row>
    <row r="75" ht="15.75" customHeight="1">
      <c r="A75" s="40"/>
    </row>
    <row r="76" ht="15.75" customHeight="1">
      <c r="A76" s="40"/>
    </row>
    <row r="77" ht="15.75" customHeight="1">
      <c r="A77" s="40"/>
    </row>
    <row r="78" ht="15.75" customHeight="1">
      <c r="A78" s="40"/>
    </row>
    <row r="79" ht="15.75" customHeight="1">
      <c r="A79" s="40"/>
    </row>
    <row r="80" ht="15.75" customHeight="1">
      <c r="A80" s="40"/>
    </row>
    <row r="81" ht="15.75" customHeight="1">
      <c r="A81" s="40"/>
    </row>
    <row r="82" ht="15.75" customHeight="1">
      <c r="A82" s="40"/>
    </row>
    <row r="83" ht="15.75" customHeight="1">
      <c r="A83" s="40"/>
    </row>
    <row r="84" ht="15.75" customHeight="1">
      <c r="A84" s="40"/>
    </row>
    <row r="85" ht="15.75" customHeight="1">
      <c r="A85" s="40"/>
    </row>
    <row r="86" ht="15.75" customHeight="1">
      <c r="A86" s="40"/>
    </row>
    <row r="87" ht="15.75" customHeight="1">
      <c r="A87" s="40"/>
    </row>
    <row r="88" ht="15.75" customHeight="1">
      <c r="A88" s="40"/>
    </row>
    <row r="89" ht="15.75" customHeight="1">
      <c r="A89" s="40"/>
    </row>
    <row r="90" ht="15.75" customHeight="1">
      <c r="A90" s="40"/>
    </row>
    <row r="91" ht="15.75" customHeight="1">
      <c r="A91" s="40"/>
    </row>
    <row r="92" ht="15.75" customHeight="1">
      <c r="A92" s="40"/>
    </row>
    <row r="93" ht="15.75" customHeight="1">
      <c r="A93" s="40"/>
    </row>
    <row r="94" ht="15.75" customHeight="1">
      <c r="A94" s="40"/>
    </row>
    <row r="95" ht="15.75" customHeight="1">
      <c r="A95" s="40"/>
    </row>
    <row r="96" ht="15.75" customHeight="1">
      <c r="A96" s="40"/>
    </row>
    <row r="97" ht="15.75" customHeight="1">
      <c r="A97" s="40"/>
    </row>
    <row r="98" ht="15.75" customHeight="1">
      <c r="A98" s="40"/>
    </row>
    <row r="99" ht="15.75" customHeight="1">
      <c r="A99" s="40"/>
    </row>
    <row r="100" ht="15.75" customHeight="1">
      <c r="A100" s="40"/>
    </row>
    <row r="101" ht="15.75" customHeight="1">
      <c r="A101" s="40"/>
    </row>
    <row r="102" ht="15.75" customHeight="1">
      <c r="A102" s="40"/>
    </row>
    <row r="103" ht="15.75" customHeight="1">
      <c r="A103" s="40"/>
    </row>
    <row r="104" ht="15.75" customHeight="1">
      <c r="A104" s="40"/>
    </row>
    <row r="105" ht="15.75" customHeight="1">
      <c r="A105" s="40"/>
    </row>
    <row r="106" ht="15.75" customHeight="1">
      <c r="A106" s="40"/>
    </row>
    <row r="107" ht="15.75" customHeight="1">
      <c r="A107" s="40"/>
    </row>
    <row r="108" ht="15.75" customHeight="1">
      <c r="A108" s="40"/>
    </row>
    <row r="109" ht="15.75" customHeight="1">
      <c r="A109" s="40"/>
    </row>
    <row r="110" ht="15.75" customHeight="1">
      <c r="A110" s="40"/>
    </row>
    <row r="111" ht="15.75" customHeight="1">
      <c r="A111" s="40"/>
    </row>
    <row r="112" ht="15.75" customHeight="1">
      <c r="A112" s="40"/>
    </row>
    <row r="113" ht="15.75" customHeight="1">
      <c r="A113" s="40"/>
    </row>
    <row r="114" ht="15.75" customHeight="1">
      <c r="A114" s="40"/>
    </row>
    <row r="115" ht="15.75" customHeight="1">
      <c r="A115" s="40"/>
    </row>
    <row r="116" ht="15.75" customHeight="1">
      <c r="A116" s="40"/>
    </row>
    <row r="117" ht="15.75" customHeight="1">
      <c r="A117" s="40"/>
    </row>
    <row r="118" ht="15.75" customHeight="1">
      <c r="A118" s="40"/>
    </row>
    <row r="119" ht="15.75" customHeight="1">
      <c r="A119" s="40"/>
    </row>
    <row r="120" ht="15.75" customHeight="1">
      <c r="A120" s="40"/>
    </row>
    <row r="121" ht="15.75" customHeight="1">
      <c r="A121" s="40"/>
    </row>
    <row r="122" ht="15.75" customHeight="1">
      <c r="A122" s="40"/>
    </row>
    <row r="123" ht="15.75" customHeight="1">
      <c r="A123" s="40"/>
    </row>
    <row r="124" ht="15.75" customHeight="1">
      <c r="A124" s="40"/>
    </row>
    <row r="125" ht="15.75" customHeight="1">
      <c r="A125" s="40"/>
    </row>
    <row r="126" ht="15.75" customHeight="1">
      <c r="A126" s="40"/>
    </row>
    <row r="127" ht="15.75" customHeight="1">
      <c r="A127" s="40"/>
    </row>
    <row r="128" ht="15.75" customHeight="1">
      <c r="A128" s="40"/>
    </row>
    <row r="129" ht="15.75" customHeight="1">
      <c r="A129" s="40"/>
    </row>
    <row r="130" ht="15.75" customHeight="1">
      <c r="A130" s="40"/>
    </row>
    <row r="131" ht="15.75" customHeight="1">
      <c r="A131" s="40"/>
    </row>
    <row r="132" ht="15.75" customHeight="1">
      <c r="A132" s="40"/>
    </row>
    <row r="133" ht="15.75" customHeight="1">
      <c r="A133" s="40"/>
    </row>
    <row r="134" ht="15.75" customHeight="1">
      <c r="A134" s="40"/>
    </row>
    <row r="135" ht="15.75" customHeight="1">
      <c r="A135" s="40"/>
    </row>
    <row r="136" ht="15.75" customHeight="1">
      <c r="A136" s="40"/>
    </row>
    <row r="137" ht="15.75" customHeight="1">
      <c r="A137" s="40"/>
    </row>
    <row r="138" ht="15.75" customHeight="1">
      <c r="A138" s="40"/>
    </row>
    <row r="139" ht="15.75" customHeight="1">
      <c r="A139" s="40"/>
    </row>
    <row r="140" ht="15.75" customHeight="1">
      <c r="A140" s="40"/>
    </row>
    <row r="141" ht="15.75" customHeight="1">
      <c r="A141" s="40"/>
    </row>
    <row r="142" ht="15.75" customHeight="1">
      <c r="A142" s="40"/>
    </row>
    <row r="143" ht="15.75" customHeight="1">
      <c r="A143" s="40"/>
    </row>
    <row r="144" ht="15.75" customHeight="1">
      <c r="A144" s="40"/>
    </row>
    <row r="145" ht="15.75" customHeight="1">
      <c r="A145" s="40"/>
    </row>
    <row r="146" ht="15.75" customHeight="1">
      <c r="A146" s="40"/>
    </row>
    <row r="147" ht="15.75" customHeight="1">
      <c r="A147" s="40"/>
    </row>
    <row r="148" ht="15.75" customHeight="1">
      <c r="A148" s="40"/>
    </row>
    <row r="149" ht="15.75" customHeight="1">
      <c r="A149" s="40"/>
    </row>
    <row r="150" ht="15.75" customHeight="1">
      <c r="A150" s="40"/>
    </row>
    <row r="151" ht="15.75" customHeight="1">
      <c r="A151" s="40"/>
    </row>
    <row r="152" ht="15.75" customHeight="1">
      <c r="A152" s="40"/>
    </row>
    <row r="153" ht="15.75" customHeight="1">
      <c r="A153" s="40"/>
    </row>
    <row r="154" ht="15.75" customHeight="1">
      <c r="A154" s="40"/>
    </row>
    <row r="155" ht="15.75" customHeight="1">
      <c r="A155" s="40"/>
    </row>
    <row r="156" ht="15.75" customHeight="1">
      <c r="A156" s="40"/>
    </row>
    <row r="157" ht="15.75" customHeight="1">
      <c r="A157" s="40"/>
    </row>
    <row r="158" ht="15.75" customHeight="1">
      <c r="A158" s="40"/>
    </row>
    <row r="159" ht="15.75" customHeight="1">
      <c r="A159" s="40"/>
    </row>
    <row r="160" ht="15.75" customHeight="1">
      <c r="A160" s="40"/>
    </row>
    <row r="161" ht="15.75" customHeight="1">
      <c r="A161" s="40"/>
    </row>
    <row r="162" ht="15.75" customHeight="1">
      <c r="A162" s="40"/>
    </row>
    <row r="163" ht="15.75" customHeight="1">
      <c r="A163" s="40"/>
    </row>
    <row r="164" ht="15.75" customHeight="1">
      <c r="A164" s="40"/>
    </row>
    <row r="165" ht="15.75" customHeight="1">
      <c r="A165" s="40"/>
    </row>
    <row r="166" ht="15.75" customHeight="1">
      <c r="A166" s="40"/>
    </row>
    <row r="167" ht="15.75" customHeight="1">
      <c r="A167" s="40"/>
    </row>
    <row r="168" ht="15.75" customHeight="1">
      <c r="A168" s="40"/>
    </row>
    <row r="169" ht="15.75" customHeight="1">
      <c r="A169" s="40"/>
    </row>
    <row r="170" ht="15.75" customHeight="1">
      <c r="A170" s="40"/>
    </row>
    <row r="171" ht="15.75" customHeight="1">
      <c r="A171" s="40"/>
    </row>
    <row r="172" ht="15.75" customHeight="1">
      <c r="A172" s="40"/>
    </row>
    <row r="173" ht="15.75" customHeight="1">
      <c r="A173" s="40"/>
    </row>
    <row r="174" ht="15.75" customHeight="1">
      <c r="A174" s="40"/>
    </row>
    <row r="175" ht="15.75" customHeight="1">
      <c r="A175" s="40"/>
    </row>
    <row r="176" ht="15.75" customHeight="1">
      <c r="A176" s="40"/>
    </row>
    <row r="177" ht="15.75" customHeight="1">
      <c r="A177" s="40"/>
    </row>
    <row r="178" ht="15.75" customHeight="1">
      <c r="A178" s="40"/>
    </row>
    <row r="179" ht="15.75" customHeight="1">
      <c r="A179" s="40"/>
    </row>
    <row r="180" ht="15.75" customHeight="1">
      <c r="A180" s="40"/>
    </row>
    <row r="181" ht="15.75" customHeight="1">
      <c r="A181" s="40"/>
    </row>
    <row r="182" ht="15.75" customHeight="1">
      <c r="A182" s="40"/>
    </row>
    <row r="183" ht="15.75" customHeight="1">
      <c r="A183" s="40"/>
    </row>
    <row r="184" ht="15.75" customHeight="1">
      <c r="A184" s="40"/>
    </row>
    <row r="185" ht="15.75" customHeight="1">
      <c r="A185" s="40"/>
    </row>
    <row r="186" ht="15.75" customHeight="1">
      <c r="A186" s="40"/>
    </row>
    <row r="187" ht="15.75" customHeight="1">
      <c r="A187" s="40"/>
    </row>
    <row r="188" ht="15.75" customHeight="1">
      <c r="A188" s="40"/>
    </row>
    <row r="189" ht="15.75" customHeight="1">
      <c r="A189" s="40"/>
    </row>
    <row r="190" ht="15.75" customHeight="1">
      <c r="A190" s="40"/>
    </row>
    <row r="191" ht="15.75" customHeight="1">
      <c r="A191" s="40"/>
    </row>
    <row r="192" ht="15.75" customHeight="1">
      <c r="A192" s="40"/>
    </row>
    <row r="193" ht="15.75" customHeight="1">
      <c r="A193" s="40"/>
    </row>
    <row r="194" ht="15.75" customHeight="1">
      <c r="A194" s="40"/>
    </row>
    <row r="195" ht="15.75" customHeight="1">
      <c r="A195" s="40"/>
    </row>
    <row r="196" ht="15.75" customHeight="1">
      <c r="A196" s="40"/>
    </row>
    <row r="197" ht="15.75" customHeight="1">
      <c r="A197" s="40"/>
    </row>
    <row r="198" ht="15.75" customHeight="1">
      <c r="A198" s="40"/>
    </row>
    <row r="199" ht="15.75" customHeight="1">
      <c r="A199" s="40"/>
    </row>
    <row r="200" ht="15.75" customHeight="1">
      <c r="A200" s="40"/>
    </row>
    <row r="201" ht="15.75" customHeight="1">
      <c r="A201" s="40"/>
    </row>
    <row r="202" ht="15.75" customHeight="1">
      <c r="A202" s="40"/>
    </row>
    <row r="203" ht="15.75" customHeight="1">
      <c r="A203" s="40"/>
    </row>
    <row r="204" ht="15.75" customHeight="1">
      <c r="A204" s="40"/>
    </row>
    <row r="205" ht="15.75" customHeight="1">
      <c r="A205" s="40"/>
    </row>
    <row r="206" ht="15.75" customHeight="1">
      <c r="A206" s="40"/>
    </row>
    <row r="207" ht="15.75" customHeight="1">
      <c r="A207" s="40"/>
    </row>
    <row r="208" ht="15.75" customHeight="1">
      <c r="A208" s="40"/>
    </row>
    <row r="209" ht="15.75" customHeight="1">
      <c r="A209" s="40"/>
    </row>
    <row r="210" ht="15.75" customHeight="1">
      <c r="A210" s="40"/>
    </row>
    <row r="211" ht="15.75" customHeight="1">
      <c r="A211" s="40"/>
    </row>
    <row r="212" ht="15.75" customHeight="1">
      <c r="A212" s="40"/>
    </row>
    <row r="213" ht="15.75" customHeight="1">
      <c r="A213" s="40"/>
    </row>
    <row r="214" ht="15.75" customHeight="1">
      <c r="A214" s="40"/>
    </row>
    <row r="215" ht="15.75" customHeight="1">
      <c r="A215" s="40"/>
    </row>
    <row r="216" ht="15.75" customHeight="1">
      <c r="A216" s="40"/>
    </row>
    <row r="217" ht="15.75" customHeight="1">
      <c r="A217" s="40"/>
    </row>
    <row r="218" ht="15.75" customHeight="1">
      <c r="A218" s="40"/>
    </row>
    <row r="219" ht="15.75" customHeight="1">
      <c r="A219" s="40"/>
    </row>
    <row r="220" ht="15.75" customHeight="1">
      <c r="A220" s="40"/>
    </row>
    <row r="221" ht="15.75" customHeight="1">
      <c r="A221" s="40"/>
    </row>
    <row r="222" ht="15.75" customHeight="1">
      <c r="A222" s="40"/>
    </row>
    <row r="223" ht="15.75" customHeight="1">
      <c r="A223" s="40"/>
    </row>
    <row r="224" ht="15.75" customHeight="1">
      <c r="A224" s="40"/>
    </row>
    <row r="225" ht="15.75" customHeight="1">
      <c r="A225" s="40"/>
    </row>
    <row r="226" ht="15.75" customHeight="1">
      <c r="A226" s="40"/>
    </row>
    <row r="227" ht="15.75" customHeight="1">
      <c r="A227" s="40"/>
    </row>
    <row r="228" ht="15.75" customHeight="1">
      <c r="A228" s="40"/>
    </row>
    <row r="229" ht="15.75" customHeight="1">
      <c r="A229" s="40"/>
    </row>
    <row r="230" ht="15.75" customHeight="1">
      <c r="A230" s="40"/>
    </row>
    <row r="231" ht="15.75" customHeight="1">
      <c r="A231" s="40"/>
    </row>
    <row r="232" ht="15.75" customHeight="1">
      <c r="A232" s="40"/>
    </row>
    <row r="233" ht="15.75" customHeight="1">
      <c r="A233" s="40"/>
    </row>
    <row r="234" ht="15.75" customHeight="1">
      <c r="A234" s="40"/>
    </row>
    <row r="235" ht="15.75" customHeight="1">
      <c r="A235" s="40"/>
    </row>
    <row r="236" ht="15.75" customHeight="1">
      <c r="A236" s="40"/>
    </row>
    <row r="237" ht="15.75" customHeight="1">
      <c r="A237" s="40"/>
    </row>
    <row r="238" ht="15.75" customHeight="1">
      <c r="A238" s="40"/>
    </row>
    <row r="239" ht="15.75" customHeight="1">
      <c r="A239" s="40"/>
    </row>
    <row r="240" ht="15.75" customHeight="1">
      <c r="A240" s="40"/>
    </row>
    <row r="241" ht="15.75" customHeight="1">
      <c r="A241" s="40"/>
    </row>
    <row r="242" ht="15.75" customHeight="1">
      <c r="A242" s="40"/>
    </row>
    <row r="243" ht="15.75" customHeight="1">
      <c r="A243" s="40"/>
    </row>
    <row r="244" ht="15.75" customHeight="1">
      <c r="A244" s="40"/>
    </row>
    <row r="245" ht="15.75" customHeight="1">
      <c r="A245" s="40"/>
    </row>
    <row r="246" ht="15.75" customHeight="1">
      <c r="A246" s="40"/>
    </row>
    <row r="247" ht="15.75" customHeight="1">
      <c r="A247" s="40"/>
    </row>
    <row r="248" ht="15.75" customHeight="1">
      <c r="A248" s="40"/>
    </row>
    <row r="249" ht="15.75" customHeight="1">
      <c r="A249" s="40"/>
    </row>
    <row r="250" ht="15.75" customHeight="1">
      <c r="A250" s="40"/>
    </row>
    <row r="251" ht="15.75" customHeight="1">
      <c r="A251" s="40"/>
    </row>
    <row r="252" ht="15.75" customHeight="1">
      <c r="A252" s="40"/>
    </row>
    <row r="253" ht="15.75" customHeight="1">
      <c r="A253" s="40"/>
    </row>
    <row r="254" ht="15.75" customHeight="1">
      <c r="A254" s="40"/>
    </row>
    <row r="255" ht="15.75" customHeight="1">
      <c r="A255" s="40"/>
    </row>
    <row r="256" ht="15.75" customHeight="1">
      <c r="A256" s="40"/>
    </row>
    <row r="257" ht="15.75" customHeight="1">
      <c r="A257" s="40"/>
    </row>
    <row r="258" ht="15.75" customHeight="1">
      <c r="A258" s="40"/>
    </row>
    <row r="259" ht="15.75" customHeight="1">
      <c r="A259" s="40"/>
    </row>
    <row r="260" ht="15.75" customHeight="1">
      <c r="A260" s="40"/>
    </row>
    <row r="261" ht="15.75" customHeight="1">
      <c r="A261" s="40"/>
    </row>
    <row r="262" ht="15.75" customHeight="1">
      <c r="A262" s="40"/>
    </row>
    <row r="263" ht="15.75" customHeight="1">
      <c r="A263" s="40"/>
    </row>
    <row r="264" ht="15.75" customHeight="1">
      <c r="A264" s="40"/>
    </row>
    <row r="265" ht="15.75" customHeight="1">
      <c r="A265" s="40"/>
    </row>
    <row r="266" ht="15.75" customHeight="1">
      <c r="A266" s="40"/>
    </row>
    <row r="267" ht="15.75" customHeight="1">
      <c r="A267" s="40"/>
    </row>
    <row r="268" ht="15.75" customHeight="1">
      <c r="A268" s="40"/>
    </row>
    <row r="269" ht="15.75" customHeight="1">
      <c r="A269" s="40"/>
    </row>
    <row r="270" ht="15.75" customHeight="1">
      <c r="A270" s="40"/>
    </row>
    <row r="271" ht="15.75" customHeight="1">
      <c r="A271" s="40"/>
    </row>
    <row r="272" ht="15.75" customHeight="1">
      <c r="A272" s="40"/>
    </row>
    <row r="273" ht="15.75" customHeight="1">
      <c r="A273" s="40"/>
    </row>
    <row r="274" ht="15.75" customHeight="1">
      <c r="A274" s="40"/>
    </row>
    <row r="275" ht="15.75" customHeight="1">
      <c r="A275" s="40"/>
    </row>
    <row r="276" ht="15.75" customHeight="1">
      <c r="A276" s="40"/>
    </row>
    <row r="277" ht="15.75" customHeight="1">
      <c r="A277" s="40"/>
    </row>
    <row r="278" ht="15.75" customHeight="1">
      <c r="A278" s="40"/>
    </row>
    <row r="279" ht="15.75" customHeight="1">
      <c r="A279" s="40"/>
    </row>
    <row r="280" ht="15.75" customHeight="1">
      <c r="A280" s="40"/>
    </row>
    <row r="281" ht="15.75" customHeight="1">
      <c r="A281" s="40"/>
    </row>
    <row r="282" ht="15.75" customHeight="1">
      <c r="A282" s="40"/>
    </row>
    <row r="283" ht="15.75" customHeight="1">
      <c r="A283" s="40"/>
    </row>
    <row r="284" ht="15.75" customHeight="1">
      <c r="A284" s="40"/>
    </row>
    <row r="285" ht="15.75" customHeight="1">
      <c r="A285" s="40"/>
    </row>
    <row r="286" ht="15.75" customHeight="1">
      <c r="A286" s="40"/>
    </row>
    <row r="287" ht="15.75" customHeight="1">
      <c r="A287" s="40"/>
    </row>
    <row r="288" ht="15.75" customHeight="1">
      <c r="A288" s="40"/>
    </row>
    <row r="289" ht="15.75" customHeight="1">
      <c r="A289" s="40"/>
    </row>
    <row r="290" ht="15.75" customHeight="1">
      <c r="A290" s="40"/>
    </row>
    <row r="291" ht="15.75" customHeight="1">
      <c r="A291" s="40"/>
    </row>
    <row r="292" ht="15.75" customHeight="1">
      <c r="A292" s="40"/>
    </row>
    <row r="293" ht="15.75" customHeight="1">
      <c r="A293" s="40"/>
    </row>
    <row r="294" ht="15.75" customHeight="1">
      <c r="A294" s="40"/>
    </row>
    <row r="295" ht="15.75" customHeight="1">
      <c r="A295" s="40"/>
    </row>
    <row r="296" ht="15.75" customHeight="1">
      <c r="A296" s="40"/>
    </row>
    <row r="297" ht="15.75" customHeight="1">
      <c r="A297" s="40"/>
    </row>
    <row r="298" ht="15.75" customHeight="1">
      <c r="A298" s="40"/>
    </row>
    <row r="299" ht="15.75" customHeight="1">
      <c r="A299" s="40"/>
    </row>
    <row r="300" ht="15.75" customHeight="1">
      <c r="A300" s="40"/>
    </row>
    <row r="301" ht="15.75" customHeight="1">
      <c r="A301" s="40"/>
    </row>
    <row r="302" ht="15.75" customHeight="1">
      <c r="A302" s="40"/>
    </row>
    <row r="303" ht="15.75" customHeight="1">
      <c r="A303" s="40"/>
    </row>
    <row r="304" ht="15.75" customHeight="1">
      <c r="A304" s="40"/>
    </row>
    <row r="305" ht="15.75" customHeight="1">
      <c r="A305" s="40"/>
    </row>
    <row r="306" ht="15.75" customHeight="1">
      <c r="A306" s="40"/>
    </row>
    <row r="307" ht="15.75" customHeight="1">
      <c r="A307" s="40"/>
    </row>
    <row r="308" ht="15.75" customHeight="1">
      <c r="A308" s="40"/>
    </row>
    <row r="309" ht="15.75" customHeight="1">
      <c r="A309" s="40"/>
    </row>
    <row r="310" ht="15.75" customHeight="1">
      <c r="A310" s="40"/>
    </row>
    <row r="311" ht="15.75" customHeight="1">
      <c r="A311" s="40"/>
    </row>
    <row r="312" ht="15.75" customHeight="1">
      <c r="A312" s="40"/>
    </row>
    <row r="313" ht="15.75" customHeight="1">
      <c r="A313" s="40"/>
    </row>
    <row r="314" ht="15.75" customHeight="1">
      <c r="A314" s="40"/>
    </row>
    <row r="315" ht="15.75" customHeight="1">
      <c r="A315" s="40"/>
    </row>
    <row r="316" ht="15.75" customHeight="1">
      <c r="A316" s="40"/>
    </row>
    <row r="317" ht="15.75" customHeight="1">
      <c r="A317" s="40"/>
    </row>
    <row r="318" ht="15.75" customHeight="1">
      <c r="A318" s="40"/>
    </row>
    <row r="319" ht="15.75" customHeight="1">
      <c r="A319" s="40"/>
    </row>
    <row r="320" ht="15.75" customHeight="1">
      <c r="A320" s="40"/>
    </row>
    <row r="321" ht="15.75" customHeight="1">
      <c r="A321" s="40"/>
    </row>
    <row r="322" ht="15.75" customHeight="1">
      <c r="A322" s="40"/>
    </row>
    <row r="323" ht="15.75" customHeight="1">
      <c r="A323" s="40"/>
    </row>
    <row r="324" ht="15.75" customHeight="1">
      <c r="A324" s="40"/>
    </row>
    <row r="325" ht="15.75" customHeight="1">
      <c r="A325" s="40"/>
    </row>
    <row r="326" ht="15.75" customHeight="1">
      <c r="A326" s="40"/>
    </row>
    <row r="327" ht="15.75" customHeight="1">
      <c r="A327" s="40"/>
    </row>
    <row r="328" ht="15.75" customHeight="1">
      <c r="A328" s="40"/>
    </row>
    <row r="329" ht="15.75" customHeight="1">
      <c r="A329" s="40"/>
    </row>
    <row r="330" ht="15.75" customHeight="1">
      <c r="A330" s="40"/>
    </row>
    <row r="331" ht="15.75" customHeight="1">
      <c r="A331" s="40"/>
    </row>
    <row r="332" ht="15.75" customHeight="1">
      <c r="A332" s="40"/>
    </row>
    <row r="333" ht="15.75" customHeight="1">
      <c r="A333" s="40"/>
    </row>
    <row r="334" ht="15.75" customHeight="1">
      <c r="A334" s="40"/>
    </row>
    <row r="335" ht="15.75" customHeight="1">
      <c r="A335" s="40"/>
    </row>
    <row r="336" ht="15.75" customHeight="1">
      <c r="A336" s="40"/>
    </row>
    <row r="337" ht="15.75" customHeight="1">
      <c r="A337" s="40"/>
    </row>
    <row r="338" ht="15.75" customHeight="1">
      <c r="A338" s="40"/>
    </row>
    <row r="339" ht="15.75" customHeight="1">
      <c r="A339" s="40"/>
    </row>
    <row r="340" ht="15.75" customHeight="1">
      <c r="A340" s="40"/>
    </row>
    <row r="341" ht="15.75" customHeight="1">
      <c r="A341" s="40"/>
    </row>
    <row r="342" ht="15.75" customHeight="1">
      <c r="A342" s="40"/>
    </row>
    <row r="343" ht="15.75" customHeight="1">
      <c r="A343" s="40"/>
    </row>
    <row r="344" ht="15.75" customHeight="1">
      <c r="A344" s="40"/>
    </row>
    <row r="345" ht="15.75" customHeight="1">
      <c r="A345" s="40"/>
    </row>
    <row r="346" ht="15.75" customHeight="1">
      <c r="A346" s="40"/>
    </row>
    <row r="347" ht="15.75" customHeight="1">
      <c r="A347" s="40"/>
    </row>
    <row r="348" ht="15.75" customHeight="1">
      <c r="A348" s="40"/>
    </row>
    <row r="349" ht="15.75" customHeight="1">
      <c r="A349" s="40"/>
    </row>
    <row r="350" ht="15.75" customHeight="1">
      <c r="A350" s="40"/>
    </row>
    <row r="351" ht="15.75" customHeight="1">
      <c r="A351" s="40"/>
    </row>
    <row r="352" ht="15.75" customHeight="1">
      <c r="A352" s="40"/>
    </row>
    <row r="353" ht="15.75" customHeight="1">
      <c r="A353" s="40"/>
    </row>
    <row r="354" ht="15.75" customHeight="1">
      <c r="A354" s="40"/>
    </row>
    <row r="355" ht="15.75" customHeight="1">
      <c r="A355" s="40"/>
    </row>
    <row r="356" ht="15.75" customHeight="1">
      <c r="A356" s="40"/>
    </row>
    <row r="357" ht="15.75" customHeight="1">
      <c r="A357" s="40"/>
    </row>
    <row r="358" ht="15.75" customHeight="1">
      <c r="A358" s="40"/>
    </row>
    <row r="359" ht="15.75" customHeight="1">
      <c r="A359" s="40"/>
    </row>
    <row r="360" ht="15.75" customHeight="1">
      <c r="A360" s="40"/>
    </row>
    <row r="361" ht="15.75" customHeight="1">
      <c r="A361" s="40"/>
    </row>
    <row r="362" ht="15.75" customHeight="1">
      <c r="A362" s="40"/>
    </row>
    <row r="363" ht="15.75" customHeight="1">
      <c r="A363" s="40"/>
    </row>
    <row r="364" ht="15.75" customHeight="1">
      <c r="A364" s="40"/>
    </row>
    <row r="365" ht="15.75" customHeight="1">
      <c r="A365" s="40"/>
    </row>
    <row r="366" ht="15.75" customHeight="1">
      <c r="A366" s="40"/>
    </row>
    <row r="367" ht="15.75" customHeight="1">
      <c r="A367" s="40"/>
    </row>
    <row r="368" ht="15.75" customHeight="1">
      <c r="A368" s="40"/>
    </row>
    <row r="369" ht="15.75" customHeight="1">
      <c r="A369" s="40"/>
    </row>
    <row r="370" ht="15.75" customHeight="1">
      <c r="A370" s="40"/>
    </row>
    <row r="371" ht="15.75" customHeight="1">
      <c r="A371" s="40"/>
    </row>
    <row r="372" ht="15.75" customHeight="1">
      <c r="A372" s="40"/>
    </row>
    <row r="373" ht="15.75" customHeight="1">
      <c r="A373" s="40"/>
    </row>
    <row r="374" ht="15.75" customHeight="1">
      <c r="A374" s="40"/>
    </row>
    <row r="375" ht="15.75" customHeight="1">
      <c r="A375" s="40"/>
    </row>
    <row r="376" ht="15.75" customHeight="1">
      <c r="A376" s="40"/>
    </row>
    <row r="377" ht="15.75" customHeight="1">
      <c r="A377" s="40"/>
    </row>
    <row r="378" ht="15.75" customHeight="1">
      <c r="A378" s="40"/>
    </row>
    <row r="379" ht="15.75" customHeight="1">
      <c r="A379" s="40"/>
    </row>
    <row r="380" ht="15.75" customHeight="1">
      <c r="A380" s="40"/>
    </row>
    <row r="381" ht="15.75" customHeight="1">
      <c r="A381" s="40"/>
    </row>
    <row r="382" ht="15.75" customHeight="1">
      <c r="A382" s="40"/>
    </row>
    <row r="383" ht="15.75" customHeight="1">
      <c r="A383" s="40"/>
    </row>
    <row r="384" ht="15.75" customHeight="1">
      <c r="A384" s="40"/>
    </row>
    <row r="385" ht="15.75" customHeight="1">
      <c r="A385" s="40"/>
    </row>
    <row r="386" ht="15.75" customHeight="1">
      <c r="A386" s="40"/>
    </row>
    <row r="387" ht="15.75" customHeight="1">
      <c r="A387" s="40"/>
    </row>
    <row r="388" ht="15.75" customHeight="1">
      <c r="A388" s="40"/>
    </row>
    <row r="389" ht="15.75" customHeight="1">
      <c r="A389" s="40"/>
    </row>
    <row r="390" ht="15.75" customHeight="1">
      <c r="A390" s="40"/>
    </row>
    <row r="391" ht="15.75" customHeight="1">
      <c r="A391" s="40"/>
    </row>
    <row r="392" ht="15.75" customHeight="1">
      <c r="A392" s="40"/>
    </row>
    <row r="393" ht="15.75" customHeight="1">
      <c r="A393" s="40"/>
    </row>
    <row r="394" ht="15.75" customHeight="1">
      <c r="A394" s="40"/>
    </row>
    <row r="395" ht="15.75" customHeight="1">
      <c r="A395" s="40"/>
    </row>
    <row r="396" ht="15.75" customHeight="1">
      <c r="A396" s="40"/>
    </row>
    <row r="397" ht="15.75" customHeight="1">
      <c r="A397" s="40"/>
    </row>
    <row r="398" ht="15.75" customHeight="1">
      <c r="A398" s="40"/>
    </row>
    <row r="399" ht="15.75" customHeight="1">
      <c r="A399" s="40"/>
    </row>
    <row r="400" ht="15.75" customHeight="1">
      <c r="A400" s="40"/>
    </row>
    <row r="401" ht="15.75" customHeight="1">
      <c r="A401" s="40"/>
    </row>
    <row r="402" ht="15.75" customHeight="1">
      <c r="A402" s="40"/>
    </row>
    <row r="403" ht="15.75" customHeight="1">
      <c r="A403" s="40"/>
    </row>
    <row r="404" ht="15.75" customHeight="1">
      <c r="A404" s="40"/>
    </row>
    <row r="405" ht="15.75" customHeight="1">
      <c r="A405" s="40"/>
    </row>
    <row r="406" ht="15.75" customHeight="1">
      <c r="A406" s="40"/>
    </row>
    <row r="407" ht="15.75" customHeight="1">
      <c r="A407" s="40"/>
    </row>
    <row r="408" ht="15.75" customHeight="1">
      <c r="A408" s="40"/>
    </row>
    <row r="409" ht="15.75" customHeight="1">
      <c r="A409" s="40"/>
    </row>
    <row r="410" ht="15.75" customHeight="1">
      <c r="A410" s="40"/>
    </row>
    <row r="411" ht="15.75" customHeight="1">
      <c r="A411" s="40"/>
    </row>
    <row r="412" ht="15.75" customHeight="1">
      <c r="A412" s="40"/>
    </row>
    <row r="413" ht="15.75" customHeight="1">
      <c r="A413" s="40"/>
    </row>
    <row r="414" ht="15.75" customHeight="1">
      <c r="A414" s="40"/>
    </row>
    <row r="415" ht="15.75" customHeight="1">
      <c r="A415" s="40"/>
    </row>
    <row r="416" ht="15.75" customHeight="1">
      <c r="A416" s="40"/>
    </row>
    <row r="417" ht="15.75" customHeight="1">
      <c r="A417" s="40"/>
    </row>
    <row r="418" ht="15.75" customHeight="1">
      <c r="A418" s="40"/>
    </row>
    <row r="419" ht="15.75" customHeight="1">
      <c r="A419" s="40"/>
    </row>
    <row r="420" ht="15.75" customHeight="1">
      <c r="A420" s="40"/>
    </row>
    <row r="421" ht="15.75" customHeight="1">
      <c r="A421" s="40"/>
    </row>
    <row r="422" ht="15.75" customHeight="1">
      <c r="A422" s="40"/>
    </row>
    <row r="423" ht="15.75" customHeight="1">
      <c r="A423" s="40"/>
    </row>
    <row r="424" ht="15.75" customHeight="1">
      <c r="A424" s="40"/>
    </row>
    <row r="425" ht="15.75" customHeight="1">
      <c r="A425" s="40"/>
    </row>
    <row r="426" ht="15.75" customHeight="1">
      <c r="A426" s="40"/>
    </row>
    <row r="427" ht="15.75" customHeight="1">
      <c r="A427" s="40"/>
    </row>
    <row r="428" ht="15.75" customHeight="1">
      <c r="A428" s="40"/>
    </row>
    <row r="429" ht="15.75" customHeight="1">
      <c r="A429" s="40"/>
    </row>
    <row r="430" ht="15.75" customHeight="1">
      <c r="A430" s="40"/>
    </row>
    <row r="431" ht="15.75" customHeight="1">
      <c r="A431" s="40"/>
    </row>
    <row r="432" ht="15.75" customHeight="1">
      <c r="A432" s="40"/>
    </row>
    <row r="433" ht="15.75" customHeight="1">
      <c r="A433" s="40"/>
    </row>
    <row r="434" ht="15.75" customHeight="1">
      <c r="A434" s="40"/>
    </row>
    <row r="435" ht="15.75" customHeight="1">
      <c r="A435" s="40"/>
    </row>
    <row r="436" ht="15.75" customHeight="1">
      <c r="A436" s="40"/>
    </row>
    <row r="437" ht="15.75" customHeight="1">
      <c r="A437" s="40"/>
    </row>
    <row r="438" ht="15.75" customHeight="1">
      <c r="A438" s="40"/>
    </row>
    <row r="439" ht="15.75" customHeight="1">
      <c r="A439" s="40"/>
    </row>
    <row r="440" ht="15.75" customHeight="1">
      <c r="A440" s="40"/>
    </row>
    <row r="441" ht="15.75" customHeight="1">
      <c r="A441" s="40"/>
    </row>
    <row r="442" ht="15.75" customHeight="1">
      <c r="A442" s="40"/>
    </row>
    <row r="443" ht="15.75" customHeight="1">
      <c r="A443" s="40"/>
    </row>
    <row r="444" ht="15.75" customHeight="1">
      <c r="A444" s="40"/>
    </row>
    <row r="445" ht="15.75" customHeight="1">
      <c r="A445" s="40"/>
    </row>
    <row r="446" ht="15.75" customHeight="1">
      <c r="A446" s="40"/>
    </row>
    <row r="447" ht="15.75" customHeight="1">
      <c r="A447" s="40"/>
    </row>
    <row r="448" ht="15.75" customHeight="1">
      <c r="A448" s="40"/>
    </row>
    <row r="449" ht="15.75" customHeight="1">
      <c r="A449" s="40"/>
    </row>
    <row r="450" ht="15.75" customHeight="1">
      <c r="A450" s="40"/>
    </row>
    <row r="451" ht="15.75" customHeight="1">
      <c r="A451" s="40"/>
    </row>
    <row r="452" ht="15.75" customHeight="1">
      <c r="A452" s="40"/>
    </row>
    <row r="453" ht="15.75" customHeight="1">
      <c r="A453" s="40"/>
    </row>
    <row r="454" ht="15.75" customHeight="1">
      <c r="A454" s="40"/>
    </row>
    <row r="455" ht="15.75" customHeight="1">
      <c r="A455" s="40"/>
    </row>
    <row r="456" ht="15.75" customHeight="1">
      <c r="A456" s="40"/>
    </row>
    <row r="457" ht="15.75" customHeight="1">
      <c r="A457" s="40"/>
    </row>
    <row r="458" ht="15.75" customHeight="1">
      <c r="A458" s="40"/>
    </row>
    <row r="459" ht="15.75" customHeight="1">
      <c r="A459" s="40"/>
    </row>
    <row r="460" ht="15.75" customHeight="1">
      <c r="A460" s="40"/>
    </row>
    <row r="461" ht="15.75" customHeight="1">
      <c r="A461" s="40"/>
    </row>
    <row r="462" ht="15.75" customHeight="1">
      <c r="A462" s="40"/>
    </row>
    <row r="463" ht="15.75" customHeight="1">
      <c r="A463" s="40"/>
    </row>
    <row r="464" ht="15.75" customHeight="1">
      <c r="A464" s="40"/>
    </row>
    <row r="465" ht="15.75" customHeight="1">
      <c r="A465" s="40"/>
    </row>
    <row r="466" ht="15.75" customHeight="1">
      <c r="A466" s="40"/>
    </row>
    <row r="467" ht="15.75" customHeight="1">
      <c r="A467" s="40"/>
    </row>
    <row r="468" ht="15.75" customHeight="1">
      <c r="A468" s="40"/>
    </row>
    <row r="469" ht="15.75" customHeight="1">
      <c r="A469" s="40"/>
    </row>
    <row r="470" ht="15.75" customHeight="1">
      <c r="A470" s="40"/>
    </row>
    <row r="471" ht="15.75" customHeight="1">
      <c r="A471" s="40"/>
    </row>
    <row r="472" ht="15.75" customHeight="1">
      <c r="A472" s="40"/>
    </row>
    <row r="473" ht="15.75" customHeight="1">
      <c r="A473" s="40"/>
    </row>
    <row r="474" ht="15.75" customHeight="1">
      <c r="A474" s="40"/>
    </row>
    <row r="475" ht="15.75" customHeight="1">
      <c r="A475" s="40"/>
    </row>
    <row r="476" ht="15.75" customHeight="1">
      <c r="A476" s="40"/>
    </row>
    <row r="477" ht="15.75" customHeight="1">
      <c r="A477" s="40"/>
    </row>
    <row r="478" ht="15.75" customHeight="1">
      <c r="A478" s="40"/>
    </row>
    <row r="479" ht="15.75" customHeight="1">
      <c r="A479" s="40"/>
    </row>
    <row r="480" ht="15.75" customHeight="1">
      <c r="A480" s="40"/>
    </row>
    <row r="481" ht="15.75" customHeight="1">
      <c r="A481" s="40"/>
    </row>
    <row r="482" ht="15.75" customHeight="1">
      <c r="A482" s="40"/>
    </row>
    <row r="483" ht="15.75" customHeight="1">
      <c r="A483" s="40"/>
    </row>
    <row r="484" ht="15.75" customHeight="1">
      <c r="A484" s="40"/>
    </row>
    <row r="485" ht="15.75" customHeight="1">
      <c r="A485" s="40"/>
    </row>
    <row r="486" ht="15.75" customHeight="1">
      <c r="A486" s="40"/>
    </row>
    <row r="487" ht="15.75" customHeight="1">
      <c r="A487" s="40"/>
    </row>
    <row r="488" ht="15.75" customHeight="1">
      <c r="A488" s="40"/>
    </row>
    <row r="489" ht="15.75" customHeight="1">
      <c r="A489" s="40"/>
    </row>
    <row r="490" ht="15.75" customHeight="1">
      <c r="A490" s="40"/>
    </row>
    <row r="491" ht="15.75" customHeight="1">
      <c r="A491" s="40"/>
    </row>
    <row r="492" ht="15.75" customHeight="1">
      <c r="A492" s="40"/>
    </row>
    <row r="493" ht="15.75" customHeight="1">
      <c r="A493" s="40"/>
    </row>
    <row r="494" ht="15.75" customHeight="1">
      <c r="A494" s="40"/>
    </row>
    <row r="495" ht="15.75" customHeight="1">
      <c r="A495" s="40"/>
    </row>
    <row r="496" ht="15.75" customHeight="1">
      <c r="A496" s="40"/>
    </row>
    <row r="497" ht="15.75" customHeight="1">
      <c r="A497" s="40"/>
    </row>
    <row r="498" ht="15.75" customHeight="1">
      <c r="A498" s="40"/>
    </row>
    <row r="499" ht="15.75" customHeight="1">
      <c r="A499" s="40"/>
    </row>
    <row r="500" ht="15.75" customHeight="1">
      <c r="A500" s="40"/>
    </row>
    <row r="501" ht="15.75" customHeight="1">
      <c r="A501" s="40"/>
    </row>
    <row r="502" ht="15.75" customHeight="1">
      <c r="A502" s="40"/>
    </row>
    <row r="503" ht="15.75" customHeight="1">
      <c r="A503" s="40"/>
    </row>
    <row r="504" ht="15.75" customHeight="1">
      <c r="A504" s="40"/>
    </row>
    <row r="505" ht="15.75" customHeight="1">
      <c r="A505" s="40"/>
    </row>
    <row r="506" ht="15.75" customHeight="1">
      <c r="A506" s="40"/>
    </row>
    <row r="507" ht="15.75" customHeight="1">
      <c r="A507" s="40"/>
    </row>
    <row r="508" ht="15.75" customHeight="1">
      <c r="A508" s="40"/>
    </row>
    <row r="509" ht="15.75" customHeight="1">
      <c r="A509" s="40"/>
    </row>
    <row r="510" ht="15.75" customHeight="1">
      <c r="A510" s="40"/>
    </row>
    <row r="511" ht="15.75" customHeight="1">
      <c r="A511" s="40"/>
    </row>
    <row r="512" ht="15.75" customHeight="1">
      <c r="A512" s="40"/>
    </row>
    <row r="513" ht="15.75" customHeight="1">
      <c r="A513" s="40"/>
    </row>
    <row r="514" ht="15.75" customHeight="1">
      <c r="A514" s="40"/>
    </row>
    <row r="515" ht="15.75" customHeight="1">
      <c r="A515" s="40"/>
    </row>
    <row r="516" ht="15.75" customHeight="1">
      <c r="A516" s="40"/>
    </row>
    <row r="517" ht="15.75" customHeight="1">
      <c r="A517" s="40"/>
    </row>
    <row r="518" ht="15.75" customHeight="1">
      <c r="A518" s="40"/>
    </row>
    <row r="519" ht="15.75" customHeight="1">
      <c r="A519" s="40"/>
    </row>
    <row r="520" ht="15.75" customHeight="1">
      <c r="A520" s="40"/>
    </row>
    <row r="521" ht="15.75" customHeight="1">
      <c r="A521" s="40"/>
    </row>
    <row r="522" ht="15.75" customHeight="1">
      <c r="A522" s="40"/>
    </row>
    <row r="523" ht="15.75" customHeight="1">
      <c r="A523" s="40"/>
    </row>
    <row r="524" ht="15.75" customHeight="1">
      <c r="A524" s="40"/>
    </row>
    <row r="525" ht="15.75" customHeight="1">
      <c r="A525" s="40"/>
    </row>
    <row r="526" ht="15.75" customHeight="1">
      <c r="A526" s="40"/>
    </row>
    <row r="527" ht="15.75" customHeight="1">
      <c r="A527" s="40"/>
    </row>
    <row r="528" ht="15.75" customHeight="1">
      <c r="A528" s="40"/>
    </row>
    <row r="529" ht="15.75" customHeight="1">
      <c r="A529" s="40"/>
    </row>
    <row r="530" ht="15.75" customHeight="1">
      <c r="A530" s="40"/>
    </row>
    <row r="531" ht="15.75" customHeight="1">
      <c r="A531" s="40"/>
    </row>
    <row r="532" ht="15.75" customHeight="1">
      <c r="A532" s="40"/>
    </row>
    <row r="533" ht="15.75" customHeight="1">
      <c r="A533" s="40"/>
    </row>
    <row r="534" ht="15.75" customHeight="1">
      <c r="A534" s="40"/>
    </row>
    <row r="535" ht="15.75" customHeight="1">
      <c r="A535" s="40"/>
    </row>
    <row r="536" ht="15.75" customHeight="1">
      <c r="A536" s="40"/>
    </row>
    <row r="537" ht="15.75" customHeight="1">
      <c r="A537" s="40"/>
    </row>
    <row r="538" ht="15.75" customHeight="1">
      <c r="A538" s="40"/>
    </row>
    <row r="539" ht="15.75" customHeight="1">
      <c r="A539" s="40"/>
    </row>
    <row r="540" ht="15.75" customHeight="1">
      <c r="A540" s="40"/>
    </row>
    <row r="541" ht="15.75" customHeight="1">
      <c r="A541" s="40"/>
    </row>
    <row r="542" ht="15.75" customHeight="1">
      <c r="A542" s="40"/>
    </row>
    <row r="543" ht="15.75" customHeight="1">
      <c r="A543" s="40"/>
    </row>
    <row r="544" ht="15.75" customHeight="1">
      <c r="A544" s="40"/>
    </row>
    <row r="545" ht="15.75" customHeight="1">
      <c r="A545" s="40"/>
    </row>
    <row r="546" ht="15.75" customHeight="1">
      <c r="A546" s="40"/>
    </row>
    <row r="547" ht="15.75" customHeight="1">
      <c r="A547" s="40"/>
    </row>
    <row r="548" ht="15.75" customHeight="1">
      <c r="A548" s="40"/>
    </row>
    <row r="549" ht="15.75" customHeight="1">
      <c r="A549" s="40"/>
    </row>
    <row r="550" ht="15.75" customHeight="1">
      <c r="A550" s="40"/>
    </row>
    <row r="551" ht="15.75" customHeight="1">
      <c r="A551" s="40"/>
    </row>
    <row r="552" ht="15.75" customHeight="1">
      <c r="A552" s="40"/>
    </row>
    <row r="553" ht="15.75" customHeight="1">
      <c r="A553" s="40"/>
    </row>
    <row r="554" ht="15.75" customHeight="1">
      <c r="A554" s="40"/>
    </row>
    <row r="555" ht="15.75" customHeight="1">
      <c r="A555" s="40"/>
    </row>
    <row r="556" ht="15.75" customHeight="1">
      <c r="A556" s="40"/>
    </row>
    <row r="557" ht="15.75" customHeight="1">
      <c r="A557" s="40"/>
    </row>
    <row r="558" ht="15.75" customHeight="1">
      <c r="A558" s="40"/>
    </row>
    <row r="559" ht="15.75" customHeight="1">
      <c r="A559" s="40"/>
    </row>
    <row r="560" ht="15.75" customHeight="1">
      <c r="A560" s="40"/>
    </row>
    <row r="561" ht="15.75" customHeight="1">
      <c r="A561" s="40"/>
    </row>
    <row r="562" ht="15.75" customHeight="1">
      <c r="A562" s="40"/>
    </row>
    <row r="563" ht="15.75" customHeight="1">
      <c r="A563" s="40"/>
    </row>
    <row r="564" ht="15.75" customHeight="1">
      <c r="A564" s="40"/>
    </row>
    <row r="565" ht="15.75" customHeight="1">
      <c r="A565" s="40"/>
    </row>
    <row r="566" ht="15.75" customHeight="1">
      <c r="A566" s="40"/>
    </row>
    <row r="567" ht="15.75" customHeight="1">
      <c r="A567" s="40"/>
    </row>
    <row r="568" ht="15.75" customHeight="1">
      <c r="A568" s="40"/>
    </row>
    <row r="569" ht="15.75" customHeight="1">
      <c r="A569" s="40"/>
    </row>
    <row r="570" ht="15.75" customHeight="1">
      <c r="A570" s="40"/>
    </row>
    <row r="571" ht="15.75" customHeight="1">
      <c r="A571" s="40"/>
    </row>
    <row r="572" ht="15.75" customHeight="1">
      <c r="A572" s="40"/>
    </row>
    <row r="573" ht="15.75" customHeight="1">
      <c r="A573" s="40"/>
    </row>
    <row r="574" ht="15.75" customHeight="1">
      <c r="A574" s="40"/>
    </row>
    <row r="575" ht="15.75" customHeight="1">
      <c r="A575" s="40"/>
    </row>
    <row r="576" ht="15.75" customHeight="1">
      <c r="A576" s="40"/>
    </row>
    <row r="577" ht="15.75" customHeight="1">
      <c r="A577" s="40"/>
    </row>
    <row r="578" ht="15.75" customHeight="1">
      <c r="A578" s="40"/>
    </row>
    <row r="579" ht="15.75" customHeight="1">
      <c r="A579" s="40"/>
    </row>
    <row r="580" ht="15.75" customHeight="1">
      <c r="A580" s="40"/>
    </row>
    <row r="581" ht="15.75" customHeight="1">
      <c r="A581" s="40"/>
    </row>
    <row r="582" ht="15.75" customHeight="1">
      <c r="A582" s="40"/>
    </row>
    <row r="583" ht="15.75" customHeight="1">
      <c r="A583" s="40"/>
    </row>
    <row r="584" ht="15.75" customHeight="1">
      <c r="A584" s="40"/>
    </row>
    <row r="585" ht="15.75" customHeight="1">
      <c r="A585" s="40"/>
    </row>
    <row r="586" ht="15.75" customHeight="1">
      <c r="A586" s="40"/>
    </row>
    <row r="587" ht="15.75" customHeight="1">
      <c r="A587" s="40"/>
    </row>
    <row r="588" ht="15.75" customHeight="1">
      <c r="A588" s="40"/>
    </row>
    <row r="589" ht="15.75" customHeight="1">
      <c r="A589" s="40"/>
    </row>
    <row r="590" ht="15.75" customHeight="1">
      <c r="A590" s="40"/>
    </row>
    <row r="591" ht="15.75" customHeight="1">
      <c r="A591" s="40"/>
    </row>
    <row r="592" ht="15.75" customHeight="1">
      <c r="A592" s="40"/>
    </row>
    <row r="593" ht="15.75" customHeight="1">
      <c r="A593" s="40"/>
    </row>
    <row r="594" ht="15.75" customHeight="1">
      <c r="A594" s="40"/>
    </row>
    <row r="595" ht="15.75" customHeight="1">
      <c r="A595" s="40"/>
    </row>
    <row r="596" ht="15.75" customHeight="1">
      <c r="A596" s="40"/>
    </row>
    <row r="597" ht="15.75" customHeight="1">
      <c r="A597" s="40"/>
    </row>
    <row r="598" ht="15.75" customHeight="1">
      <c r="A598" s="40"/>
    </row>
    <row r="599" ht="15.75" customHeight="1">
      <c r="A599" s="40"/>
    </row>
    <row r="600" ht="15.75" customHeight="1">
      <c r="A600" s="40"/>
    </row>
    <row r="601" ht="15.75" customHeight="1">
      <c r="A601" s="40"/>
    </row>
    <row r="602" ht="15.75" customHeight="1">
      <c r="A602" s="40"/>
    </row>
    <row r="603" ht="15.75" customHeight="1">
      <c r="A603" s="40"/>
    </row>
    <row r="604" ht="15.75" customHeight="1">
      <c r="A604" s="40"/>
    </row>
    <row r="605" ht="15.75" customHeight="1">
      <c r="A605" s="40"/>
    </row>
    <row r="606" ht="15.75" customHeight="1">
      <c r="A606" s="40"/>
    </row>
    <row r="607" ht="15.75" customHeight="1">
      <c r="A607" s="40"/>
    </row>
    <row r="608" ht="15.75" customHeight="1">
      <c r="A608" s="40"/>
    </row>
    <row r="609" ht="15.75" customHeight="1">
      <c r="A609" s="40"/>
    </row>
    <row r="610" ht="15.75" customHeight="1">
      <c r="A610" s="40"/>
    </row>
    <row r="611" ht="15.75" customHeight="1">
      <c r="A611" s="40"/>
    </row>
    <row r="612" ht="15.75" customHeight="1">
      <c r="A612" s="40"/>
    </row>
    <row r="613" ht="15.75" customHeight="1">
      <c r="A613" s="40"/>
    </row>
    <row r="614" ht="15.75" customHeight="1">
      <c r="A614" s="40"/>
    </row>
    <row r="615" ht="15.75" customHeight="1">
      <c r="A615" s="40"/>
    </row>
    <row r="616" ht="15.75" customHeight="1">
      <c r="A616" s="40"/>
    </row>
    <row r="617" ht="15.75" customHeight="1">
      <c r="A617" s="40"/>
    </row>
    <row r="618" ht="15.75" customHeight="1">
      <c r="A618" s="40"/>
    </row>
    <row r="619" ht="15.75" customHeight="1">
      <c r="A619" s="40"/>
    </row>
    <row r="620" ht="15.75" customHeight="1">
      <c r="A620" s="40"/>
    </row>
    <row r="621" ht="15.75" customHeight="1">
      <c r="A621" s="40"/>
    </row>
    <row r="622" ht="15.75" customHeight="1">
      <c r="A622" s="40"/>
    </row>
    <row r="623" ht="15.75" customHeight="1">
      <c r="A623" s="40"/>
    </row>
    <row r="624" ht="15.75" customHeight="1">
      <c r="A624" s="40"/>
    </row>
    <row r="625" ht="15.75" customHeight="1">
      <c r="A625" s="40"/>
    </row>
    <row r="626" ht="15.75" customHeight="1">
      <c r="A626" s="40"/>
    </row>
    <row r="627" ht="15.75" customHeight="1">
      <c r="A627" s="40"/>
    </row>
    <row r="628" ht="15.75" customHeight="1">
      <c r="A628" s="40"/>
    </row>
    <row r="629" ht="15.75" customHeight="1">
      <c r="A629" s="40"/>
    </row>
    <row r="630" ht="15.75" customHeight="1">
      <c r="A630" s="40"/>
    </row>
    <row r="631" ht="15.75" customHeight="1">
      <c r="A631" s="40"/>
    </row>
    <row r="632" ht="15.75" customHeight="1">
      <c r="A632" s="40"/>
    </row>
    <row r="633" ht="15.75" customHeight="1">
      <c r="A633" s="40"/>
    </row>
    <row r="634" ht="15.75" customHeight="1">
      <c r="A634" s="40"/>
    </row>
    <row r="635" ht="15.75" customHeight="1">
      <c r="A635" s="40"/>
    </row>
    <row r="636" ht="15.75" customHeight="1">
      <c r="A636" s="40"/>
    </row>
    <row r="637" ht="15.75" customHeight="1">
      <c r="A637" s="40"/>
    </row>
    <row r="638" ht="15.75" customHeight="1">
      <c r="A638" s="40"/>
    </row>
    <row r="639" ht="15.75" customHeight="1">
      <c r="A639" s="40"/>
    </row>
    <row r="640" ht="15.75" customHeight="1">
      <c r="A640" s="40"/>
    </row>
    <row r="641" ht="15.75" customHeight="1">
      <c r="A641" s="40"/>
    </row>
    <row r="642" ht="15.75" customHeight="1">
      <c r="A642" s="40"/>
    </row>
    <row r="643" ht="15.75" customHeight="1">
      <c r="A643" s="40"/>
    </row>
    <row r="644" ht="15.75" customHeight="1">
      <c r="A644" s="40"/>
    </row>
    <row r="645" ht="15.75" customHeight="1">
      <c r="A645" s="40"/>
    </row>
    <row r="646" ht="15.75" customHeight="1">
      <c r="A646" s="40"/>
    </row>
    <row r="647" ht="15.75" customHeight="1">
      <c r="A647" s="40"/>
    </row>
    <row r="648" ht="15.75" customHeight="1">
      <c r="A648" s="40"/>
    </row>
    <row r="649" ht="15.75" customHeight="1">
      <c r="A649" s="40"/>
    </row>
    <row r="650" ht="15.75" customHeight="1">
      <c r="A650" s="40"/>
    </row>
    <row r="651" ht="15.75" customHeight="1">
      <c r="A651" s="40"/>
    </row>
    <row r="652" ht="15.75" customHeight="1">
      <c r="A652" s="40"/>
    </row>
    <row r="653" ht="15.75" customHeight="1">
      <c r="A653" s="40"/>
    </row>
    <row r="654" ht="15.75" customHeight="1">
      <c r="A654" s="40"/>
    </row>
    <row r="655" ht="15.75" customHeight="1">
      <c r="A655" s="40"/>
    </row>
    <row r="656" ht="15.75" customHeight="1">
      <c r="A656" s="40"/>
    </row>
    <row r="657" ht="15.75" customHeight="1">
      <c r="A657" s="40"/>
    </row>
    <row r="658" ht="15.75" customHeight="1">
      <c r="A658" s="40"/>
    </row>
    <row r="659" ht="15.75" customHeight="1">
      <c r="A659" s="40"/>
    </row>
    <row r="660" ht="15.75" customHeight="1">
      <c r="A660" s="40"/>
    </row>
    <row r="661" ht="15.75" customHeight="1">
      <c r="A661" s="40"/>
    </row>
    <row r="662" ht="15.75" customHeight="1">
      <c r="A662" s="40"/>
    </row>
    <row r="663" ht="15.75" customHeight="1">
      <c r="A663" s="40"/>
    </row>
    <row r="664" ht="15.75" customHeight="1">
      <c r="A664" s="40"/>
    </row>
    <row r="665" ht="15.75" customHeight="1">
      <c r="A665" s="40"/>
    </row>
    <row r="666" ht="15.75" customHeight="1">
      <c r="A666" s="40"/>
    </row>
    <row r="667" ht="15.75" customHeight="1">
      <c r="A667" s="40"/>
    </row>
    <row r="668" ht="15.75" customHeight="1">
      <c r="A668" s="40"/>
    </row>
    <row r="669" ht="15.75" customHeight="1">
      <c r="A669" s="40"/>
    </row>
    <row r="670" ht="15.75" customHeight="1">
      <c r="A670" s="40"/>
    </row>
    <row r="671" ht="15.75" customHeight="1">
      <c r="A671" s="40"/>
    </row>
    <row r="672" ht="15.75" customHeight="1">
      <c r="A672" s="40"/>
    </row>
    <row r="673" ht="15.75" customHeight="1">
      <c r="A673" s="40"/>
    </row>
    <row r="674" ht="15.75" customHeight="1">
      <c r="A674" s="40"/>
    </row>
    <row r="675" ht="15.75" customHeight="1">
      <c r="A675" s="40"/>
    </row>
    <row r="676" ht="15.75" customHeight="1">
      <c r="A676" s="40"/>
    </row>
    <row r="677" ht="15.75" customHeight="1">
      <c r="A677" s="40"/>
    </row>
    <row r="678" ht="15.75" customHeight="1">
      <c r="A678" s="40"/>
    </row>
    <row r="679" ht="15.75" customHeight="1">
      <c r="A679" s="40"/>
    </row>
    <row r="680" ht="15.75" customHeight="1">
      <c r="A680" s="40"/>
    </row>
    <row r="681" ht="15.75" customHeight="1">
      <c r="A681" s="40"/>
    </row>
    <row r="682" ht="15.75" customHeight="1">
      <c r="A682" s="40"/>
    </row>
    <row r="683" ht="15.75" customHeight="1">
      <c r="A683" s="40"/>
    </row>
    <row r="684" ht="15.75" customHeight="1">
      <c r="A684" s="40"/>
    </row>
    <row r="685" ht="15.75" customHeight="1">
      <c r="A685" s="40"/>
    </row>
    <row r="686" ht="15.75" customHeight="1">
      <c r="A686" s="40"/>
    </row>
    <row r="687" ht="15.75" customHeight="1">
      <c r="A687" s="40"/>
    </row>
    <row r="688" ht="15.75" customHeight="1">
      <c r="A688" s="40"/>
    </row>
    <row r="689" ht="15.75" customHeight="1">
      <c r="A689" s="40"/>
    </row>
    <row r="690" ht="15.75" customHeight="1">
      <c r="A690" s="40"/>
    </row>
    <row r="691" ht="15.75" customHeight="1">
      <c r="A691" s="40"/>
    </row>
    <row r="692" ht="15.75" customHeight="1">
      <c r="A692" s="40"/>
    </row>
    <row r="693" ht="15.75" customHeight="1">
      <c r="A693" s="40"/>
    </row>
    <row r="694" ht="15.75" customHeight="1">
      <c r="A694" s="40"/>
    </row>
    <row r="695" ht="15.75" customHeight="1">
      <c r="A695" s="40"/>
    </row>
    <row r="696" ht="15.75" customHeight="1">
      <c r="A696" s="40"/>
    </row>
    <row r="697" ht="15.75" customHeight="1">
      <c r="A697" s="40"/>
    </row>
    <row r="698" ht="15.75" customHeight="1">
      <c r="A698" s="40"/>
    </row>
    <row r="699" ht="15.75" customHeight="1">
      <c r="A699" s="40"/>
    </row>
    <row r="700" ht="15.75" customHeight="1">
      <c r="A700" s="40"/>
    </row>
    <row r="701" ht="15.75" customHeight="1">
      <c r="A701" s="40"/>
    </row>
    <row r="702" ht="15.75" customHeight="1">
      <c r="A702" s="40"/>
    </row>
    <row r="703" ht="15.75" customHeight="1">
      <c r="A703" s="40"/>
    </row>
    <row r="704" ht="15.75" customHeight="1">
      <c r="A704" s="40"/>
    </row>
    <row r="705" ht="15.75" customHeight="1">
      <c r="A705" s="40"/>
    </row>
    <row r="706" ht="15.75" customHeight="1">
      <c r="A706" s="40"/>
    </row>
    <row r="707" ht="15.75" customHeight="1">
      <c r="A707" s="40"/>
    </row>
    <row r="708" ht="15.75" customHeight="1">
      <c r="A708" s="40"/>
    </row>
    <row r="709" ht="15.75" customHeight="1">
      <c r="A709" s="40"/>
    </row>
    <row r="710" ht="15.75" customHeight="1">
      <c r="A710" s="40"/>
    </row>
    <row r="711" ht="15.75" customHeight="1">
      <c r="A711" s="40"/>
    </row>
    <row r="712" ht="15.75" customHeight="1">
      <c r="A712" s="40"/>
    </row>
    <row r="713" ht="15.75" customHeight="1">
      <c r="A713" s="40"/>
    </row>
    <row r="714" ht="15.75" customHeight="1">
      <c r="A714" s="40"/>
    </row>
    <row r="715" ht="15.75" customHeight="1">
      <c r="A715" s="40"/>
    </row>
    <row r="716" ht="15.75" customHeight="1">
      <c r="A716" s="40"/>
    </row>
    <row r="717" ht="15.75" customHeight="1">
      <c r="A717" s="40"/>
    </row>
    <row r="718" ht="15.75" customHeight="1">
      <c r="A718" s="40"/>
    </row>
    <row r="719" ht="15.75" customHeight="1">
      <c r="A719" s="40"/>
    </row>
    <row r="720" ht="15.75" customHeight="1">
      <c r="A720" s="40"/>
    </row>
    <row r="721" ht="15.75" customHeight="1">
      <c r="A721" s="40"/>
    </row>
    <row r="722" ht="15.75" customHeight="1">
      <c r="A722" s="40"/>
    </row>
    <row r="723" ht="15.75" customHeight="1">
      <c r="A723" s="40"/>
    </row>
    <row r="724" ht="15.75" customHeight="1">
      <c r="A724" s="40"/>
    </row>
    <row r="725" ht="15.75" customHeight="1">
      <c r="A725" s="40"/>
    </row>
    <row r="726" ht="15.75" customHeight="1">
      <c r="A726" s="40"/>
    </row>
    <row r="727" ht="15.75" customHeight="1">
      <c r="A727" s="40"/>
    </row>
    <row r="728" ht="15.75" customHeight="1">
      <c r="A728" s="40"/>
    </row>
    <row r="729" ht="15.75" customHeight="1">
      <c r="A729" s="40"/>
    </row>
    <row r="730" ht="15.75" customHeight="1">
      <c r="A730" s="40"/>
    </row>
    <row r="731" ht="15.75" customHeight="1">
      <c r="A731" s="40"/>
    </row>
    <row r="732" ht="15.75" customHeight="1">
      <c r="A732" s="40"/>
    </row>
    <row r="733" ht="15.75" customHeight="1">
      <c r="A733" s="40"/>
    </row>
    <row r="734" ht="15.75" customHeight="1">
      <c r="A734" s="40"/>
    </row>
    <row r="735" ht="15.75" customHeight="1">
      <c r="A735" s="40"/>
    </row>
    <row r="736" ht="15.75" customHeight="1">
      <c r="A736" s="40"/>
    </row>
    <row r="737" ht="15.75" customHeight="1">
      <c r="A737" s="40"/>
    </row>
    <row r="738" ht="15.75" customHeight="1">
      <c r="A738" s="40"/>
    </row>
    <row r="739" ht="15.75" customHeight="1">
      <c r="A739" s="40"/>
    </row>
    <row r="740" ht="15.75" customHeight="1">
      <c r="A740" s="40"/>
    </row>
    <row r="741" ht="15.75" customHeight="1">
      <c r="A741" s="40"/>
    </row>
    <row r="742" ht="15.75" customHeight="1">
      <c r="A742" s="40"/>
    </row>
    <row r="743" ht="15.75" customHeight="1">
      <c r="A743" s="40"/>
    </row>
    <row r="744" ht="15.75" customHeight="1">
      <c r="A744" s="40"/>
    </row>
    <row r="745" ht="15.75" customHeight="1">
      <c r="A745" s="40"/>
    </row>
    <row r="746" ht="15.75" customHeight="1">
      <c r="A746" s="40"/>
    </row>
    <row r="747" ht="15.75" customHeight="1">
      <c r="A747" s="40"/>
    </row>
    <row r="748" ht="15.75" customHeight="1">
      <c r="A748" s="40"/>
    </row>
    <row r="749" ht="15.75" customHeight="1">
      <c r="A749" s="40"/>
    </row>
    <row r="750" ht="15.75" customHeight="1">
      <c r="A750" s="40"/>
    </row>
    <row r="751" ht="15.75" customHeight="1">
      <c r="A751" s="40"/>
    </row>
    <row r="752" ht="15.75" customHeight="1">
      <c r="A752" s="40"/>
    </row>
    <row r="753" ht="15.75" customHeight="1">
      <c r="A753" s="40"/>
    </row>
    <row r="754" ht="15.75" customHeight="1">
      <c r="A754" s="40"/>
    </row>
    <row r="755" ht="15.75" customHeight="1">
      <c r="A755" s="40"/>
    </row>
    <row r="756" ht="15.75" customHeight="1">
      <c r="A756" s="40"/>
    </row>
    <row r="757" ht="15.75" customHeight="1">
      <c r="A757" s="40"/>
    </row>
    <row r="758" ht="15.75" customHeight="1">
      <c r="A758" s="40"/>
    </row>
    <row r="759" ht="15.75" customHeight="1">
      <c r="A759" s="40"/>
    </row>
    <row r="760" ht="15.75" customHeight="1">
      <c r="A760" s="40"/>
    </row>
    <row r="761" ht="15.75" customHeight="1">
      <c r="A761" s="40"/>
    </row>
    <row r="762" ht="15.75" customHeight="1">
      <c r="A762" s="40"/>
    </row>
    <row r="763" ht="15.75" customHeight="1">
      <c r="A763" s="40"/>
    </row>
    <row r="764" ht="15.75" customHeight="1">
      <c r="A764" s="40"/>
    </row>
    <row r="765" ht="15.75" customHeight="1">
      <c r="A765" s="40"/>
    </row>
    <row r="766" ht="15.75" customHeight="1">
      <c r="A766" s="40"/>
    </row>
    <row r="767" ht="15.75" customHeight="1">
      <c r="A767" s="40"/>
    </row>
    <row r="768" ht="15.75" customHeight="1">
      <c r="A768" s="40"/>
    </row>
    <row r="769" ht="15.75" customHeight="1">
      <c r="A769" s="40"/>
    </row>
    <row r="770" ht="15.75" customHeight="1">
      <c r="A770" s="40"/>
    </row>
    <row r="771" ht="15.75" customHeight="1">
      <c r="A771" s="40"/>
    </row>
    <row r="772" ht="15.75" customHeight="1">
      <c r="A772" s="40"/>
    </row>
    <row r="773" ht="15.75" customHeight="1">
      <c r="A773" s="40"/>
    </row>
    <row r="774" ht="15.75" customHeight="1">
      <c r="A774" s="40"/>
    </row>
    <row r="775" ht="15.75" customHeight="1">
      <c r="A775" s="40"/>
    </row>
    <row r="776" ht="15.75" customHeight="1">
      <c r="A776" s="40"/>
    </row>
    <row r="777" ht="15.75" customHeight="1">
      <c r="A777" s="40"/>
    </row>
    <row r="778" ht="15.75" customHeight="1">
      <c r="A778" s="40"/>
    </row>
    <row r="779" ht="15.75" customHeight="1">
      <c r="A779" s="40"/>
    </row>
    <row r="780" ht="15.75" customHeight="1">
      <c r="A780" s="40"/>
    </row>
    <row r="781" ht="15.75" customHeight="1">
      <c r="A781" s="40"/>
    </row>
    <row r="782" ht="15.75" customHeight="1">
      <c r="A782" s="40"/>
    </row>
    <row r="783" ht="15.75" customHeight="1">
      <c r="A783" s="40"/>
    </row>
    <row r="784" ht="15.75" customHeight="1">
      <c r="A784" s="40"/>
    </row>
    <row r="785" ht="15.75" customHeight="1">
      <c r="A785" s="40"/>
    </row>
    <row r="786" ht="15.75" customHeight="1">
      <c r="A786" s="40"/>
    </row>
    <row r="787" ht="15.75" customHeight="1">
      <c r="A787" s="40"/>
    </row>
    <row r="788" ht="15.75" customHeight="1">
      <c r="A788" s="40"/>
    </row>
    <row r="789" ht="15.75" customHeight="1">
      <c r="A789" s="40"/>
    </row>
    <row r="790" ht="15.75" customHeight="1">
      <c r="A790" s="40"/>
    </row>
    <row r="791" ht="15.75" customHeight="1">
      <c r="A791" s="40"/>
    </row>
    <row r="792" ht="15.75" customHeight="1">
      <c r="A792" s="40"/>
    </row>
    <row r="793" ht="15.75" customHeight="1">
      <c r="A793" s="40"/>
    </row>
    <row r="794" ht="15.75" customHeight="1">
      <c r="A794" s="40"/>
    </row>
    <row r="795" ht="15.75" customHeight="1">
      <c r="A795" s="40"/>
    </row>
    <row r="796" ht="15.75" customHeight="1">
      <c r="A796" s="40"/>
    </row>
    <row r="797" ht="15.75" customHeight="1">
      <c r="A797" s="40"/>
    </row>
    <row r="798" ht="15.75" customHeight="1">
      <c r="A798" s="40"/>
    </row>
    <row r="799" ht="15.75" customHeight="1">
      <c r="A799" s="40"/>
    </row>
    <row r="800" ht="15.75" customHeight="1">
      <c r="A800" s="40"/>
    </row>
    <row r="801" ht="15.75" customHeight="1">
      <c r="A801" s="40"/>
    </row>
    <row r="802" ht="15.75" customHeight="1">
      <c r="A802" s="40"/>
    </row>
    <row r="803" ht="15.75" customHeight="1">
      <c r="A803" s="40"/>
    </row>
    <row r="804" ht="15.75" customHeight="1">
      <c r="A804" s="40"/>
    </row>
    <row r="805" ht="15.75" customHeight="1">
      <c r="A805" s="40"/>
    </row>
    <row r="806" ht="15.75" customHeight="1">
      <c r="A806" s="40"/>
    </row>
    <row r="807" ht="15.75" customHeight="1">
      <c r="A807" s="40"/>
    </row>
    <row r="808" ht="15.75" customHeight="1">
      <c r="A808" s="40"/>
    </row>
    <row r="809" ht="15.75" customHeight="1">
      <c r="A809" s="40"/>
    </row>
    <row r="810" ht="15.75" customHeight="1">
      <c r="A810" s="40"/>
    </row>
    <row r="811" ht="15.75" customHeight="1">
      <c r="A811" s="40"/>
    </row>
    <row r="812" ht="15.75" customHeight="1">
      <c r="A812" s="40"/>
    </row>
    <row r="813" ht="15.75" customHeight="1">
      <c r="A813" s="40"/>
    </row>
    <row r="814" ht="15.75" customHeight="1">
      <c r="A814" s="40"/>
    </row>
    <row r="815" ht="15.75" customHeight="1">
      <c r="A815" s="40"/>
    </row>
    <row r="816" ht="15.75" customHeight="1">
      <c r="A816" s="40"/>
    </row>
    <row r="817" ht="15.75" customHeight="1">
      <c r="A817" s="40"/>
    </row>
    <row r="818" ht="15.75" customHeight="1">
      <c r="A818" s="40"/>
    </row>
    <row r="819" ht="15.75" customHeight="1">
      <c r="A819" s="40"/>
    </row>
    <row r="820" ht="15.75" customHeight="1">
      <c r="A820" s="40"/>
    </row>
    <row r="821" ht="15.75" customHeight="1">
      <c r="A821" s="40"/>
    </row>
    <row r="822" ht="15.75" customHeight="1">
      <c r="A822" s="40"/>
    </row>
    <row r="823" ht="15.75" customHeight="1">
      <c r="A823" s="40"/>
    </row>
    <row r="824" ht="15.75" customHeight="1">
      <c r="A824" s="40"/>
    </row>
    <row r="825" ht="15.75" customHeight="1">
      <c r="A825" s="40"/>
    </row>
    <row r="826" ht="15.75" customHeight="1">
      <c r="A826" s="40"/>
    </row>
    <row r="827" ht="15.75" customHeight="1">
      <c r="A827" s="40"/>
    </row>
    <row r="828" ht="15.75" customHeight="1">
      <c r="A828" s="40"/>
    </row>
    <row r="829" ht="15.75" customHeight="1">
      <c r="A829" s="40"/>
    </row>
    <row r="830" ht="15.75" customHeight="1">
      <c r="A830" s="40"/>
    </row>
    <row r="831" ht="15.75" customHeight="1">
      <c r="A831" s="40"/>
    </row>
    <row r="832" ht="15.75" customHeight="1">
      <c r="A832" s="40"/>
    </row>
    <row r="833" ht="15.75" customHeight="1">
      <c r="A833" s="40"/>
    </row>
    <row r="834" ht="15.75" customHeight="1">
      <c r="A834" s="40"/>
    </row>
    <row r="835" ht="15.75" customHeight="1">
      <c r="A835" s="40"/>
    </row>
    <row r="836" ht="15.75" customHeight="1">
      <c r="A836" s="40"/>
    </row>
    <row r="837" ht="15.75" customHeight="1">
      <c r="A837" s="40"/>
    </row>
    <row r="838" ht="15.75" customHeight="1">
      <c r="A838" s="40"/>
    </row>
    <row r="839" ht="15.75" customHeight="1">
      <c r="A839" s="40"/>
    </row>
    <row r="840" ht="15.75" customHeight="1">
      <c r="A840" s="40"/>
    </row>
    <row r="841" ht="15.75" customHeight="1">
      <c r="A841" s="40"/>
    </row>
    <row r="842" ht="15.75" customHeight="1">
      <c r="A842" s="40"/>
    </row>
    <row r="843" ht="15.75" customHeight="1">
      <c r="A843" s="4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3.44"/>
    <col customWidth="1" min="3" max="3" width="108.67"/>
    <col customWidth="1" min="4" max="4" width="60.67"/>
    <col customWidth="1" min="5" max="26" width="11.44"/>
  </cols>
  <sheetData>
    <row r="1" ht="15.75" customHeight="1"/>
    <row r="2" ht="15.75" customHeight="1">
      <c r="A2" s="41"/>
      <c r="B2" s="2" t="s">
        <v>26</v>
      </c>
      <c r="C2" s="41"/>
      <c r="D2" s="41"/>
    </row>
    <row r="3" ht="15.75" customHeight="1">
      <c r="A3" s="41"/>
      <c r="B3" s="41"/>
      <c r="C3" s="41"/>
      <c r="D3" s="41"/>
    </row>
    <row r="4">
      <c r="A4" s="41"/>
      <c r="B4" s="48">
        <f>'GRAFICO HISTORICO'!AU5</f>
        <v>0.261111609</v>
      </c>
      <c r="C4" s="49" t="s">
        <v>32</v>
      </c>
      <c r="D4" s="50"/>
      <c r="E4" s="50"/>
    </row>
    <row r="5">
      <c r="A5" s="41"/>
      <c r="B5" s="2"/>
      <c r="D5" s="50"/>
      <c r="E5" s="50"/>
    </row>
    <row r="6">
      <c r="A6" s="53"/>
      <c r="B6" s="54">
        <f>'GRAFICO HISTORICO'!AU10</f>
        <v>1.105863071</v>
      </c>
      <c r="C6" s="49" t="s">
        <v>38</v>
      </c>
      <c r="D6" s="41"/>
    </row>
    <row r="7" ht="25.5" customHeight="1">
      <c r="A7" s="41"/>
      <c r="B7" s="2"/>
      <c r="D7" s="55"/>
    </row>
    <row r="8" ht="25.5" customHeight="1">
      <c r="A8" s="41"/>
      <c r="B8" s="57">
        <f>'GRAFICO HISTORICO'!AU11</f>
        <v>0.5159335514</v>
      </c>
      <c r="C8" s="58" t="s">
        <v>39</v>
      </c>
      <c r="D8" s="49"/>
    </row>
    <row r="9">
      <c r="A9" s="41"/>
      <c r="B9" s="59"/>
      <c r="C9" s="49"/>
      <c r="D9" s="41"/>
    </row>
    <row r="10" ht="15.75" customHeight="1">
      <c r="A10" s="41"/>
      <c r="B10" s="41"/>
      <c r="C10" s="41"/>
      <c r="D10" s="41"/>
    </row>
    <row r="11" ht="15.75" customHeight="1">
      <c r="B11" s="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24.11"/>
    <col customWidth="1" hidden="1" min="3" max="3" width="19.56"/>
    <col customWidth="1" hidden="1" min="4" max="4" width="20.56"/>
    <col customWidth="1" hidden="1" min="5" max="6" width="18.56"/>
    <col customWidth="1" hidden="1" min="7" max="7" width="19.56"/>
    <col customWidth="1" hidden="1" min="8" max="8" width="20.56"/>
    <col customWidth="1" hidden="1" min="9" max="9" width="19.56"/>
    <col customWidth="1" hidden="1" min="10" max="10" width="15.44"/>
    <col customWidth="1" hidden="1" min="11" max="11" width="24.11"/>
    <col customWidth="1" min="12" max="12" width="19.56"/>
    <col customWidth="1" hidden="1" min="13" max="13" width="18.56"/>
    <col customWidth="1" hidden="1" min="14" max="14" width="7.56"/>
    <col customWidth="1" hidden="1" min="15" max="15" width="15.44"/>
    <col customWidth="1" hidden="1" min="16" max="16" width="5.44"/>
    <col customWidth="1" hidden="1" min="17" max="17" width="18.56"/>
    <col customWidth="1" hidden="1" min="18" max="19" width="19.56"/>
    <col customWidth="1" hidden="1" min="20" max="20" width="13.11"/>
    <col customWidth="1" hidden="1" min="21" max="21" width="20.56"/>
    <col customWidth="1" hidden="1" min="22" max="24" width="8.56"/>
    <col customWidth="1" hidden="1" min="25" max="25" width="20.56"/>
    <col customWidth="1" hidden="1" min="26" max="26" width="8.56"/>
    <col customWidth="1" hidden="1" min="27" max="28" width="19.56"/>
    <col customWidth="1" hidden="1" min="29" max="29" width="11.0"/>
    <col customWidth="1" hidden="1" min="30" max="33" width="8.56"/>
    <col customWidth="1" hidden="1" min="34" max="34" width="19.56"/>
    <col customWidth="1" hidden="1" min="35" max="36" width="20.56"/>
    <col customWidth="1" hidden="1" min="37" max="37" width="16.44"/>
    <col customWidth="1" hidden="1" min="38" max="38" width="20.56"/>
  </cols>
  <sheetData>
    <row r="1" ht="15.75" customHeight="1">
      <c r="A1" s="45" t="s">
        <v>52</v>
      </c>
      <c r="B1" s="81" t="s">
        <v>52</v>
      </c>
      <c r="C1" s="52">
        <v>2017.0</v>
      </c>
      <c r="D1" s="52" t="s">
        <v>52</v>
      </c>
      <c r="E1" s="52" t="s">
        <v>52</v>
      </c>
      <c r="F1" s="52" t="s">
        <v>52</v>
      </c>
      <c r="G1" s="52" t="s">
        <v>52</v>
      </c>
      <c r="H1" s="52" t="s">
        <v>52</v>
      </c>
      <c r="I1" s="52" t="s">
        <v>52</v>
      </c>
      <c r="J1" s="52" t="s">
        <v>52</v>
      </c>
      <c r="K1" s="52" t="s">
        <v>52</v>
      </c>
      <c r="L1" s="52"/>
      <c r="M1" s="52" t="s">
        <v>52</v>
      </c>
      <c r="N1" s="52" t="s">
        <v>52</v>
      </c>
      <c r="O1" s="52" t="s">
        <v>52</v>
      </c>
      <c r="P1" s="52" t="s">
        <v>52</v>
      </c>
      <c r="Q1" s="52" t="s">
        <v>52</v>
      </c>
      <c r="R1" s="52" t="s">
        <v>52</v>
      </c>
      <c r="S1" s="52" t="s">
        <v>52</v>
      </c>
      <c r="T1" s="52" t="s">
        <v>52</v>
      </c>
      <c r="U1" s="52" t="s">
        <v>52</v>
      </c>
      <c r="Y1" s="52" t="s">
        <v>52</v>
      </c>
      <c r="Z1" s="52" t="s">
        <v>52</v>
      </c>
      <c r="AA1" s="52" t="s">
        <v>52</v>
      </c>
      <c r="AB1" s="52" t="s">
        <v>52</v>
      </c>
      <c r="AC1" s="52" t="s">
        <v>52</v>
      </c>
      <c r="AH1" s="52" t="s">
        <v>52</v>
      </c>
      <c r="AI1" s="52" t="s">
        <v>52</v>
      </c>
      <c r="AJ1" s="52" t="s">
        <v>52</v>
      </c>
      <c r="AK1" s="52" t="s">
        <v>52</v>
      </c>
      <c r="AL1" s="52" t="s">
        <v>52</v>
      </c>
    </row>
    <row r="2" ht="15.75" customHeight="1">
      <c r="A2" s="45" t="s">
        <v>52</v>
      </c>
      <c r="B2" s="81" t="s">
        <v>52</v>
      </c>
      <c r="C2" s="45" t="s">
        <v>33</v>
      </c>
      <c r="D2" s="45" t="s">
        <v>59</v>
      </c>
      <c r="E2" s="45" t="s">
        <v>60</v>
      </c>
      <c r="F2" s="45" t="s">
        <v>61</v>
      </c>
      <c r="G2" s="45" t="s">
        <v>62</v>
      </c>
      <c r="H2" s="45" t="s">
        <v>63</v>
      </c>
      <c r="I2" s="45" t="s">
        <v>64</v>
      </c>
      <c r="J2" s="45" t="s">
        <v>65</v>
      </c>
      <c r="K2" s="45" t="s">
        <v>66</v>
      </c>
      <c r="L2" s="45" t="s">
        <v>34</v>
      </c>
      <c r="M2" s="45" t="s">
        <v>67</v>
      </c>
      <c r="N2" s="45" t="s">
        <v>30</v>
      </c>
      <c r="O2" s="45" t="s">
        <v>68</v>
      </c>
      <c r="P2" s="45" t="s">
        <v>14</v>
      </c>
      <c r="Q2" s="45" t="s">
        <v>70</v>
      </c>
      <c r="R2" s="45" t="s">
        <v>71</v>
      </c>
      <c r="S2" s="45" t="s">
        <v>72</v>
      </c>
      <c r="T2" s="45" t="s">
        <v>73</v>
      </c>
      <c r="U2" s="45" t="s">
        <v>74</v>
      </c>
      <c r="Y2" s="45" t="s">
        <v>75</v>
      </c>
      <c r="Z2" s="45" t="s">
        <v>76</v>
      </c>
      <c r="AA2" s="45" t="s">
        <v>77</v>
      </c>
      <c r="AB2" s="45" t="s">
        <v>78</v>
      </c>
      <c r="AC2" s="45" t="s">
        <v>16</v>
      </c>
      <c r="AH2" s="45" t="s">
        <v>15</v>
      </c>
      <c r="AI2" s="45" t="s">
        <v>79</v>
      </c>
      <c r="AJ2" s="45" t="s">
        <v>80</v>
      </c>
      <c r="AK2" s="45" t="s">
        <v>17</v>
      </c>
      <c r="AL2" s="45" t="s">
        <v>81</v>
      </c>
    </row>
    <row r="3" ht="15.75" customHeight="1">
      <c r="A3" s="52">
        <v>1985.0</v>
      </c>
      <c r="B3" s="81" t="s">
        <v>60</v>
      </c>
      <c r="C3" s="86">
        <v>6640658.1234949</v>
      </c>
      <c r="D3" s="45">
        <v>334692.74956039</v>
      </c>
      <c r="E3" s="86">
        <v>3.2748752219218E7</v>
      </c>
      <c r="F3" s="86">
        <v>5911722.5038574</v>
      </c>
      <c r="G3" s="86">
        <v>595157.50959073</v>
      </c>
      <c r="H3" s="86">
        <v>1649613.8993811</v>
      </c>
      <c r="I3" s="86">
        <v>131117.94337042</v>
      </c>
      <c r="J3" s="86" t="s">
        <v>83</v>
      </c>
      <c r="K3" s="86">
        <v>1037177.9971152</v>
      </c>
      <c r="L3" s="86">
        <f t="shared" ref="L3:L7" si="1">SUM(M3:AL3)</f>
        <v>215147.6404</v>
      </c>
      <c r="M3" s="45">
        <v>1377.516026654</v>
      </c>
      <c r="N3" s="45" t="s">
        <v>83</v>
      </c>
      <c r="O3" s="45" t="s">
        <v>83</v>
      </c>
      <c r="P3" s="45" t="s">
        <v>83</v>
      </c>
      <c r="Q3" s="45">
        <v>6439.0295028015</v>
      </c>
      <c r="R3" s="45">
        <v>12937.489300226</v>
      </c>
      <c r="S3" s="45">
        <v>4.2081865722656</v>
      </c>
      <c r="T3" s="45" t="s">
        <v>83</v>
      </c>
      <c r="U3" s="45">
        <v>41.225391046143</v>
      </c>
      <c r="Y3" s="45">
        <v>30.271406915283</v>
      </c>
      <c r="Z3" s="45" t="s">
        <v>83</v>
      </c>
      <c r="AA3" s="45">
        <v>1841.7452289978</v>
      </c>
      <c r="AB3" s="45">
        <v>801.19511436768</v>
      </c>
      <c r="AC3" s="45" t="s">
        <v>83</v>
      </c>
      <c r="AH3" s="45" t="s">
        <v>83</v>
      </c>
      <c r="AI3" s="45">
        <v>0.93086105957031</v>
      </c>
      <c r="AJ3" s="45">
        <v>1.5183484558106</v>
      </c>
      <c r="AK3" s="45" t="s">
        <v>83</v>
      </c>
      <c r="AL3" s="45">
        <v>191672.51103137</v>
      </c>
    </row>
    <row r="4" ht="15.75" customHeight="1">
      <c r="A4" s="52">
        <v>1985.0</v>
      </c>
      <c r="B4" s="81" t="s">
        <v>61</v>
      </c>
      <c r="C4" s="86">
        <v>9182233.5997928</v>
      </c>
      <c r="D4" s="45">
        <v>3370551.7779101</v>
      </c>
      <c r="E4" s="86">
        <v>3181352.4987276</v>
      </c>
      <c r="F4" s="86">
        <v>4.0719446729897E7</v>
      </c>
      <c r="G4" s="86">
        <v>386646.90781805</v>
      </c>
      <c r="H4" s="86">
        <v>4461769.9338386</v>
      </c>
      <c r="I4" s="86">
        <v>89052.774382806</v>
      </c>
      <c r="J4" s="86" t="s">
        <v>83</v>
      </c>
      <c r="K4" s="86">
        <v>1369796.9039555</v>
      </c>
      <c r="L4" s="86">
        <f t="shared" si="1"/>
        <v>133641.0545</v>
      </c>
      <c r="M4" s="45">
        <v>2172.3169566773</v>
      </c>
      <c r="N4" s="45" t="s">
        <v>83</v>
      </c>
      <c r="O4" s="45" t="s">
        <v>83</v>
      </c>
      <c r="P4" s="45" t="s">
        <v>83</v>
      </c>
      <c r="Q4" s="45">
        <v>14.824047589111</v>
      </c>
      <c r="R4" s="45">
        <v>23307.9949513</v>
      </c>
      <c r="S4" s="45">
        <v>2.731044140625</v>
      </c>
      <c r="T4" s="45" t="s">
        <v>83</v>
      </c>
      <c r="U4" s="45">
        <v>41.22683994751</v>
      </c>
      <c r="Y4" s="45">
        <v>41.972004290771</v>
      </c>
      <c r="Z4" s="45" t="s">
        <v>83</v>
      </c>
      <c r="AA4" s="45">
        <v>2010.8362333435</v>
      </c>
      <c r="AB4" s="45">
        <v>1066.1409171204</v>
      </c>
      <c r="AC4" s="45" t="s">
        <v>83</v>
      </c>
      <c r="AH4" s="45" t="s">
        <v>83</v>
      </c>
      <c r="AI4" s="45" t="s">
        <v>83</v>
      </c>
      <c r="AJ4" s="45">
        <v>1.5948858581543</v>
      </c>
      <c r="AK4" s="45" t="s">
        <v>83</v>
      </c>
      <c r="AL4" s="45">
        <v>104981.41664799</v>
      </c>
    </row>
    <row r="5" ht="15.75" customHeight="1">
      <c r="A5" s="52">
        <v>1985.0</v>
      </c>
      <c r="B5" s="81" t="s">
        <v>15</v>
      </c>
      <c r="C5" s="86" t="s">
        <v>83</v>
      </c>
      <c r="D5" s="45" t="s">
        <v>83</v>
      </c>
      <c r="E5" s="86" t="s">
        <v>83</v>
      </c>
      <c r="F5" s="86" t="s">
        <v>83</v>
      </c>
      <c r="G5" s="86" t="s">
        <v>83</v>
      </c>
      <c r="H5" s="86" t="s">
        <v>83</v>
      </c>
      <c r="I5" s="86" t="s">
        <v>83</v>
      </c>
      <c r="J5" s="86" t="s">
        <v>83</v>
      </c>
      <c r="K5" s="86" t="s">
        <v>83</v>
      </c>
      <c r="L5" s="86">
        <f t="shared" si="1"/>
        <v>0.1784661011</v>
      </c>
      <c r="M5" s="45" t="s">
        <v>83</v>
      </c>
      <c r="N5" s="45" t="s">
        <v>83</v>
      </c>
      <c r="O5" s="45" t="s">
        <v>83</v>
      </c>
      <c r="P5" s="45" t="s">
        <v>83</v>
      </c>
      <c r="Q5" s="45" t="s">
        <v>83</v>
      </c>
      <c r="R5" s="45" t="s">
        <v>83</v>
      </c>
      <c r="S5" s="45" t="s">
        <v>83</v>
      </c>
      <c r="T5" s="45" t="s">
        <v>83</v>
      </c>
      <c r="U5" s="45" t="s">
        <v>83</v>
      </c>
      <c r="Y5" s="45" t="s">
        <v>83</v>
      </c>
      <c r="Z5" s="45" t="s">
        <v>83</v>
      </c>
      <c r="AA5" s="45" t="s">
        <v>83</v>
      </c>
      <c r="AB5" s="45" t="s">
        <v>83</v>
      </c>
      <c r="AC5" s="45" t="s">
        <v>83</v>
      </c>
      <c r="AH5" s="45">
        <v>0.17846610107422</v>
      </c>
      <c r="AI5" s="45" t="s">
        <v>83</v>
      </c>
      <c r="AJ5" s="45" t="s">
        <v>83</v>
      </c>
      <c r="AK5" s="45" t="s">
        <v>83</v>
      </c>
      <c r="AL5" s="45" t="s">
        <v>83</v>
      </c>
    </row>
    <row r="6" ht="15.75" customHeight="1">
      <c r="A6" s="52">
        <v>1985.0</v>
      </c>
      <c r="B6" s="81" t="s">
        <v>59</v>
      </c>
      <c r="C6" s="86">
        <v>1574487.064632</v>
      </c>
      <c r="D6" s="45">
        <v>1.7389606651641E7</v>
      </c>
      <c r="E6" s="86">
        <v>183642.82244149</v>
      </c>
      <c r="F6" s="86">
        <v>2489874.6527767</v>
      </c>
      <c r="G6" s="86">
        <v>91164.412490716</v>
      </c>
      <c r="H6" s="86">
        <v>1493830.2921135</v>
      </c>
      <c r="I6" s="86">
        <v>30597.917795227</v>
      </c>
      <c r="J6" s="86" t="s">
        <v>83</v>
      </c>
      <c r="K6" s="86">
        <v>501182.81692306</v>
      </c>
      <c r="L6" s="86">
        <f t="shared" si="1"/>
        <v>57095.97696</v>
      </c>
      <c r="M6" s="45">
        <v>2679.5681428955</v>
      </c>
      <c r="N6" s="45" t="s">
        <v>83</v>
      </c>
      <c r="O6" s="45" t="s">
        <v>83</v>
      </c>
      <c r="P6" s="45" t="s">
        <v>83</v>
      </c>
      <c r="Q6" s="45">
        <v>109.75527589111</v>
      </c>
      <c r="R6" s="45">
        <v>12949.911246466</v>
      </c>
      <c r="S6" s="45">
        <v>0.79891500854492</v>
      </c>
      <c r="T6" s="45" t="s">
        <v>83</v>
      </c>
      <c r="U6" s="45">
        <v>12.044716827393</v>
      </c>
      <c r="Y6" s="45">
        <v>55.015802917481</v>
      </c>
      <c r="Z6" s="45" t="s">
        <v>83</v>
      </c>
      <c r="AA6" s="45">
        <v>2870.7179434387</v>
      </c>
      <c r="AB6" s="45">
        <v>1214.7600950745</v>
      </c>
      <c r="AC6" s="45" t="s">
        <v>83</v>
      </c>
      <c r="AH6" s="45" t="s">
        <v>83</v>
      </c>
      <c r="AI6" s="45" t="s">
        <v>83</v>
      </c>
      <c r="AJ6" s="45">
        <v>39.439852233887</v>
      </c>
      <c r="AK6" s="45" t="s">
        <v>83</v>
      </c>
      <c r="AL6" s="45">
        <v>37163.964968427</v>
      </c>
    </row>
    <row r="7" ht="15.75" customHeight="1">
      <c r="A7" s="52">
        <v>1985.0</v>
      </c>
      <c r="B7" s="81" t="s">
        <v>62</v>
      </c>
      <c r="C7" s="86">
        <v>29622.562168249</v>
      </c>
      <c r="D7" s="45">
        <v>10957.498900287</v>
      </c>
      <c r="E7" s="86">
        <v>40012.079309082</v>
      </c>
      <c r="F7" s="86">
        <v>23430.796663062</v>
      </c>
      <c r="G7" s="86">
        <v>343438.9805044</v>
      </c>
      <c r="H7" s="86">
        <v>37236.433051282</v>
      </c>
      <c r="I7" s="86">
        <v>6697.3877895203</v>
      </c>
      <c r="J7" s="86" t="s">
        <v>83</v>
      </c>
      <c r="K7" s="86">
        <v>24046.344274878</v>
      </c>
      <c r="L7" s="86">
        <f t="shared" si="1"/>
        <v>195.0389346</v>
      </c>
      <c r="M7" s="45" t="s">
        <v>83</v>
      </c>
      <c r="N7" s="45" t="s">
        <v>83</v>
      </c>
      <c r="O7" s="45" t="s">
        <v>83</v>
      </c>
      <c r="P7" s="45" t="s">
        <v>83</v>
      </c>
      <c r="Q7" s="45" t="s">
        <v>83</v>
      </c>
      <c r="R7" s="45">
        <v>66.034490087891</v>
      </c>
      <c r="S7" s="45">
        <v>0.43017806396484</v>
      </c>
      <c r="T7" s="45" t="s">
        <v>83</v>
      </c>
      <c r="U7" s="45">
        <v>0.086067425537109</v>
      </c>
      <c r="Y7" s="45" t="s">
        <v>83</v>
      </c>
      <c r="Z7" s="45" t="s">
        <v>83</v>
      </c>
      <c r="AA7" s="45">
        <v>43.31562722168</v>
      </c>
      <c r="AB7" s="45">
        <v>19.233795544434</v>
      </c>
      <c r="AC7" s="45" t="s">
        <v>83</v>
      </c>
      <c r="AH7" s="45" t="s">
        <v>83</v>
      </c>
      <c r="AI7" s="45" t="s">
        <v>83</v>
      </c>
      <c r="AJ7" s="45" t="s">
        <v>83</v>
      </c>
      <c r="AK7" s="45" t="s">
        <v>83</v>
      </c>
      <c r="AL7" s="45">
        <v>65.938776306152</v>
      </c>
    </row>
    <row r="8" ht="15.75" customHeight="1">
      <c r="A8" s="52">
        <v>1985.0</v>
      </c>
      <c r="B8" s="98" t="s">
        <v>30</v>
      </c>
      <c r="C8" s="44">
        <f t="shared" ref="C8:L8" si="2">C9+C10</f>
        <v>238074.7503</v>
      </c>
      <c r="D8" s="2">
        <f t="shared" si="2"/>
        <v>69143.61933</v>
      </c>
      <c r="E8" s="44">
        <f t="shared" si="2"/>
        <v>13317.22729</v>
      </c>
      <c r="F8" s="44">
        <f t="shared" si="2"/>
        <v>8009.8403</v>
      </c>
      <c r="G8" s="44">
        <f t="shared" si="2"/>
        <v>16550.08094</v>
      </c>
      <c r="H8" s="44">
        <f t="shared" si="2"/>
        <v>3719079.86</v>
      </c>
      <c r="I8" s="44">
        <f t="shared" si="2"/>
        <v>1128412.956</v>
      </c>
      <c r="J8" s="44" t="str">
        <f t="shared" si="2"/>
        <v>#VALUE!</v>
      </c>
      <c r="K8" s="44">
        <f t="shared" si="2"/>
        <v>163736.2178</v>
      </c>
      <c r="L8" s="44">
        <f t="shared" si="2"/>
        <v>13732.08976</v>
      </c>
    </row>
    <row r="9" ht="15.75" customHeight="1">
      <c r="A9" s="52">
        <v>1985.0</v>
      </c>
      <c r="B9" s="81" t="s">
        <v>63</v>
      </c>
      <c r="C9" s="86">
        <v>233791.71676124</v>
      </c>
      <c r="D9" s="45">
        <v>68861.861245727</v>
      </c>
      <c r="E9" s="86">
        <v>10079.848300299</v>
      </c>
      <c r="F9" s="86">
        <v>7621.5840940857</v>
      </c>
      <c r="G9" s="86">
        <v>14513.611438965</v>
      </c>
      <c r="H9" s="86">
        <v>3683857.8563134</v>
      </c>
      <c r="I9" s="86">
        <v>318632.8852889</v>
      </c>
      <c r="J9" s="86" t="s">
        <v>83</v>
      </c>
      <c r="K9" s="86">
        <v>100235.02255435</v>
      </c>
      <c r="L9" s="86">
        <f t="shared" ref="L9:L37" si="3">SUM(M9:AL9)</f>
        <v>7849.992683</v>
      </c>
      <c r="M9" s="45" t="s">
        <v>83</v>
      </c>
      <c r="N9" s="45" t="s">
        <v>83</v>
      </c>
      <c r="O9" s="45" t="s">
        <v>83</v>
      </c>
      <c r="P9" s="45" t="s">
        <v>83</v>
      </c>
      <c r="Q9" s="45" t="s">
        <v>83</v>
      </c>
      <c r="R9" s="45">
        <v>7444.3826139526</v>
      </c>
      <c r="S9" s="45" t="s">
        <v>83</v>
      </c>
      <c r="T9" s="45" t="s">
        <v>83</v>
      </c>
      <c r="U9" s="45">
        <v>0.34357990722656</v>
      </c>
      <c r="Y9" s="45" t="s">
        <v>83</v>
      </c>
      <c r="Z9" s="45" t="s">
        <v>83</v>
      </c>
      <c r="AA9" s="45" t="s">
        <v>83</v>
      </c>
      <c r="AB9" s="45">
        <v>1.5908748840332</v>
      </c>
      <c r="AC9" s="45" t="s">
        <v>83</v>
      </c>
      <c r="AH9" s="45" t="s">
        <v>83</v>
      </c>
      <c r="AI9" s="45" t="s">
        <v>83</v>
      </c>
      <c r="AJ9" s="45" t="s">
        <v>83</v>
      </c>
      <c r="AK9" s="45" t="s">
        <v>83</v>
      </c>
      <c r="AL9" s="45">
        <v>403.67561425781</v>
      </c>
    </row>
    <row r="10" ht="15.75" customHeight="1">
      <c r="A10" s="52">
        <v>1985.0</v>
      </c>
      <c r="B10" s="81" t="s">
        <v>64</v>
      </c>
      <c r="C10" s="86">
        <v>4283.0335106689</v>
      </c>
      <c r="D10" s="45">
        <v>281.75808622437</v>
      </c>
      <c r="E10" s="86">
        <v>3237.3789908691</v>
      </c>
      <c r="F10" s="86">
        <v>388.25620634155</v>
      </c>
      <c r="G10" s="86">
        <v>2036.469503949</v>
      </c>
      <c r="H10" s="86">
        <v>35222.003454407</v>
      </c>
      <c r="I10" s="86">
        <v>809780.07061717</v>
      </c>
      <c r="J10" s="86" t="s">
        <v>83</v>
      </c>
      <c r="K10" s="86">
        <v>63501.195291827</v>
      </c>
      <c r="L10" s="86">
        <f t="shared" si="3"/>
        <v>5882.097082</v>
      </c>
      <c r="M10" s="45" t="s">
        <v>83</v>
      </c>
      <c r="N10" s="45" t="s">
        <v>83</v>
      </c>
      <c r="O10" s="45" t="s">
        <v>83</v>
      </c>
      <c r="P10" s="45" t="s">
        <v>83</v>
      </c>
      <c r="Q10" s="45" t="s">
        <v>83</v>
      </c>
      <c r="R10" s="45">
        <v>5521.7438858094</v>
      </c>
      <c r="S10" s="45" t="s">
        <v>83</v>
      </c>
      <c r="T10" s="45" t="s">
        <v>83</v>
      </c>
      <c r="U10" s="45">
        <v>0.083043383789063</v>
      </c>
      <c r="Y10" s="45" t="s">
        <v>83</v>
      </c>
      <c r="Z10" s="45" t="s">
        <v>83</v>
      </c>
      <c r="AA10" s="45" t="s">
        <v>83</v>
      </c>
      <c r="AB10" s="45">
        <v>0.82992174072266</v>
      </c>
      <c r="AC10" s="45" t="s">
        <v>83</v>
      </c>
      <c r="AH10" s="45" t="s">
        <v>83</v>
      </c>
      <c r="AI10" s="45" t="s">
        <v>83</v>
      </c>
      <c r="AJ10" s="45" t="s">
        <v>83</v>
      </c>
      <c r="AK10" s="45" t="s">
        <v>83</v>
      </c>
      <c r="AL10" s="45">
        <v>359.44023057251</v>
      </c>
    </row>
    <row r="11" ht="15.75" customHeight="1">
      <c r="A11" s="52">
        <v>1985.0</v>
      </c>
      <c r="B11" s="81" t="s">
        <v>66</v>
      </c>
      <c r="C11" s="86">
        <v>4896199.9227766</v>
      </c>
      <c r="D11" s="45">
        <v>1171056.9272399</v>
      </c>
      <c r="E11" s="86">
        <v>650071.80236093</v>
      </c>
      <c r="F11" s="86">
        <v>1930398.6037316</v>
      </c>
      <c r="G11" s="86">
        <v>225113.38422596</v>
      </c>
      <c r="H11" s="86">
        <v>3615675.672043</v>
      </c>
      <c r="I11" s="86">
        <v>1103003.5963613</v>
      </c>
      <c r="J11" s="86" t="s">
        <v>83</v>
      </c>
      <c r="K11" s="86">
        <v>8609340.823057</v>
      </c>
      <c r="L11" s="86">
        <f t="shared" si="3"/>
        <v>96767.9939</v>
      </c>
      <c r="M11" s="45">
        <v>1943.8012818787</v>
      </c>
      <c r="N11" s="45" t="s">
        <v>83</v>
      </c>
      <c r="O11" s="45" t="s">
        <v>83</v>
      </c>
      <c r="P11" s="45" t="s">
        <v>83</v>
      </c>
      <c r="Q11" s="45">
        <v>1.7862473693848</v>
      </c>
      <c r="R11" s="45">
        <v>56391.440836029</v>
      </c>
      <c r="S11" s="45">
        <v>1.6162308898926</v>
      </c>
      <c r="T11" s="45" t="s">
        <v>83</v>
      </c>
      <c r="U11" s="45">
        <v>12.733522717285</v>
      </c>
      <c r="Y11" s="45">
        <v>4.9105706848145</v>
      </c>
      <c r="Z11" s="45" t="s">
        <v>83</v>
      </c>
      <c r="AA11" s="45">
        <v>986.46983688965</v>
      </c>
      <c r="AB11" s="45">
        <v>776.13617723389</v>
      </c>
      <c r="AC11" s="45" t="s">
        <v>83</v>
      </c>
      <c r="AH11" s="45" t="s">
        <v>83</v>
      </c>
      <c r="AI11" s="45" t="s">
        <v>83</v>
      </c>
      <c r="AJ11" s="45">
        <v>0.76052543334961</v>
      </c>
      <c r="AK11" s="45" t="s">
        <v>83</v>
      </c>
      <c r="AL11" s="45">
        <v>36648.338673566</v>
      </c>
    </row>
    <row r="12" ht="15.75" customHeight="1">
      <c r="A12" s="52">
        <v>1985.0</v>
      </c>
      <c r="B12" s="81" t="s">
        <v>33</v>
      </c>
      <c r="C12" s="86">
        <v>2.4748194492475E7</v>
      </c>
      <c r="D12" s="45">
        <v>404439.37934474</v>
      </c>
      <c r="E12" s="86">
        <v>980917.70159404</v>
      </c>
      <c r="F12" s="86">
        <v>1295763.0108409</v>
      </c>
      <c r="G12" s="86">
        <v>721394.33885808</v>
      </c>
      <c r="H12" s="86">
        <v>4187180.2134543</v>
      </c>
      <c r="I12" s="86">
        <v>1618112.9598903</v>
      </c>
      <c r="J12" s="86" t="s">
        <v>83</v>
      </c>
      <c r="K12" s="86">
        <v>2910078.3662103</v>
      </c>
      <c r="L12" s="86">
        <f t="shared" si="3"/>
        <v>135742.3267</v>
      </c>
      <c r="M12" s="45" t="s">
        <v>83</v>
      </c>
      <c r="N12" s="45" t="s">
        <v>83</v>
      </c>
      <c r="O12" s="45" t="s">
        <v>83</v>
      </c>
      <c r="P12" s="45" t="s">
        <v>83</v>
      </c>
      <c r="Q12" s="45" t="s">
        <v>83</v>
      </c>
      <c r="R12" s="45">
        <v>80844.798397254</v>
      </c>
      <c r="S12" s="45">
        <v>1.0955579040527</v>
      </c>
      <c r="T12" s="45" t="s">
        <v>83</v>
      </c>
      <c r="U12" s="45">
        <v>10.349404425049</v>
      </c>
      <c r="Y12" s="45" t="s">
        <v>83</v>
      </c>
      <c r="Z12" s="45" t="s">
        <v>83</v>
      </c>
      <c r="AA12" s="45">
        <v>255.73134821167</v>
      </c>
      <c r="AB12" s="45">
        <v>1617.0579689819</v>
      </c>
      <c r="AC12" s="45" t="s">
        <v>83</v>
      </c>
      <c r="AH12" s="45" t="s">
        <v>83</v>
      </c>
      <c r="AI12" s="45" t="s">
        <v>83</v>
      </c>
      <c r="AJ12" s="45" t="s">
        <v>83</v>
      </c>
      <c r="AK12" s="45" t="s">
        <v>83</v>
      </c>
      <c r="AL12" s="45">
        <v>53013.294055768</v>
      </c>
    </row>
    <row r="13" ht="15.75" customHeight="1">
      <c r="B13" s="98" t="s">
        <v>34</v>
      </c>
      <c r="C13" s="44">
        <f t="shared" ref="C13:K13" si="4">SUM(C16:C37)</f>
        <v>54564.29832</v>
      </c>
      <c r="D13" s="2">
        <f t="shared" si="4"/>
        <v>41717.31036</v>
      </c>
      <c r="E13" s="44">
        <f t="shared" si="4"/>
        <v>31572.33643</v>
      </c>
      <c r="F13" s="44">
        <f t="shared" si="4"/>
        <v>41459.17322</v>
      </c>
      <c r="G13" s="44">
        <f t="shared" si="4"/>
        <v>537.1322658</v>
      </c>
      <c r="H13" s="44">
        <f t="shared" si="4"/>
        <v>7388.633919</v>
      </c>
      <c r="I13" s="44">
        <f t="shared" si="4"/>
        <v>209.5368407</v>
      </c>
      <c r="J13" s="44">
        <f t="shared" si="4"/>
        <v>0</v>
      </c>
      <c r="K13" s="44">
        <f t="shared" si="4"/>
        <v>41053.27986</v>
      </c>
      <c r="L13" s="86">
        <f t="shared" si="3"/>
        <v>1589927.576</v>
      </c>
      <c r="M13" s="2">
        <f t="shared" ref="M13:U13" si="5">SUM(M16:M37)</f>
        <v>91576.00193</v>
      </c>
      <c r="N13" s="2">
        <f t="shared" si="5"/>
        <v>0</v>
      </c>
      <c r="O13" s="2">
        <f t="shared" si="5"/>
        <v>0</v>
      </c>
      <c r="P13" s="2">
        <f t="shared" si="5"/>
        <v>0</v>
      </c>
      <c r="Q13" s="2">
        <f t="shared" si="5"/>
        <v>64070.85055</v>
      </c>
      <c r="R13" s="2">
        <f t="shared" si="5"/>
        <v>304355.4446</v>
      </c>
      <c r="S13" s="2">
        <f t="shared" si="5"/>
        <v>77.32971059</v>
      </c>
      <c r="T13" s="2">
        <f t="shared" si="5"/>
        <v>0</v>
      </c>
      <c r="U13" s="2">
        <f t="shared" si="5"/>
        <v>6601.387018</v>
      </c>
      <c r="Y13" s="2">
        <f t="shared" ref="Y13:AC13" si="6">SUM(Y16:Y37)</f>
        <v>1213.70379</v>
      </c>
      <c r="Z13" s="2">
        <f t="shared" si="6"/>
        <v>0</v>
      </c>
      <c r="AA13" s="2">
        <f t="shared" si="6"/>
        <v>61263.50278</v>
      </c>
      <c r="AB13" s="2">
        <f t="shared" si="6"/>
        <v>1065.554291</v>
      </c>
      <c r="AC13" s="2">
        <f t="shared" si="6"/>
        <v>0</v>
      </c>
      <c r="AH13" s="2">
        <f t="shared" ref="AH13:AL13" si="7">SUM(AH16:AH37)</f>
        <v>0</v>
      </c>
      <c r="AI13" s="2">
        <f t="shared" si="7"/>
        <v>14.58731304</v>
      </c>
      <c r="AJ13" s="2">
        <f t="shared" si="7"/>
        <v>34175.42335</v>
      </c>
      <c r="AK13" s="2">
        <f t="shared" si="7"/>
        <v>0</v>
      </c>
      <c r="AL13" s="2">
        <f t="shared" si="7"/>
        <v>1025513.791</v>
      </c>
    </row>
    <row r="14" ht="15.75" hidden="1" customHeight="1">
      <c r="B14" s="98"/>
      <c r="L14" s="45">
        <f t="shared" si="3"/>
        <v>0</v>
      </c>
    </row>
    <row r="15" ht="15.75" hidden="1" customHeight="1">
      <c r="B15" s="98"/>
      <c r="L15" s="45">
        <f t="shared" si="3"/>
        <v>0</v>
      </c>
    </row>
    <row r="16" ht="15.75" hidden="1" customHeight="1">
      <c r="A16" s="52">
        <v>1985.0</v>
      </c>
      <c r="B16" s="81" t="s">
        <v>67</v>
      </c>
      <c r="C16" s="45">
        <v>306.19951082764</v>
      </c>
      <c r="D16" s="45">
        <v>357.54226670532</v>
      </c>
      <c r="E16" s="45">
        <v>41.430357757568</v>
      </c>
      <c r="F16" s="45">
        <v>1536.1573718933</v>
      </c>
      <c r="G16" s="45" t="s">
        <v>83</v>
      </c>
      <c r="H16" s="45" t="s">
        <v>83</v>
      </c>
      <c r="I16" s="45" t="s">
        <v>83</v>
      </c>
      <c r="J16" s="45" t="s">
        <v>83</v>
      </c>
      <c r="K16" s="45">
        <v>637.89745943604</v>
      </c>
      <c r="L16" s="45">
        <f t="shared" si="3"/>
        <v>85433.10549</v>
      </c>
      <c r="M16" s="45">
        <v>78805.298009576</v>
      </c>
      <c r="N16" s="45" t="s">
        <v>83</v>
      </c>
      <c r="O16" s="45" t="s">
        <v>83</v>
      </c>
      <c r="P16" s="45" t="s">
        <v>83</v>
      </c>
      <c r="Q16" s="45">
        <v>69.309059106445</v>
      </c>
      <c r="R16" s="45">
        <v>30.714671801758</v>
      </c>
      <c r="S16" s="45" t="s">
        <v>83</v>
      </c>
      <c r="T16" s="45" t="s">
        <v>83</v>
      </c>
      <c r="U16" s="45">
        <v>70.823418670654</v>
      </c>
      <c r="Y16" s="45">
        <v>14.200304937744</v>
      </c>
      <c r="Z16" s="45" t="s">
        <v>83</v>
      </c>
      <c r="AA16" s="45" t="s">
        <v>83</v>
      </c>
      <c r="AB16" s="45" t="s">
        <v>83</v>
      </c>
      <c r="AC16" s="45" t="s">
        <v>83</v>
      </c>
      <c r="AH16" s="45" t="s">
        <v>83</v>
      </c>
      <c r="AI16" s="45" t="s">
        <v>83</v>
      </c>
      <c r="AJ16" s="45" t="s">
        <v>83</v>
      </c>
      <c r="AK16" s="45" t="s">
        <v>83</v>
      </c>
      <c r="AL16" s="45">
        <v>6442.7600242798</v>
      </c>
    </row>
    <row r="17" ht="15.75" hidden="1" customHeight="1">
      <c r="A17" s="52">
        <v>1985.0</v>
      </c>
      <c r="B17" s="81" t="s">
        <v>30</v>
      </c>
      <c r="C17" s="45" t="s">
        <v>83</v>
      </c>
      <c r="D17" s="45" t="s">
        <v>83</v>
      </c>
      <c r="E17" s="45" t="s">
        <v>83</v>
      </c>
      <c r="F17" s="45" t="s">
        <v>83</v>
      </c>
      <c r="G17" s="45" t="s">
        <v>83</v>
      </c>
      <c r="H17" s="45" t="s">
        <v>83</v>
      </c>
      <c r="I17" s="45" t="s">
        <v>83</v>
      </c>
      <c r="J17" s="45" t="s">
        <v>83</v>
      </c>
      <c r="K17" s="45" t="s">
        <v>83</v>
      </c>
      <c r="L17" s="45">
        <f t="shared" si="3"/>
        <v>0</v>
      </c>
      <c r="M17" s="45" t="s">
        <v>83</v>
      </c>
      <c r="N17" s="45" t="s">
        <v>83</v>
      </c>
      <c r="O17" s="45" t="s">
        <v>83</v>
      </c>
      <c r="P17" s="45" t="s">
        <v>83</v>
      </c>
      <c r="Q17" s="45" t="s">
        <v>83</v>
      </c>
      <c r="R17" s="45" t="s">
        <v>83</v>
      </c>
      <c r="S17" s="45" t="s">
        <v>83</v>
      </c>
      <c r="T17" s="45" t="s">
        <v>83</v>
      </c>
      <c r="U17" s="45" t="s">
        <v>83</v>
      </c>
      <c r="Y17" s="45" t="s">
        <v>83</v>
      </c>
      <c r="Z17" s="45" t="s">
        <v>83</v>
      </c>
      <c r="AA17" s="45" t="s">
        <v>83</v>
      </c>
      <c r="AB17" s="45" t="s">
        <v>83</v>
      </c>
      <c r="AC17" s="45" t="s">
        <v>83</v>
      </c>
      <c r="AH17" s="45" t="s">
        <v>83</v>
      </c>
      <c r="AI17" s="45" t="s">
        <v>83</v>
      </c>
      <c r="AJ17" s="45" t="s">
        <v>83</v>
      </c>
      <c r="AK17" s="45" t="s">
        <v>83</v>
      </c>
      <c r="AL17" s="45" t="s">
        <v>83</v>
      </c>
    </row>
    <row r="18" ht="15.75" hidden="1" customHeight="1">
      <c r="A18" s="52">
        <v>1985.0</v>
      </c>
      <c r="B18" s="81" t="s">
        <v>68</v>
      </c>
      <c r="C18" s="45" t="s">
        <v>83</v>
      </c>
      <c r="D18" s="45" t="s">
        <v>83</v>
      </c>
      <c r="E18" s="45" t="s">
        <v>83</v>
      </c>
      <c r="F18" s="45" t="s">
        <v>83</v>
      </c>
      <c r="G18" s="45" t="s">
        <v>83</v>
      </c>
      <c r="H18" s="45" t="s">
        <v>83</v>
      </c>
      <c r="I18" s="45" t="s">
        <v>83</v>
      </c>
      <c r="J18" s="45" t="s">
        <v>83</v>
      </c>
      <c r="K18" s="45" t="s">
        <v>83</v>
      </c>
      <c r="L18" s="45">
        <f t="shared" si="3"/>
        <v>0</v>
      </c>
      <c r="M18" s="45" t="s">
        <v>83</v>
      </c>
      <c r="N18" s="45" t="s">
        <v>83</v>
      </c>
      <c r="O18" s="45" t="s">
        <v>83</v>
      </c>
      <c r="P18" s="45" t="s">
        <v>83</v>
      </c>
      <c r="Q18" s="45" t="s">
        <v>83</v>
      </c>
      <c r="R18" s="45" t="s">
        <v>83</v>
      </c>
      <c r="S18" s="45" t="s">
        <v>83</v>
      </c>
      <c r="T18" s="45" t="s">
        <v>83</v>
      </c>
      <c r="U18" s="45" t="s">
        <v>83</v>
      </c>
      <c r="Y18" s="45" t="s">
        <v>83</v>
      </c>
      <c r="Z18" s="45" t="s">
        <v>83</v>
      </c>
      <c r="AA18" s="45" t="s">
        <v>83</v>
      </c>
      <c r="AB18" s="45" t="s">
        <v>83</v>
      </c>
      <c r="AC18" s="45" t="s">
        <v>83</v>
      </c>
      <c r="AH18" s="45" t="s">
        <v>83</v>
      </c>
      <c r="AI18" s="45" t="s">
        <v>83</v>
      </c>
      <c r="AJ18" s="45" t="s">
        <v>83</v>
      </c>
      <c r="AK18" s="45" t="s">
        <v>83</v>
      </c>
      <c r="AL18" s="45" t="s">
        <v>83</v>
      </c>
    </row>
    <row r="19" ht="15.75" hidden="1" customHeight="1">
      <c r="A19" s="52">
        <v>1985.0</v>
      </c>
      <c r="B19" s="81" t="s">
        <v>14</v>
      </c>
      <c r="C19" s="45" t="s">
        <v>83</v>
      </c>
      <c r="D19" s="45" t="s">
        <v>83</v>
      </c>
      <c r="E19" s="45" t="s">
        <v>83</v>
      </c>
      <c r="F19" s="45" t="s">
        <v>83</v>
      </c>
      <c r="G19" s="45" t="s">
        <v>83</v>
      </c>
      <c r="H19" s="45" t="s">
        <v>83</v>
      </c>
      <c r="I19" s="45" t="s">
        <v>83</v>
      </c>
      <c r="J19" s="45" t="s">
        <v>83</v>
      </c>
      <c r="K19" s="45" t="s">
        <v>83</v>
      </c>
      <c r="L19" s="45">
        <f t="shared" si="3"/>
        <v>0</v>
      </c>
      <c r="M19" s="45" t="s">
        <v>83</v>
      </c>
      <c r="N19" s="45" t="s">
        <v>83</v>
      </c>
      <c r="O19" s="45" t="s">
        <v>83</v>
      </c>
      <c r="P19" s="45" t="s">
        <v>83</v>
      </c>
      <c r="Q19" s="45" t="s">
        <v>83</v>
      </c>
      <c r="R19" s="45" t="s">
        <v>83</v>
      </c>
      <c r="S19" s="45" t="s">
        <v>83</v>
      </c>
      <c r="T19" s="45" t="s">
        <v>83</v>
      </c>
      <c r="U19" s="45" t="s">
        <v>83</v>
      </c>
      <c r="Y19" s="45" t="s">
        <v>83</v>
      </c>
      <c r="Z19" s="45" t="s">
        <v>83</v>
      </c>
      <c r="AA19" s="45" t="s">
        <v>83</v>
      </c>
      <c r="AB19" s="45" t="s">
        <v>83</v>
      </c>
      <c r="AC19" s="45" t="s">
        <v>83</v>
      </c>
      <c r="AH19" s="45" t="s">
        <v>83</v>
      </c>
      <c r="AI19" s="45" t="s">
        <v>83</v>
      </c>
      <c r="AJ19" s="45" t="s">
        <v>83</v>
      </c>
      <c r="AK19" s="45" t="s">
        <v>83</v>
      </c>
      <c r="AL19" s="45" t="s">
        <v>83</v>
      </c>
    </row>
    <row r="20" ht="15.75" hidden="1" customHeight="1">
      <c r="A20" s="52">
        <v>1985.0</v>
      </c>
      <c r="B20" s="81" t="s">
        <v>70</v>
      </c>
      <c r="C20" s="45">
        <v>8.3931282592773</v>
      </c>
      <c r="D20" s="45">
        <v>27.951086395264</v>
      </c>
      <c r="E20" s="45">
        <v>1245.6445475342</v>
      </c>
      <c r="F20" s="45">
        <v>113.41277747192</v>
      </c>
      <c r="G20" s="45" t="s">
        <v>83</v>
      </c>
      <c r="H20" s="45" t="s">
        <v>83</v>
      </c>
      <c r="I20" s="45" t="s">
        <v>83</v>
      </c>
      <c r="J20" s="45" t="s">
        <v>83</v>
      </c>
      <c r="K20" s="45">
        <v>0.98226637573242</v>
      </c>
      <c r="L20" s="45">
        <f t="shared" si="3"/>
        <v>62370.16771</v>
      </c>
      <c r="M20" s="45">
        <v>395.72673418579</v>
      </c>
      <c r="N20" s="45" t="s">
        <v>83</v>
      </c>
      <c r="O20" s="45" t="s">
        <v>83</v>
      </c>
      <c r="P20" s="45" t="s">
        <v>83</v>
      </c>
      <c r="Q20" s="45">
        <v>61054.762810486</v>
      </c>
      <c r="R20" s="45" t="s">
        <v>83</v>
      </c>
      <c r="S20" s="45" t="s">
        <v>83</v>
      </c>
      <c r="T20" s="45" t="s">
        <v>83</v>
      </c>
      <c r="U20" s="45">
        <v>0.80376389160156</v>
      </c>
      <c r="Y20" s="45">
        <v>7.9476601135254</v>
      </c>
      <c r="Z20" s="45" t="s">
        <v>83</v>
      </c>
      <c r="AA20" s="45" t="s">
        <v>83</v>
      </c>
      <c r="AB20" s="45" t="s">
        <v>83</v>
      </c>
      <c r="AC20" s="45" t="s">
        <v>83</v>
      </c>
      <c r="AH20" s="45" t="s">
        <v>83</v>
      </c>
      <c r="AI20" s="45" t="s">
        <v>83</v>
      </c>
      <c r="AJ20" s="45" t="s">
        <v>83</v>
      </c>
      <c r="AK20" s="45" t="s">
        <v>83</v>
      </c>
      <c r="AL20" s="45">
        <v>910.92673995361</v>
      </c>
    </row>
    <row r="21" ht="15.75" hidden="1" customHeight="1">
      <c r="A21" s="52">
        <v>1985.0</v>
      </c>
      <c r="B21" s="81" t="s">
        <v>71</v>
      </c>
      <c r="C21" s="45">
        <v>2727.2912579529</v>
      </c>
      <c r="D21" s="45">
        <v>1283.9443811707</v>
      </c>
      <c r="E21" s="45">
        <v>168.27292617187</v>
      </c>
      <c r="F21" s="45">
        <v>636.83931484375</v>
      </c>
      <c r="G21" s="45">
        <v>8.6294963867188</v>
      </c>
      <c r="H21" s="45">
        <v>364.50515925903</v>
      </c>
      <c r="I21" s="45">
        <v>27.69199107666</v>
      </c>
      <c r="J21" s="45" t="s">
        <v>83</v>
      </c>
      <c r="K21" s="45">
        <v>2779.5284360718</v>
      </c>
      <c r="L21" s="45">
        <f t="shared" si="3"/>
        <v>304383.5075</v>
      </c>
      <c r="M21" s="45">
        <v>4.3755710693359</v>
      </c>
      <c r="N21" s="45" t="s">
        <v>83</v>
      </c>
      <c r="O21" s="45" t="s">
        <v>83</v>
      </c>
      <c r="P21" s="45" t="s">
        <v>83</v>
      </c>
      <c r="Q21" s="45" t="s">
        <v>83</v>
      </c>
      <c r="R21" s="45">
        <v>304197.3713355</v>
      </c>
      <c r="S21" s="45" t="s">
        <v>83</v>
      </c>
      <c r="T21" s="45" t="s">
        <v>83</v>
      </c>
      <c r="U21" s="45">
        <v>0.082761181640625</v>
      </c>
      <c r="Y21" s="45" t="s">
        <v>83</v>
      </c>
      <c r="Z21" s="45" t="s">
        <v>83</v>
      </c>
      <c r="AA21" s="45">
        <v>1.112934967041</v>
      </c>
      <c r="AB21" s="45">
        <v>42.374251617432</v>
      </c>
      <c r="AC21" s="45" t="s">
        <v>83</v>
      </c>
      <c r="AH21" s="45" t="s">
        <v>83</v>
      </c>
      <c r="AI21" s="45" t="s">
        <v>83</v>
      </c>
      <c r="AJ21" s="45" t="s">
        <v>83</v>
      </c>
      <c r="AK21" s="45" t="s">
        <v>83</v>
      </c>
      <c r="AL21" s="45">
        <v>138.19065088501</v>
      </c>
    </row>
    <row r="22" ht="15.75" hidden="1" customHeight="1">
      <c r="A22" s="52">
        <v>1985.0</v>
      </c>
      <c r="B22" s="81" t="s">
        <v>72</v>
      </c>
      <c r="C22" s="45">
        <v>1.9776513305664</v>
      </c>
      <c r="D22" s="45">
        <v>1.2106197265625</v>
      </c>
      <c r="E22" s="45">
        <v>6.3556592590332</v>
      </c>
      <c r="F22" s="45">
        <v>1.7457490783691</v>
      </c>
      <c r="G22" s="45">
        <v>3.4993496704102</v>
      </c>
      <c r="H22" s="45">
        <v>1.0285165527344</v>
      </c>
      <c r="I22" s="45">
        <v>1.0935747436523</v>
      </c>
      <c r="J22" s="45" t="s">
        <v>83</v>
      </c>
      <c r="K22" s="45">
        <v>10.620119726562</v>
      </c>
      <c r="L22" s="45">
        <f t="shared" si="3"/>
        <v>75.75272722</v>
      </c>
      <c r="M22" s="45" t="s">
        <v>83</v>
      </c>
      <c r="N22" s="45" t="s">
        <v>83</v>
      </c>
      <c r="O22" s="45" t="s">
        <v>83</v>
      </c>
      <c r="P22" s="45" t="s">
        <v>83</v>
      </c>
      <c r="Q22" s="45" t="s">
        <v>83</v>
      </c>
      <c r="R22" s="45">
        <v>0.41979450073242</v>
      </c>
      <c r="S22" s="45">
        <v>74.216838201904</v>
      </c>
      <c r="T22" s="45" t="s">
        <v>83</v>
      </c>
      <c r="U22" s="45" t="s">
        <v>83</v>
      </c>
      <c r="Y22" s="45">
        <v>0.089314642333984</v>
      </c>
      <c r="Z22" s="45" t="s">
        <v>83</v>
      </c>
      <c r="AA22" s="45">
        <v>0.16841737060547</v>
      </c>
      <c r="AB22" s="45" t="s">
        <v>83</v>
      </c>
      <c r="AC22" s="45" t="s">
        <v>83</v>
      </c>
      <c r="AH22" s="45" t="s">
        <v>83</v>
      </c>
      <c r="AI22" s="45" t="s">
        <v>83</v>
      </c>
      <c r="AJ22" s="45" t="s">
        <v>83</v>
      </c>
      <c r="AK22" s="45" t="s">
        <v>83</v>
      </c>
      <c r="AL22" s="45">
        <v>0.8583625</v>
      </c>
    </row>
    <row r="23" ht="15.75" hidden="1" customHeight="1">
      <c r="A23" s="52">
        <v>1985.0</v>
      </c>
      <c r="B23" s="81" t="s">
        <v>73</v>
      </c>
      <c r="C23" s="45" t="s">
        <v>83</v>
      </c>
      <c r="D23" s="45" t="s">
        <v>83</v>
      </c>
      <c r="E23" s="45" t="s">
        <v>83</v>
      </c>
      <c r="F23" s="45" t="s">
        <v>83</v>
      </c>
      <c r="G23" s="45" t="s">
        <v>83</v>
      </c>
      <c r="H23" s="45" t="s">
        <v>83</v>
      </c>
      <c r="I23" s="45" t="s">
        <v>83</v>
      </c>
      <c r="J23" s="45" t="s">
        <v>83</v>
      </c>
      <c r="K23" s="45" t="s">
        <v>83</v>
      </c>
      <c r="L23" s="45">
        <f t="shared" si="3"/>
        <v>0</v>
      </c>
      <c r="M23" s="45" t="s">
        <v>83</v>
      </c>
      <c r="N23" s="45" t="s">
        <v>83</v>
      </c>
      <c r="O23" s="45" t="s">
        <v>83</v>
      </c>
      <c r="P23" s="45" t="s">
        <v>83</v>
      </c>
      <c r="Q23" s="45" t="s">
        <v>83</v>
      </c>
      <c r="R23" s="45" t="s">
        <v>83</v>
      </c>
      <c r="S23" s="45" t="s">
        <v>83</v>
      </c>
      <c r="T23" s="45" t="s">
        <v>83</v>
      </c>
      <c r="U23" s="45" t="s">
        <v>83</v>
      </c>
      <c r="Y23" s="45" t="s">
        <v>83</v>
      </c>
      <c r="Z23" s="45" t="s">
        <v>83</v>
      </c>
      <c r="AA23" s="45" t="s">
        <v>83</v>
      </c>
      <c r="AB23" s="45" t="s">
        <v>83</v>
      </c>
      <c r="AC23" s="45" t="s">
        <v>83</v>
      </c>
      <c r="AH23" s="45" t="s">
        <v>83</v>
      </c>
      <c r="AI23" s="45" t="s">
        <v>83</v>
      </c>
      <c r="AJ23" s="45" t="s">
        <v>83</v>
      </c>
      <c r="AK23" s="45" t="s">
        <v>83</v>
      </c>
      <c r="AL23" s="45" t="s">
        <v>83</v>
      </c>
    </row>
    <row r="24" ht="15.75" hidden="1" customHeight="1">
      <c r="A24" s="52">
        <v>1985.0</v>
      </c>
      <c r="B24" s="81" t="s">
        <v>74</v>
      </c>
      <c r="C24" s="45">
        <v>17.135784692383</v>
      </c>
      <c r="D24" s="45">
        <v>6.1694493652344</v>
      </c>
      <c r="E24" s="45">
        <v>15.76759911499</v>
      </c>
      <c r="F24" s="45">
        <v>18.21709185791</v>
      </c>
      <c r="G24" s="45">
        <v>0.93146700439453</v>
      </c>
      <c r="H24" s="45">
        <v>5.3424885375977</v>
      </c>
      <c r="I24" s="45">
        <v>0.50488153076172</v>
      </c>
      <c r="J24" s="45" t="s">
        <v>83</v>
      </c>
      <c r="K24" s="45">
        <v>8.9157261352539</v>
      </c>
      <c r="L24" s="45">
        <f t="shared" si="3"/>
        <v>6551.095769</v>
      </c>
      <c r="M24" s="45">
        <v>13.931154608154</v>
      </c>
      <c r="N24" s="45" t="s">
        <v>83</v>
      </c>
      <c r="O24" s="45" t="s">
        <v>83</v>
      </c>
      <c r="P24" s="45" t="s">
        <v>83</v>
      </c>
      <c r="Q24" s="45">
        <v>1.6074542175293</v>
      </c>
      <c r="R24" s="45">
        <v>1.1661789428711</v>
      </c>
      <c r="S24" s="45" t="s">
        <v>83</v>
      </c>
      <c r="T24" s="45" t="s">
        <v>83</v>
      </c>
      <c r="U24" s="45">
        <v>6516.5005418639</v>
      </c>
      <c r="Y24" s="45" t="s">
        <v>83</v>
      </c>
      <c r="Z24" s="45" t="s">
        <v>83</v>
      </c>
      <c r="AA24" s="45">
        <v>0.59658809204102</v>
      </c>
      <c r="AB24" s="45" t="s">
        <v>83</v>
      </c>
      <c r="AC24" s="45" t="s">
        <v>83</v>
      </c>
      <c r="AH24" s="45" t="s">
        <v>83</v>
      </c>
      <c r="AI24" s="45" t="s">
        <v>83</v>
      </c>
      <c r="AJ24" s="45" t="s">
        <v>83</v>
      </c>
      <c r="AK24" s="45" t="s">
        <v>83</v>
      </c>
      <c r="AL24" s="45">
        <v>17.293851043701</v>
      </c>
    </row>
    <row r="25" ht="15.75" hidden="1" customHeight="1">
      <c r="B25" s="98"/>
      <c r="L25" s="45">
        <f t="shared" si="3"/>
        <v>0</v>
      </c>
    </row>
    <row r="26" ht="15.75" hidden="1" customHeight="1">
      <c r="B26" s="98"/>
      <c r="L26" s="45">
        <f t="shared" si="3"/>
        <v>0</v>
      </c>
    </row>
    <row r="27" ht="15.75" hidden="1" customHeight="1">
      <c r="B27" s="98"/>
      <c r="L27" s="45">
        <f t="shared" si="3"/>
        <v>0</v>
      </c>
    </row>
    <row r="28" ht="15.75" hidden="1" customHeight="1">
      <c r="A28" s="52">
        <v>1985.0</v>
      </c>
      <c r="B28" s="81" t="s">
        <v>75</v>
      </c>
      <c r="C28" s="45">
        <v>0.44644481201172</v>
      </c>
      <c r="D28" s="45">
        <v>4.0176643981934</v>
      </c>
      <c r="E28" s="45">
        <v>40.181766033936</v>
      </c>
      <c r="F28" s="45">
        <v>2.5896733337402</v>
      </c>
      <c r="G28" s="45" t="s">
        <v>83</v>
      </c>
      <c r="H28" s="45" t="s">
        <v>83</v>
      </c>
      <c r="I28" s="45" t="s">
        <v>83</v>
      </c>
      <c r="J28" s="45" t="s">
        <v>83</v>
      </c>
      <c r="K28" s="45">
        <v>4.6426349426269</v>
      </c>
      <c r="L28" s="45">
        <f t="shared" si="3"/>
        <v>1681.510769</v>
      </c>
      <c r="M28" s="45">
        <v>3.0359594604492</v>
      </c>
      <c r="N28" s="45" t="s">
        <v>83</v>
      </c>
      <c r="O28" s="45" t="s">
        <v>83</v>
      </c>
      <c r="P28" s="45" t="s">
        <v>83</v>
      </c>
      <c r="Q28" s="45">
        <v>374.6912645874</v>
      </c>
      <c r="R28" s="45" t="s">
        <v>83</v>
      </c>
      <c r="S28" s="45">
        <v>0.26783817138672</v>
      </c>
      <c r="T28" s="45" t="s">
        <v>83</v>
      </c>
      <c r="U28" s="45" t="s">
        <v>83</v>
      </c>
      <c r="Y28" s="45">
        <v>1035.7092937744</v>
      </c>
      <c r="Z28" s="45" t="s">
        <v>83</v>
      </c>
      <c r="AA28" s="45" t="s">
        <v>83</v>
      </c>
      <c r="AB28" s="45" t="s">
        <v>83</v>
      </c>
      <c r="AC28" s="45" t="s">
        <v>83</v>
      </c>
      <c r="AH28" s="45" t="s">
        <v>83</v>
      </c>
      <c r="AI28" s="45" t="s">
        <v>83</v>
      </c>
      <c r="AJ28" s="45" t="s">
        <v>83</v>
      </c>
      <c r="AK28" s="45" t="s">
        <v>83</v>
      </c>
      <c r="AL28" s="45">
        <v>267.8064130127</v>
      </c>
    </row>
    <row r="29" ht="15.75" hidden="1" customHeight="1">
      <c r="A29" s="52">
        <v>1985.0</v>
      </c>
      <c r="B29" s="81" t="s">
        <v>76</v>
      </c>
      <c r="C29" s="45" t="s">
        <v>83</v>
      </c>
      <c r="D29" s="45" t="s">
        <v>83</v>
      </c>
      <c r="E29" s="45" t="s">
        <v>83</v>
      </c>
      <c r="F29" s="45" t="s">
        <v>83</v>
      </c>
      <c r="G29" s="45" t="s">
        <v>83</v>
      </c>
      <c r="H29" s="45" t="s">
        <v>83</v>
      </c>
      <c r="I29" s="45" t="s">
        <v>83</v>
      </c>
      <c r="J29" s="45" t="s">
        <v>83</v>
      </c>
      <c r="K29" s="45" t="s">
        <v>83</v>
      </c>
      <c r="L29" s="45">
        <f t="shared" si="3"/>
        <v>0</v>
      </c>
      <c r="M29" s="45" t="s">
        <v>83</v>
      </c>
      <c r="N29" s="45" t="s">
        <v>83</v>
      </c>
      <c r="O29" s="45" t="s">
        <v>83</v>
      </c>
      <c r="P29" s="45" t="s">
        <v>83</v>
      </c>
      <c r="Q29" s="45" t="s">
        <v>83</v>
      </c>
      <c r="R29" s="45" t="s">
        <v>83</v>
      </c>
      <c r="S29" s="45" t="s">
        <v>83</v>
      </c>
      <c r="T29" s="45" t="s">
        <v>83</v>
      </c>
      <c r="U29" s="45" t="s">
        <v>83</v>
      </c>
      <c r="Y29" s="45" t="s">
        <v>83</v>
      </c>
      <c r="Z29" s="45" t="s">
        <v>83</v>
      </c>
      <c r="AA29" s="45" t="s">
        <v>83</v>
      </c>
      <c r="AB29" s="45" t="s">
        <v>83</v>
      </c>
      <c r="AC29" s="45" t="s">
        <v>83</v>
      </c>
      <c r="AH29" s="45" t="s">
        <v>83</v>
      </c>
      <c r="AI29" s="45" t="s">
        <v>83</v>
      </c>
      <c r="AJ29" s="45" t="s">
        <v>83</v>
      </c>
      <c r="AK29" s="45" t="s">
        <v>83</v>
      </c>
      <c r="AL29" s="45" t="s">
        <v>83</v>
      </c>
    </row>
    <row r="30" ht="15.75" hidden="1" customHeight="1">
      <c r="A30" s="52">
        <v>1985.0</v>
      </c>
      <c r="B30" s="81" t="s">
        <v>77</v>
      </c>
      <c r="C30" s="45">
        <v>154.58323530273</v>
      </c>
      <c r="D30" s="45">
        <v>2457.0916808777</v>
      </c>
      <c r="E30" s="45">
        <v>709.84377518311</v>
      </c>
      <c r="F30" s="45">
        <v>690.59415067139</v>
      </c>
      <c r="G30" s="45">
        <v>234.87001072998</v>
      </c>
      <c r="H30" s="45">
        <v>238.54976090698</v>
      </c>
      <c r="I30" s="45" t="s">
        <v>83</v>
      </c>
      <c r="J30" s="45" t="s">
        <v>83</v>
      </c>
      <c r="K30" s="45">
        <v>143.83244417114</v>
      </c>
      <c r="L30" s="45">
        <f t="shared" si="3"/>
        <v>61257.65009</v>
      </c>
      <c r="M30" s="45" t="s">
        <v>83</v>
      </c>
      <c r="N30" s="45" t="s">
        <v>83</v>
      </c>
      <c r="O30" s="45" t="s">
        <v>83</v>
      </c>
      <c r="P30" s="45" t="s">
        <v>83</v>
      </c>
      <c r="Q30" s="45" t="s">
        <v>83</v>
      </c>
      <c r="R30" s="45">
        <v>0.76644965209961</v>
      </c>
      <c r="S30" s="45" t="s">
        <v>83</v>
      </c>
      <c r="T30" s="45" t="s">
        <v>83</v>
      </c>
      <c r="U30" s="45">
        <v>0.17194060668945</v>
      </c>
      <c r="Y30" s="45" t="s">
        <v>83</v>
      </c>
      <c r="Z30" s="45" t="s">
        <v>83</v>
      </c>
      <c r="AA30" s="45">
        <v>61254.729498334</v>
      </c>
      <c r="AB30" s="45">
        <v>0.3405138671875</v>
      </c>
      <c r="AC30" s="45" t="s">
        <v>83</v>
      </c>
      <c r="AH30" s="45" t="s">
        <v>83</v>
      </c>
      <c r="AI30" s="45" t="s">
        <v>83</v>
      </c>
      <c r="AJ30" s="45">
        <v>0.085048388671875</v>
      </c>
      <c r="AK30" s="45" t="s">
        <v>83</v>
      </c>
      <c r="AL30" s="45">
        <v>1.5566366271973</v>
      </c>
    </row>
    <row r="31" ht="15.75" hidden="1" customHeight="1">
      <c r="A31" s="52">
        <v>1985.0</v>
      </c>
      <c r="B31" s="81" t="s">
        <v>78</v>
      </c>
      <c r="C31" s="45">
        <v>59.947013970947</v>
      </c>
      <c r="D31" s="45">
        <v>136.61953113403</v>
      </c>
      <c r="E31" s="45">
        <v>159.91890279541</v>
      </c>
      <c r="F31" s="45">
        <v>19.494807171631</v>
      </c>
      <c r="G31" s="45">
        <v>9.7375924072266</v>
      </c>
      <c r="H31" s="45">
        <v>128.72843704834</v>
      </c>
      <c r="I31" s="45">
        <v>97.755948345947</v>
      </c>
      <c r="J31" s="45" t="s">
        <v>83</v>
      </c>
      <c r="K31" s="45">
        <v>280.46670019531</v>
      </c>
      <c r="L31" s="45">
        <f t="shared" si="3"/>
        <v>1101.680496</v>
      </c>
      <c r="M31" s="45" t="s">
        <v>83</v>
      </c>
      <c r="N31" s="45" t="s">
        <v>83</v>
      </c>
      <c r="O31" s="45" t="s">
        <v>83</v>
      </c>
      <c r="P31" s="45" t="s">
        <v>83</v>
      </c>
      <c r="Q31" s="45" t="s">
        <v>83</v>
      </c>
      <c r="R31" s="45">
        <v>33.302368249512</v>
      </c>
      <c r="S31" s="45" t="s">
        <v>83</v>
      </c>
      <c r="T31" s="45" t="s">
        <v>83</v>
      </c>
      <c r="U31" s="45" t="s">
        <v>83</v>
      </c>
      <c r="Y31" s="45" t="s">
        <v>83</v>
      </c>
      <c r="Z31" s="45" t="s">
        <v>83</v>
      </c>
      <c r="AA31" s="45" t="s">
        <v>83</v>
      </c>
      <c r="AB31" s="45">
        <v>998.87881295166</v>
      </c>
      <c r="AC31" s="45" t="s">
        <v>83</v>
      </c>
      <c r="AH31" s="45" t="s">
        <v>83</v>
      </c>
      <c r="AI31" s="45" t="s">
        <v>83</v>
      </c>
      <c r="AJ31" s="45" t="s">
        <v>83</v>
      </c>
      <c r="AK31" s="45" t="s">
        <v>83</v>
      </c>
      <c r="AL31" s="45">
        <v>69.499314440918</v>
      </c>
    </row>
    <row r="32" ht="15.75" hidden="1" customHeight="1">
      <c r="A32" s="52">
        <v>1985.0</v>
      </c>
      <c r="B32" s="81" t="s">
        <v>16</v>
      </c>
      <c r="C32" s="45" t="s">
        <v>83</v>
      </c>
      <c r="D32" s="45" t="s">
        <v>83</v>
      </c>
      <c r="E32" s="45" t="s">
        <v>83</v>
      </c>
      <c r="F32" s="45" t="s">
        <v>83</v>
      </c>
      <c r="G32" s="45" t="s">
        <v>83</v>
      </c>
      <c r="H32" s="45" t="s">
        <v>83</v>
      </c>
      <c r="I32" s="45" t="s">
        <v>83</v>
      </c>
      <c r="J32" s="45" t="s">
        <v>83</v>
      </c>
      <c r="K32" s="45" t="s">
        <v>83</v>
      </c>
      <c r="L32" s="45">
        <f t="shared" si="3"/>
        <v>0</v>
      </c>
      <c r="M32" s="45" t="s">
        <v>83</v>
      </c>
      <c r="N32" s="45" t="s">
        <v>83</v>
      </c>
      <c r="O32" s="45" t="s">
        <v>83</v>
      </c>
      <c r="P32" s="45" t="s">
        <v>83</v>
      </c>
      <c r="Q32" s="45" t="s">
        <v>83</v>
      </c>
      <c r="R32" s="45" t="s">
        <v>83</v>
      </c>
      <c r="S32" s="45" t="s">
        <v>83</v>
      </c>
      <c r="T32" s="45" t="s">
        <v>83</v>
      </c>
      <c r="U32" s="45" t="s">
        <v>83</v>
      </c>
      <c r="Y32" s="45" t="s">
        <v>83</v>
      </c>
      <c r="Z32" s="45" t="s">
        <v>83</v>
      </c>
      <c r="AA32" s="45" t="s">
        <v>83</v>
      </c>
      <c r="AB32" s="45" t="s">
        <v>83</v>
      </c>
      <c r="AC32" s="45" t="s">
        <v>83</v>
      </c>
      <c r="AH32" s="45" t="s">
        <v>83</v>
      </c>
      <c r="AI32" s="45" t="s">
        <v>83</v>
      </c>
      <c r="AJ32" s="45" t="s">
        <v>83</v>
      </c>
      <c r="AK32" s="45" t="s">
        <v>83</v>
      </c>
      <c r="AL32" s="45" t="s">
        <v>83</v>
      </c>
    </row>
    <row r="33" ht="15.75" hidden="1" customHeight="1">
      <c r="A33" s="52">
        <v>1985.0</v>
      </c>
      <c r="B33" s="81" t="s">
        <v>65</v>
      </c>
      <c r="C33" s="45" t="s">
        <v>83</v>
      </c>
      <c r="D33" s="45" t="s">
        <v>83</v>
      </c>
      <c r="E33" s="45" t="s">
        <v>83</v>
      </c>
      <c r="F33" s="45" t="s">
        <v>83</v>
      </c>
      <c r="G33" s="45" t="s">
        <v>83</v>
      </c>
      <c r="H33" s="45" t="s">
        <v>83</v>
      </c>
      <c r="I33" s="45" t="s">
        <v>83</v>
      </c>
      <c r="J33" s="45" t="s">
        <v>83</v>
      </c>
      <c r="K33" s="45" t="s">
        <v>83</v>
      </c>
      <c r="L33" s="45">
        <f t="shared" si="3"/>
        <v>0</v>
      </c>
      <c r="M33" s="45" t="s">
        <v>83</v>
      </c>
      <c r="N33" s="45" t="s">
        <v>83</v>
      </c>
      <c r="O33" s="45" t="s">
        <v>83</v>
      </c>
      <c r="P33" s="45" t="s">
        <v>83</v>
      </c>
      <c r="Q33" s="45" t="s">
        <v>83</v>
      </c>
      <c r="R33" s="45" t="s">
        <v>83</v>
      </c>
      <c r="S33" s="45" t="s">
        <v>83</v>
      </c>
      <c r="T33" s="45" t="s">
        <v>83</v>
      </c>
      <c r="U33" s="45" t="s">
        <v>83</v>
      </c>
      <c r="Y33" s="45" t="s">
        <v>83</v>
      </c>
      <c r="Z33" s="45" t="s">
        <v>83</v>
      </c>
      <c r="AA33" s="45" t="s">
        <v>83</v>
      </c>
      <c r="AB33" s="45" t="s">
        <v>83</v>
      </c>
      <c r="AC33" s="45" t="s">
        <v>83</v>
      </c>
      <c r="AH33" s="45" t="s">
        <v>83</v>
      </c>
      <c r="AI33" s="45" t="s">
        <v>83</v>
      </c>
      <c r="AJ33" s="45" t="s">
        <v>83</v>
      </c>
      <c r="AK33" s="45" t="s">
        <v>83</v>
      </c>
      <c r="AL33" s="45" t="s">
        <v>83</v>
      </c>
    </row>
    <row r="34" ht="15.75" hidden="1" customHeight="1">
      <c r="A34" s="52">
        <v>1985.0</v>
      </c>
      <c r="B34" s="81" t="s">
        <v>79</v>
      </c>
      <c r="C34" s="45">
        <v>1.4326721374512</v>
      </c>
      <c r="D34" s="45">
        <v>5.7882294128418</v>
      </c>
      <c r="E34" s="45">
        <v>1.0085448120117</v>
      </c>
      <c r="F34" s="45">
        <v>0.4225151550293</v>
      </c>
      <c r="G34" s="45" t="s">
        <v>83</v>
      </c>
      <c r="H34" s="45" t="s">
        <v>83</v>
      </c>
      <c r="I34" s="45" t="s">
        <v>83</v>
      </c>
      <c r="J34" s="45" t="s">
        <v>83</v>
      </c>
      <c r="K34" s="45" t="s">
        <v>83</v>
      </c>
      <c r="L34" s="45">
        <f t="shared" si="3"/>
        <v>14.25121698</v>
      </c>
      <c r="M34" s="45" t="s">
        <v>83</v>
      </c>
      <c r="N34" s="45" t="s">
        <v>83</v>
      </c>
      <c r="O34" s="45" t="s">
        <v>83</v>
      </c>
      <c r="P34" s="45" t="s">
        <v>83</v>
      </c>
      <c r="Q34" s="45" t="s">
        <v>83</v>
      </c>
      <c r="R34" s="45" t="s">
        <v>83</v>
      </c>
      <c r="S34" s="45" t="s">
        <v>83</v>
      </c>
      <c r="T34" s="45" t="s">
        <v>83</v>
      </c>
      <c r="U34" s="45" t="s">
        <v>83</v>
      </c>
      <c r="Y34" s="45" t="s">
        <v>83</v>
      </c>
      <c r="Z34" s="45" t="s">
        <v>83</v>
      </c>
      <c r="AA34" s="45" t="s">
        <v>83</v>
      </c>
      <c r="AB34" s="45" t="s">
        <v>83</v>
      </c>
      <c r="AC34" s="45" t="s">
        <v>83</v>
      </c>
      <c r="AH34" s="45" t="s">
        <v>83</v>
      </c>
      <c r="AI34" s="45">
        <v>14.167244091797</v>
      </c>
      <c r="AJ34" s="45" t="s">
        <v>83</v>
      </c>
      <c r="AK34" s="45" t="s">
        <v>83</v>
      </c>
      <c r="AL34" s="45">
        <v>0.083972888183594</v>
      </c>
    </row>
    <row r="35" ht="15.75" hidden="1" customHeight="1">
      <c r="A35" s="52">
        <v>1985.0</v>
      </c>
      <c r="B35" s="81" t="s">
        <v>80</v>
      </c>
      <c r="C35" s="45">
        <v>2094.9722244324</v>
      </c>
      <c r="D35" s="45">
        <v>17881.118360315</v>
      </c>
      <c r="E35" s="45">
        <v>559.48525883179</v>
      </c>
      <c r="F35" s="45">
        <v>15325.981583032</v>
      </c>
      <c r="G35" s="45">
        <v>239.00361136475</v>
      </c>
      <c r="H35" s="45">
        <v>5961.2433390197</v>
      </c>
      <c r="I35" s="45" t="s">
        <v>83</v>
      </c>
      <c r="J35" s="45" t="s">
        <v>83</v>
      </c>
      <c r="K35" s="45">
        <v>783.30930079346</v>
      </c>
      <c r="L35" s="45">
        <f t="shared" si="3"/>
        <v>34317.9116</v>
      </c>
      <c r="M35" s="45">
        <v>24.024197955322</v>
      </c>
      <c r="N35" s="45" t="s">
        <v>83</v>
      </c>
      <c r="O35" s="45" t="s">
        <v>83</v>
      </c>
      <c r="P35" s="45" t="s">
        <v>83</v>
      </c>
      <c r="Q35" s="45" t="s">
        <v>83</v>
      </c>
      <c r="R35" s="45">
        <v>20.712885455322</v>
      </c>
      <c r="S35" s="45" t="s">
        <v>83</v>
      </c>
      <c r="T35" s="45" t="s">
        <v>83</v>
      </c>
      <c r="U35" s="45" t="s">
        <v>83</v>
      </c>
      <c r="Y35" s="45">
        <v>0.089314965820313</v>
      </c>
      <c r="Z35" s="45" t="s">
        <v>83</v>
      </c>
      <c r="AA35" s="45">
        <v>1.2734732055664</v>
      </c>
      <c r="AB35" s="45">
        <v>0.25544219970703</v>
      </c>
      <c r="AC35" s="45" t="s">
        <v>83</v>
      </c>
      <c r="AH35" s="45" t="s">
        <v>83</v>
      </c>
      <c r="AI35" s="45" t="s">
        <v>83</v>
      </c>
      <c r="AJ35" s="45">
        <v>34175.248983435</v>
      </c>
      <c r="AK35" s="45" t="s">
        <v>83</v>
      </c>
      <c r="AL35" s="45">
        <v>96.307304345703</v>
      </c>
    </row>
    <row r="36" ht="15.75" hidden="1" customHeight="1">
      <c r="A36" s="52">
        <v>1985.0</v>
      </c>
      <c r="B36" s="81" t="s">
        <v>17</v>
      </c>
      <c r="C36" s="45" t="s">
        <v>83</v>
      </c>
      <c r="D36" s="45" t="s">
        <v>83</v>
      </c>
      <c r="E36" s="45" t="s">
        <v>83</v>
      </c>
      <c r="F36" s="45" t="s">
        <v>83</v>
      </c>
      <c r="G36" s="45" t="s">
        <v>83</v>
      </c>
      <c r="H36" s="45" t="s">
        <v>83</v>
      </c>
      <c r="I36" s="45" t="s">
        <v>83</v>
      </c>
      <c r="J36" s="45" t="s">
        <v>83</v>
      </c>
      <c r="K36" s="45" t="s">
        <v>83</v>
      </c>
      <c r="L36" s="45">
        <f t="shared" si="3"/>
        <v>0</v>
      </c>
      <c r="M36" s="45" t="s">
        <v>83</v>
      </c>
      <c r="N36" s="45" t="s">
        <v>83</v>
      </c>
      <c r="O36" s="45" t="s">
        <v>83</v>
      </c>
      <c r="P36" s="45" t="s">
        <v>83</v>
      </c>
      <c r="Q36" s="45" t="s">
        <v>83</v>
      </c>
      <c r="R36" s="45" t="s">
        <v>83</v>
      </c>
      <c r="S36" s="45" t="s">
        <v>83</v>
      </c>
      <c r="T36" s="45" t="s">
        <v>83</v>
      </c>
      <c r="U36" s="45" t="s">
        <v>83</v>
      </c>
      <c r="Y36" s="45" t="s">
        <v>83</v>
      </c>
      <c r="Z36" s="45" t="s">
        <v>83</v>
      </c>
      <c r="AA36" s="45" t="s">
        <v>83</v>
      </c>
      <c r="AB36" s="45" t="s">
        <v>83</v>
      </c>
      <c r="AC36" s="45" t="s">
        <v>83</v>
      </c>
      <c r="AH36" s="45" t="s">
        <v>83</v>
      </c>
      <c r="AI36" s="45" t="s">
        <v>83</v>
      </c>
      <c r="AJ36" s="45" t="s">
        <v>83</v>
      </c>
      <c r="AK36" s="45" t="s">
        <v>83</v>
      </c>
      <c r="AL36" s="45" t="s">
        <v>83</v>
      </c>
    </row>
    <row r="37" ht="15.75" hidden="1" customHeight="1">
      <c r="A37" s="52">
        <v>1985.0</v>
      </c>
      <c r="B37" s="81" t="s">
        <v>81</v>
      </c>
      <c r="C37" s="45">
        <v>49191.919394092</v>
      </c>
      <c r="D37" s="45">
        <v>19555.857091998</v>
      </c>
      <c r="E37" s="45">
        <v>28624.427094342</v>
      </c>
      <c r="F37" s="45">
        <v>23113.718183282</v>
      </c>
      <c r="G37" s="45">
        <v>40.460738195801</v>
      </c>
      <c r="H37" s="45">
        <v>689.23621785278</v>
      </c>
      <c r="I37" s="45">
        <v>82.490445013428</v>
      </c>
      <c r="J37" s="45" t="s">
        <v>83</v>
      </c>
      <c r="K37" s="45">
        <v>36403.084773444</v>
      </c>
      <c r="L37" s="45">
        <f t="shared" si="3"/>
        <v>1032740.943</v>
      </c>
      <c r="M37" s="45">
        <v>12329.610302411</v>
      </c>
      <c r="N37" s="45" t="s">
        <v>83</v>
      </c>
      <c r="O37" s="45" t="s">
        <v>83</v>
      </c>
      <c r="P37" s="45" t="s">
        <v>83</v>
      </c>
      <c r="Q37" s="45">
        <v>2570.4799628052</v>
      </c>
      <c r="R37" s="45">
        <v>70.990914251709</v>
      </c>
      <c r="S37" s="45">
        <v>2.8450342163086</v>
      </c>
      <c r="T37" s="45" t="s">
        <v>83</v>
      </c>
      <c r="U37" s="45">
        <v>13.004591461182</v>
      </c>
      <c r="Y37" s="45">
        <v>155.66790116577</v>
      </c>
      <c r="Z37" s="45" t="s">
        <v>83</v>
      </c>
      <c r="AA37" s="45">
        <v>5.6218707702637</v>
      </c>
      <c r="AB37" s="45">
        <v>23.705270056152</v>
      </c>
      <c r="AC37" s="45" t="s">
        <v>83</v>
      </c>
      <c r="AH37" s="45" t="s">
        <v>83</v>
      </c>
      <c r="AI37" s="45">
        <v>0.4200689453125</v>
      </c>
      <c r="AJ37" s="45">
        <v>0.089316455078125</v>
      </c>
      <c r="AK37" s="45" t="s">
        <v>83</v>
      </c>
      <c r="AL37" s="45">
        <v>1017568.5075453</v>
      </c>
    </row>
    <row r="38" ht="15.75" hidden="1" customHeight="1">
      <c r="B38" s="98"/>
    </row>
    <row r="39" ht="15.75" hidden="1" customHeight="1">
      <c r="B39" s="98"/>
    </row>
    <row r="40" ht="15.75" hidden="1" customHeight="1">
      <c r="B40" s="98"/>
    </row>
    <row r="41" ht="15.75" hidden="1" customHeight="1">
      <c r="B41" s="98"/>
    </row>
    <row r="42" ht="15.75" hidden="1" customHeight="1">
      <c r="B42" s="98"/>
    </row>
    <row r="43" ht="15.75" customHeight="1">
      <c r="B43" s="98"/>
    </row>
    <row r="44" ht="15.75" customHeight="1">
      <c r="B44" s="98"/>
    </row>
    <row r="45" ht="15.75" customHeight="1">
      <c r="B45" s="98"/>
    </row>
    <row r="46" ht="15.75" customHeight="1">
      <c r="B46" s="98"/>
    </row>
    <row r="47" ht="15.75" customHeight="1">
      <c r="B47" s="98"/>
    </row>
    <row r="48" ht="15.75" customHeight="1">
      <c r="B48" s="98"/>
    </row>
    <row r="49" ht="15.75" customHeight="1">
      <c r="B49" s="98"/>
    </row>
    <row r="50" ht="15.75" customHeight="1">
      <c r="B50" s="98"/>
    </row>
    <row r="51" ht="15.75" customHeight="1">
      <c r="B51" s="98"/>
    </row>
    <row r="52" ht="15.75" customHeight="1">
      <c r="B52" s="98"/>
    </row>
    <row r="53" ht="15.75" customHeight="1">
      <c r="B53" s="98"/>
    </row>
    <row r="54" ht="15.75" customHeight="1">
      <c r="B54" s="98"/>
    </row>
    <row r="55" ht="15.75" customHeight="1">
      <c r="B55" s="98"/>
    </row>
    <row r="56" ht="15.75" customHeight="1">
      <c r="B56" s="98"/>
    </row>
    <row r="57" ht="15.75" customHeight="1">
      <c r="B57" s="98"/>
    </row>
    <row r="58" ht="15.75" customHeight="1">
      <c r="B58" s="98"/>
    </row>
    <row r="59" ht="15.75" customHeight="1">
      <c r="B59" s="98"/>
    </row>
    <row r="60" ht="15.75" customHeight="1">
      <c r="B60" s="98"/>
    </row>
    <row r="61" ht="15.75" customHeight="1">
      <c r="B61" s="98"/>
    </row>
    <row r="62" ht="15.75" customHeight="1">
      <c r="B62" s="98"/>
    </row>
    <row r="63" ht="15.75" customHeight="1">
      <c r="B63" s="98"/>
    </row>
    <row r="64" ht="15.75" customHeight="1">
      <c r="B64" s="98"/>
    </row>
    <row r="65" ht="15.75" customHeight="1">
      <c r="B65" s="98"/>
    </row>
    <row r="66" ht="15.75" customHeight="1">
      <c r="B66" s="98"/>
    </row>
    <row r="67" ht="15.75" customHeight="1">
      <c r="B67" s="98"/>
    </row>
    <row r="68" ht="15.75" customHeight="1">
      <c r="B68" s="98"/>
    </row>
    <row r="69" ht="15.75" customHeight="1">
      <c r="B69" s="98"/>
    </row>
    <row r="70" ht="15.75" customHeight="1">
      <c r="B70" s="98"/>
    </row>
    <row r="71" ht="15.75" customHeight="1">
      <c r="B71" s="98"/>
    </row>
    <row r="72" ht="15.75" customHeight="1">
      <c r="B72" s="98"/>
    </row>
    <row r="73" ht="15.75" customHeight="1">
      <c r="B73" s="98"/>
    </row>
    <row r="74" ht="15.75" customHeight="1">
      <c r="B74" s="98"/>
    </row>
    <row r="75" ht="15.75" customHeight="1">
      <c r="B75" s="98"/>
    </row>
    <row r="76" ht="15.75" customHeight="1">
      <c r="B76" s="98"/>
    </row>
    <row r="77" ht="15.75" customHeight="1">
      <c r="B77" s="98"/>
    </row>
    <row r="78" ht="15.75" customHeight="1">
      <c r="B78" s="98"/>
    </row>
    <row r="79" ht="15.75" customHeight="1">
      <c r="B79" s="98"/>
    </row>
    <row r="80" ht="15.75" customHeight="1">
      <c r="B80" s="98"/>
    </row>
    <row r="81" ht="15.75" customHeight="1">
      <c r="B81" s="98"/>
    </row>
    <row r="82" ht="15.75" customHeight="1">
      <c r="B82" s="98"/>
    </row>
    <row r="83" ht="15.75" customHeight="1">
      <c r="B83" s="98"/>
    </row>
    <row r="84" ht="15.75" customHeight="1">
      <c r="B84" s="98"/>
    </row>
    <row r="85" ht="15.75" customHeight="1">
      <c r="B85" s="98"/>
    </row>
    <row r="86" ht="15.75" customHeight="1">
      <c r="B86" s="98"/>
    </row>
    <row r="87" ht="15.75" customHeight="1">
      <c r="B87" s="98"/>
    </row>
    <row r="88" ht="15.75" customHeight="1">
      <c r="B88" s="98"/>
    </row>
    <row r="89" ht="15.75" customHeight="1">
      <c r="B89" s="98"/>
    </row>
    <row r="90" ht="15.75" customHeight="1">
      <c r="B90" s="98"/>
    </row>
    <row r="91" ht="15.75" customHeight="1">
      <c r="B91" s="98"/>
    </row>
    <row r="92" ht="15.75" customHeight="1">
      <c r="B92" s="98"/>
    </row>
    <row r="93" ht="15.75" customHeight="1">
      <c r="B93" s="98"/>
    </row>
    <row r="94" ht="15.75" customHeight="1">
      <c r="B94" s="98"/>
    </row>
    <row r="95" ht="15.75" customHeight="1">
      <c r="B95" s="98"/>
    </row>
    <row r="96" ht="15.75" customHeight="1">
      <c r="B96" s="98"/>
    </row>
    <row r="97" ht="15.75" customHeight="1">
      <c r="B97" s="98"/>
    </row>
    <row r="98" ht="15.75" customHeight="1">
      <c r="B98" s="98"/>
    </row>
    <row r="99" ht="15.75" customHeight="1">
      <c r="B99" s="98"/>
    </row>
    <row r="100" ht="15.75" customHeight="1">
      <c r="B100" s="98"/>
    </row>
    <row r="101" ht="15.75" customHeight="1">
      <c r="B101" s="98"/>
    </row>
    <row r="102" ht="15.75" customHeight="1">
      <c r="B102" s="98"/>
    </row>
    <row r="103" ht="15.75" customHeight="1">
      <c r="B103" s="98"/>
    </row>
    <row r="104" ht="15.75" customHeight="1">
      <c r="B104" s="98"/>
    </row>
    <row r="105" ht="15.75" customHeight="1">
      <c r="B105" s="98"/>
    </row>
    <row r="106" ht="15.75" customHeight="1">
      <c r="B106" s="98"/>
    </row>
    <row r="107" ht="15.75" customHeight="1">
      <c r="B107" s="98"/>
    </row>
    <row r="108" ht="15.75" customHeight="1">
      <c r="B108" s="98"/>
    </row>
    <row r="109" ht="15.75" customHeight="1">
      <c r="B109" s="98"/>
    </row>
    <row r="110" ht="15.75" customHeight="1">
      <c r="B110" s="98"/>
    </row>
    <row r="111" ht="15.75" customHeight="1">
      <c r="B111" s="98"/>
    </row>
    <row r="112" ht="15.75" customHeight="1">
      <c r="B112" s="98"/>
    </row>
    <row r="113" ht="15.75" customHeight="1">
      <c r="B113" s="98"/>
    </row>
    <row r="114" ht="15.75" customHeight="1">
      <c r="B114" s="98"/>
    </row>
    <row r="115" ht="15.75" customHeight="1">
      <c r="B115" s="98"/>
    </row>
    <row r="116" ht="15.75" customHeight="1">
      <c r="B116" s="98"/>
    </row>
    <row r="117" ht="15.75" customHeight="1">
      <c r="B117" s="98"/>
    </row>
    <row r="118" ht="15.75" customHeight="1">
      <c r="B118" s="98"/>
    </row>
    <row r="119" ht="15.75" customHeight="1">
      <c r="B119" s="98"/>
    </row>
    <row r="120" ht="15.75" customHeight="1">
      <c r="B120" s="98"/>
    </row>
    <row r="121" ht="15.75" customHeight="1">
      <c r="B121" s="98"/>
    </row>
    <row r="122" ht="15.75" customHeight="1">
      <c r="B122" s="98"/>
    </row>
    <row r="123" ht="15.75" customHeight="1">
      <c r="B123" s="98"/>
    </row>
    <row r="124" ht="15.75" customHeight="1">
      <c r="B124" s="98"/>
    </row>
    <row r="125" ht="15.75" customHeight="1">
      <c r="B125" s="98"/>
    </row>
    <row r="126" ht="15.75" customHeight="1">
      <c r="B126" s="98"/>
    </row>
    <row r="127" ht="15.75" customHeight="1">
      <c r="B127" s="98"/>
    </row>
    <row r="128" ht="15.75" customHeight="1">
      <c r="B128" s="98"/>
    </row>
    <row r="129" ht="15.75" customHeight="1">
      <c r="B129" s="98"/>
    </row>
    <row r="130" ht="15.75" customHeight="1">
      <c r="B130" s="98"/>
    </row>
    <row r="131" ht="15.75" customHeight="1">
      <c r="B131" s="98"/>
    </row>
    <row r="132" ht="15.75" customHeight="1">
      <c r="B132" s="98"/>
    </row>
    <row r="133" ht="15.75" customHeight="1">
      <c r="B133" s="98"/>
    </row>
    <row r="134" ht="15.75" customHeight="1">
      <c r="B134" s="98"/>
    </row>
    <row r="135" ht="15.75" customHeight="1">
      <c r="B135" s="98"/>
    </row>
    <row r="136" ht="15.75" customHeight="1">
      <c r="B136" s="98"/>
    </row>
    <row r="137" ht="15.75" customHeight="1">
      <c r="B137" s="98"/>
    </row>
    <row r="138" ht="15.75" customHeight="1">
      <c r="B138" s="98"/>
    </row>
    <row r="139" ht="15.75" customHeight="1">
      <c r="B139" s="98"/>
    </row>
    <row r="140" ht="15.75" customHeight="1">
      <c r="B140" s="98"/>
    </row>
    <row r="141" ht="15.75" customHeight="1">
      <c r="B141" s="98"/>
    </row>
    <row r="142" ht="15.75" customHeight="1">
      <c r="B142" s="98"/>
    </row>
    <row r="143" ht="15.75" customHeight="1">
      <c r="B143" s="98"/>
    </row>
    <row r="144" ht="15.75" customHeight="1">
      <c r="B144" s="98"/>
    </row>
    <row r="145" ht="15.75" customHeight="1">
      <c r="B145" s="98"/>
    </row>
    <row r="146" ht="15.75" customHeight="1">
      <c r="B146" s="98"/>
    </row>
    <row r="147" ht="15.75" customHeight="1">
      <c r="B147" s="98"/>
    </row>
    <row r="148" ht="15.75" customHeight="1">
      <c r="B148" s="98"/>
    </row>
    <row r="149" ht="15.75" customHeight="1">
      <c r="B149" s="98"/>
    </row>
    <row r="150" ht="15.75" customHeight="1">
      <c r="B150" s="98"/>
    </row>
    <row r="151" ht="15.75" customHeight="1">
      <c r="B151" s="98"/>
    </row>
    <row r="152" ht="15.75" customHeight="1">
      <c r="B152" s="98"/>
    </row>
    <row r="153" ht="15.75" customHeight="1">
      <c r="B153" s="98"/>
    </row>
    <row r="154" ht="15.75" customHeight="1">
      <c r="B154" s="98"/>
    </row>
    <row r="155" ht="15.75" customHeight="1">
      <c r="B155" s="98"/>
    </row>
    <row r="156" ht="15.75" customHeight="1">
      <c r="B156" s="98"/>
    </row>
    <row r="157" ht="15.75" customHeight="1">
      <c r="B157" s="98"/>
    </row>
    <row r="158" ht="15.75" customHeight="1">
      <c r="B158" s="98"/>
    </row>
    <row r="159" ht="15.75" customHeight="1">
      <c r="B159" s="98"/>
    </row>
    <row r="160" ht="15.75" customHeight="1">
      <c r="B160" s="98"/>
    </row>
    <row r="161" ht="15.75" customHeight="1">
      <c r="B161" s="98"/>
    </row>
    <row r="162" ht="15.75" customHeight="1">
      <c r="B162" s="98"/>
    </row>
    <row r="163" ht="15.75" customHeight="1">
      <c r="B163" s="98"/>
    </row>
    <row r="164" ht="15.75" customHeight="1">
      <c r="B164" s="98"/>
    </row>
    <row r="165" ht="15.75" customHeight="1">
      <c r="B165" s="98"/>
    </row>
    <row r="166" ht="15.75" customHeight="1">
      <c r="B166" s="98"/>
    </row>
    <row r="167" ht="15.75" customHeight="1">
      <c r="B167" s="98"/>
    </row>
    <row r="168" ht="15.75" customHeight="1">
      <c r="B168" s="98"/>
    </row>
    <row r="169" ht="15.75" customHeight="1">
      <c r="B169" s="98"/>
    </row>
    <row r="170" ht="15.75" customHeight="1">
      <c r="B170" s="98"/>
    </row>
    <row r="171" ht="15.75" customHeight="1">
      <c r="B171" s="98"/>
    </row>
    <row r="172" ht="15.75" customHeight="1">
      <c r="B172" s="98"/>
    </row>
    <row r="173" ht="15.75" customHeight="1">
      <c r="B173" s="98"/>
    </row>
    <row r="174" ht="15.75" customHeight="1">
      <c r="B174" s="98"/>
    </row>
    <row r="175" ht="15.75" customHeight="1">
      <c r="B175" s="98"/>
    </row>
    <row r="176" ht="15.75" customHeight="1">
      <c r="B176" s="98"/>
    </row>
    <row r="177" ht="15.75" customHeight="1">
      <c r="B177" s="98"/>
    </row>
    <row r="178" ht="15.75" customHeight="1">
      <c r="B178" s="98"/>
    </row>
    <row r="179" ht="15.75" customHeight="1">
      <c r="B179" s="98"/>
    </row>
    <row r="180" ht="15.75" customHeight="1">
      <c r="B180" s="98"/>
    </row>
    <row r="181" ht="15.75" customHeight="1">
      <c r="B181" s="98"/>
    </row>
    <row r="182" ht="15.75" customHeight="1">
      <c r="B182" s="98"/>
    </row>
    <row r="183" ht="15.75" customHeight="1">
      <c r="B183" s="98"/>
    </row>
    <row r="184" ht="15.75" customHeight="1">
      <c r="B184" s="98"/>
    </row>
    <row r="185" ht="15.75" customHeight="1">
      <c r="B185" s="98"/>
    </row>
    <row r="186" ht="15.75" customHeight="1">
      <c r="B186" s="98"/>
    </row>
    <row r="187" ht="15.75" customHeight="1">
      <c r="B187" s="98"/>
    </row>
    <row r="188" ht="15.75" customHeight="1">
      <c r="B188" s="98"/>
    </row>
    <row r="189" ht="15.75" customHeight="1">
      <c r="B189" s="98"/>
    </row>
    <row r="190" ht="15.75" customHeight="1">
      <c r="B190" s="98"/>
    </row>
    <row r="191" ht="15.75" customHeight="1">
      <c r="B191" s="98"/>
    </row>
    <row r="192" ht="15.75" customHeight="1">
      <c r="B192" s="98"/>
    </row>
    <row r="193" ht="15.75" customHeight="1">
      <c r="B193" s="98"/>
    </row>
    <row r="194" ht="15.75" customHeight="1">
      <c r="B194" s="98"/>
    </row>
    <row r="195" ht="15.75" customHeight="1">
      <c r="B195" s="98"/>
    </row>
    <row r="196" ht="15.75" customHeight="1">
      <c r="B196" s="98"/>
    </row>
    <row r="197" ht="15.75" customHeight="1">
      <c r="B197" s="98"/>
    </row>
    <row r="198" ht="15.75" customHeight="1">
      <c r="B198" s="98"/>
    </row>
    <row r="199" ht="15.75" customHeight="1">
      <c r="B199" s="98"/>
    </row>
    <row r="200" ht="15.75" customHeight="1">
      <c r="B200" s="98"/>
    </row>
    <row r="201" ht="15.75" customHeight="1">
      <c r="B201" s="98"/>
    </row>
    <row r="202" ht="15.75" customHeight="1">
      <c r="B202" s="98"/>
    </row>
    <row r="203" ht="15.75" customHeight="1">
      <c r="B203" s="98"/>
    </row>
    <row r="204" ht="15.75" customHeight="1">
      <c r="B204" s="98"/>
    </row>
    <row r="205" ht="15.75" customHeight="1">
      <c r="B205" s="98"/>
    </row>
    <row r="206" ht="15.75" customHeight="1">
      <c r="B206" s="98"/>
    </row>
    <row r="207" ht="15.75" customHeight="1">
      <c r="B207" s="98"/>
    </row>
    <row r="208" ht="15.75" customHeight="1">
      <c r="B208" s="98"/>
    </row>
    <row r="209" ht="15.75" customHeight="1">
      <c r="B209" s="98"/>
    </row>
    <row r="210" ht="15.75" customHeight="1">
      <c r="B210" s="98"/>
    </row>
    <row r="211" ht="15.75" customHeight="1">
      <c r="B211" s="98"/>
    </row>
    <row r="212" ht="15.75" customHeight="1">
      <c r="B212" s="98"/>
    </row>
    <row r="213" ht="15.75" customHeight="1">
      <c r="B213" s="98"/>
    </row>
    <row r="214" ht="15.75" customHeight="1">
      <c r="B214" s="98"/>
    </row>
    <row r="215" ht="15.75" customHeight="1">
      <c r="B215" s="98"/>
    </row>
    <row r="216" ht="15.75" customHeight="1">
      <c r="B216" s="98"/>
    </row>
    <row r="217" ht="15.75" customHeight="1">
      <c r="B217" s="98"/>
    </row>
    <row r="218" ht="15.75" customHeight="1">
      <c r="B218" s="98"/>
    </row>
    <row r="219" ht="15.75" customHeight="1">
      <c r="B219" s="98"/>
    </row>
    <row r="220" ht="15.75" customHeight="1">
      <c r="B220" s="98"/>
    </row>
    <row r="221" ht="15.75" customHeight="1">
      <c r="B221" s="98"/>
    </row>
    <row r="222" ht="15.75" customHeight="1">
      <c r="B222" s="98"/>
    </row>
    <row r="223" ht="15.75" customHeight="1">
      <c r="B223" s="98"/>
    </row>
    <row r="224" ht="15.75" customHeight="1">
      <c r="B224" s="98"/>
    </row>
    <row r="225" ht="15.75" customHeight="1">
      <c r="B225" s="98"/>
    </row>
    <row r="226" ht="15.75" customHeight="1">
      <c r="B226" s="98"/>
    </row>
    <row r="227" ht="15.75" customHeight="1">
      <c r="B227" s="98"/>
    </row>
    <row r="228" ht="15.75" customHeight="1">
      <c r="B228" s="98"/>
    </row>
    <row r="229" ht="15.75" customHeight="1">
      <c r="B229" s="98"/>
    </row>
    <row r="230" ht="15.75" customHeight="1">
      <c r="B230" s="98"/>
    </row>
    <row r="231" ht="15.75" customHeight="1">
      <c r="B231" s="98"/>
    </row>
    <row r="232" ht="15.75" customHeight="1">
      <c r="B232" s="98"/>
    </row>
    <row r="233" ht="15.75" customHeight="1">
      <c r="B233" s="98"/>
    </row>
    <row r="234" ht="15.75" customHeight="1">
      <c r="B234" s="98"/>
    </row>
    <row r="235" ht="15.75" customHeight="1">
      <c r="B235" s="98"/>
    </row>
    <row r="236" ht="15.75" customHeight="1">
      <c r="B236" s="98"/>
    </row>
    <row r="237" ht="15.75" customHeight="1">
      <c r="B237" s="98"/>
    </row>
    <row r="238" ht="15.75" customHeight="1">
      <c r="B238" s="98"/>
    </row>
    <row r="239" ht="15.75" customHeight="1">
      <c r="B239" s="98"/>
    </row>
    <row r="240" ht="15.75" customHeight="1">
      <c r="B240" s="98"/>
    </row>
    <row r="241" ht="15.75" customHeight="1">
      <c r="B241" s="98"/>
    </row>
    <row r="242" ht="15.75" customHeight="1">
      <c r="B242" s="98"/>
    </row>
    <row r="243" ht="15.75" customHeight="1">
      <c r="B243" s="98"/>
    </row>
    <row r="244" ht="15.75" customHeight="1">
      <c r="B244" s="98"/>
    </row>
    <row r="245" ht="15.75" customHeight="1">
      <c r="B245" s="98"/>
    </row>
    <row r="246" ht="15.75" customHeight="1">
      <c r="B246" s="98"/>
    </row>
    <row r="247" ht="15.75" customHeight="1">
      <c r="B247" s="98"/>
    </row>
    <row r="248" ht="15.75" customHeight="1">
      <c r="B248" s="98"/>
    </row>
    <row r="249" ht="15.75" customHeight="1">
      <c r="B249" s="98"/>
    </row>
    <row r="250" ht="15.75" customHeight="1">
      <c r="B250" s="98"/>
    </row>
    <row r="251" ht="15.75" customHeight="1">
      <c r="B251" s="98"/>
    </row>
    <row r="252" ht="15.75" customHeight="1">
      <c r="B252" s="98"/>
    </row>
    <row r="253" ht="15.75" customHeight="1">
      <c r="B253" s="98"/>
    </row>
    <row r="254" ht="15.75" customHeight="1">
      <c r="B254" s="98"/>
    </row>
    <row r="255" ht="15.75" customHeight="1">
      <c r="B255" s="98"/>
    </row>
    <row r="256" ht="15.75" customHeight="1">
      <c r="B256" s="98"/>
    </row>
    <row r="257" ht="15.75" customHeight="1">
      <c r="B257" s="98"/>
    </row>
    <row r="258" ht="15.75" customHeight="1">
      <c r="B258" s="98"/>
    </row>
    <row r="259" ht="15.75" customHeight="1">
      <c r="B259" s="98"/>
    </row>
    <row r="260" ht="15.75" customHeight="1">
      <c r="B260" s="98"/>
    </row>
    <row r="261" ht="15.75" customHeight="1">
      <c r="B261" s="98"/>
    </row>
    <row r="262" ht="15.75" customHeight="1">
      <c r="B262" s="98"/>
    </row>
    <row r="263" ht="15.75" customHeight="1">
      <c r="B263" s="98"/>
    </row>
    <row r="264" ht="15.75" customHeight="1">
      <c r="B264" s="98"/>
    </row>
    <row r="265" ht="15.75" customHeight="1">
      <c r="B265" s="98"/>
    </row>
    <row r="266" ht="15.75" customHeight="1">
      <c r="B266" s="98"/>
    </row>
    <row r="267" ht="15.75" customHeight="1">
      <c r="B267" s="98"/>
    </row>
    <row r="268" ht="15.75" customHeight="1">
      <c r="B268" s="98"/>
    </row>
    <row r="269" ht="15.75" customHeight="1">
      <c r="B269" s="98"/>
    </row>
    <row r="270" ht="15.75" customHeight="1">
      <c r="B270" s="98"/>
    </row>
    <row r="271" ht="15.75" customHeight="1">
      <c r="B271" s="98"/>
    </row>
    <row r="272" ht="15.75" customHeight="1">
      <c r="B272" s="98"/>
    </row>
    <row r="273" ht="15.75" customHeight="1">
      <c r="B273" s="98"/>
    </row>
    <row r="274" ht="15.75" customHeight="1">
      <c r="B274" s="98"/>
    </row>
    <row r="275" ht="15.75" customHeight="1">
      <c r="B275" s="98"/>
    </row>
    <row r="276" ht="15.75" customHeight="1">
      <c r="B276" s="98"/>
    </row>
    <row r="277" ht="15.75" customHeight="1">
      <c r="B277" s="98"/>
    </row>
    <row r="278" ht="15.75" customHeight="1">
      <c r="B278" s="98"/>
    </row>
    <row r="279" ht="15.75" customHeight="1">
      <c r="B279" s="98"/>
    </row>
    <row r="280" ht="15.75" customHeight="1">
      <c r="B280" s="98"/>
    </row>
    <row r="281" ht="15.75" customHeight="1">
      <c r="B281" s="98"/>
    </row>
    <row r="282" ht="15.75" customHeight="1">
      <c r="B282" s="98"/>
    </row>
    <row r="283" ht="15.75" customHeight="1">
      <c r="B283" s="98"/>
    </row>
    <row r="284" ht="15.75" customHeight="1">
      <c r="B284" s="98"/>
    </row>
    <row r="285" ht="15.75" customHeight="1">
      <c r="B285" s="98"/>
    </row>
    <row r="286" ht="15.75" customHeight="1">
      <c r="B286" s="98"/>
    </row>
    <row r="287" ht="15.75" customHeight="1">
      <c r="B287" s="98"/>
    </row>
    <row r="288" ht="15.75" customHeight="1">
      <c r="B288" s="98"/>
    </row>
    <row r="289" ht="15.75" customHeight="1">
      <c r="B289" s="98"/>
    </row>
    <row r="290" ht="15.75" customHeight="1">
      <c r="B290" s="98"/>
    </row>
    <row r="291" ht="15.75" customHeight="1">
      <c r="B291" s="98"/>
    </row>
    <row r="292" ht="15.75" customHeight="1">
      <c r="B292" s="98"/>
    </row>
    <row r="293" ht="15.75" customHeight="1">
      <c r="B293" s="98"/>
    </row>
    <row r="294" ht="15.75" customHeight="1">
      <c r="B294" s="98"/>
    </row>
    <row r="295" ht="15.75" customHeight="1">
      <c r="B295" s="98"/>
    </row>
    <row r="296" ht="15.75" customHeight="1">
      <c r="B296" s="98"/>
    </row>
    <row r="297" ht="15.75" customHeight="1">
      <c r="B297" s="98"/>
    </row>
    <row r="298" ht="15.75" customHeight="1">
      <c r="B298" s="98"/>
    </row>
    <row r="299" ht="15.75" customHeight="1">
      <c r="B299" s="98"/>
    </row>
    <row r="300" ht="15.75" customHeight="1">
      <c r="B300" s="98"/>
    </row>
    <row r="301" ht="15.75" customHeight="1">
      <c r="B301" s="98"/>
    </row>
    <row r="302" ht="15.75" customHeight="1">
      <c r="B302" s="98"/>
    </row>
    <row r="303" ht="15.75" customHeight="1">
      <c r="B303" s="98"/>
    </row>
    <row r="304" ht="15.75" customHeight="1">
      <c r="B304" s="98"/>
    </row>
    <row r="305" ht="15.75" customHeight="1">
      <c r="B305" s="98"/>
    </row>
    <row r="306" ht="15.75" customHeight="1">
      <c r="B306" s="98"/>
    </row>
    <row r="307" ht="15.75" customHeight="1">
      <c r="B307" s="98"/>
    </row>
    <row r="308" ht="15.75" customHeight="1">
      <c r="B308" s="98"/>
    </row>
    <row r="309" ht="15.75" customHeight="1">
      <c r="B309" s="98"/>
    </row>
    <row r="310" ht="15.75" customHeight="1">
      <c r="B310" s="98"/>
    </row>
    <row r="311" ht="15.75" customHeight="1">
      <c r="B311" s="98"/>
    </row>
    <row r="312" ht="15.75" customHeight="1">
      <c r="B312" s="98"/>
    </row>
    <row r="313" ht="15.75" customHeight="1">
      <c r="B313" s="98"/>
    </row>
    <row r="314" ht="15.75" customHeight="1">
      <c r="B314" s="98"/>
    </row>
    <row r="315" ht="15.75" customHeight="1">
      <c r="B315" s="98"/>
    </row>
    <row r="316" ht="15.75" customHeight="1">
      <c r="B316" s="98"/>
    </row>
    <row r="317" ht="15.75" customHeight="1">
      <c r="B317" s="98"/>
    </row>
    <row r="318" ht="15.75" customHeight="1">
      <c r="B318" s="98"/>
    </row>
    <row r="319" ht="15.75" customHeight="1">
      <c r="B319" s="98"/>
    </row>
    <row r="320" ht="15.75" customHeight="1">
      <c r="B320" s="98"/>
    </row>
    <row r="321" ht="15.75" customHeight="1">
      <c r="B321" s="98"/>
    </row>
    <row r="322" ht="15.75" customHeight="1">
      <c r="B322" s="98"/>
    </row>
    <row r="323" ht="15.75" customHeight="1">
      <c r="B323" s="98"/>
    </row>
    <row r="324" ht="15.75" customHeight="1">
      <c r="B324" s="98"/>
    </row>
    <row r="325" ht="15.75" customHeight="1">
      <c r="B325" s="98"/>
    </row>
    <row r="326" ht="15.75" customHeight="1">
      <c r="B326" s="98"/>
    </row>
    <row r="327" ht="15.75" customHeight="1">
      <c r="B327" s="98"/>
    </row>
    <row r="328" ht="15.75" customHeight="1">
      <c r="B328" s="98"/>
    </row>
    <row r="329" ht="15.75" customHeight="1">
      <c r="B329" s="98"/>
    </row>
    <row r="330" ht="15.75" customHeight="1">
      <c r="B330" s="98"/>
    </row>
    <row r="331" ht="15.75" customHeight="1">
      <c r="B331" s="98"/>
    </row>
    <row r="332" ht="15.75" customHeight="1">
      <c r="B332" s="98"/>
    </row>
    <row r="333" ht="15.75" customHeight="1">
      <c r="B333" s="98"/>
    </row>
    <row r="334" ht="15.75" customHeight="1">
      <c r="B334" s="98"/>
    </row>
    <row r="335" ht="15.75" customHeight="1">
      <c r="B335" s="98"/>
    </row>
    <row r="336" ht="15.75" customHeight="1">
      <c r="B336" s="98"/>
    </row>
    <row r="337" ht="15.75" customHeight="1">
      <c r="B337" s="98"/>
    </row>
    <row r="338" ht="15.75" customHeight="1">
      <c r="B338" s="98"/>
    </row>
    <row r="339" ht="15.75" customHeight="1">
      <c r="B339" s="98"/>
    </row>
    <row r="340" ht="15.75" customHeight="1">
      <c r="B340" s="98"/>
    </row>
    <row r="341" ht="15.75" customHeight="1">
      <c r="B341" s="98"/>
    </row>
    <row r="342" ht="15.75" customHeight="1">
      <c r="B342" s="98"/>
    </row>
    <row r="343" ht="15.75" customHeight="1">
      <c r="B343" s="98"/>
    </row>
    <row r="344" ht="15.75" customHeight="1">
      <c r="B344" s="98"/>
    </row>
    <row r="345" ht="15.75" customHeight="1">
      <c r="B345" s="98"/>
    </row>
    <row r="346" ht="15.75" customHeight="1">
      <c r="B346" s="98"/>
    </row>
    <row r="347" ht="15.75" customHeight="1">
      <c r="B347" s="98"/>
    </row>
    <row r="348" ht="15.75" customHeight="1">
      <c r="B348" s="98"/>
    </row>
    <row r="349" ht="15.75" customHeight="1">
      <c r="B349" s="98"/>
    </row>
    <row r="350" ht="15.75" customHeight="1">
      <c r="B350" s="98"/>
    </row>
    <row r="351" ht="15.75" customHeight="1">
      <c r="B351" s="98"/>
    </row>
    <row r="352" ht="15.75" customHeight="1">
      <c r="B352" s="98"/>
    </row>
    <row r="353" ht="15.75" customHeight="1">
      <c r="B353" s="98"/>
    </row>
    <row r="354" ht="15.75" customHeight="1">
      <c r="B354" s="98"/>
    </row>
    <row r="355" ht="15.75" customHeight="1">
      <c r="B355" s="98"/>
    </row>
    <row r="356" ht="15.75" customHeight="1">
      <c r="B356" s="98"/>
    </row>
    <row r="357" ht="15.75" customHeight="1">
      <c r="B357" s="98"/>
    </row>
    <row r="358" ht="15.75" customHeight="1">
      <c r="B358" s="98"/>
    </row>
    <row r="359" ht="15.75" customHeight="1">
      <c r="B359" s="98"/>
    </row>
    <row r="360" ht="15.75" customHeight="1">
      <c r="B360" s="98"/>
    </row>
    <row r="361" ht="15.75" customHeight="1">
      <c r="B361" s="98"/>
    </row>
    <row r="362" ht="15.75" customHeight="1">
      <c r="B362" s="98"/>
    </row>
    <row r="363" ht="15.75" customHeight="1">
      <c r="B363" s="98"/>
    </row>
    <row r="364" ht="15.75" customHeight="1">
      <c r="B364" s="98"/>
    </row>
    <row r="365" ht="15.75" customHeight="1">
      <c r="B365" s="98"/>
    </row>
    <row r="366" ht="15.75" customHeight="1">
      <c r="B366" s="98"/>
    </row>
    <row r="367" ht="15.75" customHeight="1">
      <c r="B367" s="98"/>
    </row>
    <row r="368" ht="15.75" customHeight="1">
      <c r="B368" s="98"/>
    </row>
    <row r="369" ht="15.75" customHeight="1">
      <c r="B369" s="98"/>
    </row>
    <row r="370" ht="15.75" customHeight="1">
      <c r="B370" s="98"/>
    </row>
    <row r="371" ht="15.75" customHeight="1">
      <c r="B371" s="98"/>
    </row>
    <row r="372" ht="15.75" customHeight="1">
      <c r="B372" s="98"/>
    </row>
    <row r="373" ht="15.75" customHeight="1">
      <c r="B373" s="98"/>
    </row>
    <row r="374" ht="15.75" customHeight="1">
      <c r="B374" s="98"/>
    </row>
    <row r="375" ht="15.75" customHeight="1">
      <c r="B375" s="98"/>
    </row>
    <row r="376" ht="15.75" customHeight="1">
      <c r="B376" s="98"/>
    </row>
    <row r="377" ht="15.75" customHeight="1">
      <c r="B377" s="98"/>
    </row>
    <row r="378" ht="15.75" customHeight="1">
      <c r="B378" s="98"/>
    </row>
    <row r="379" ht="15.75" customHeight="1">
      <c r="B379" s="98"/>
    </row>
    <row r="380" ht="15.75" customHeight="1">
      <c r="B380" s="98"/>
    </row>
    <row r="381" ht="15.75" customHeight="1">
      <c r="B381" s="98"/>
    </row>
    <row r="382" ht="15.75" customHeight="1">
      <c r="B382" s="98"/>
    </row>
    <row r="383" ht="15.75" customHeight="1">
      <c r="B383" s="98"/>
    </row>
    <row r="384" ht="15.75" customHeight="1">
      <c r="B384" s="98"/>
    </row>
    <row r="385" ht="15.75" customHeight="1">
      <c r="B385" s="98"/>
    </row>
    <row r="386" ht="15.75" customHeight="1">
      <c r="B386" s="98"/>
    </row>
    <row r="387" ht="15.75" customHeight="1">
      <c r="B387" s="98"/>
    </row>
    <row r="388" ht="15.75" customHeight="1">
      <c r="B388" s="98"/>
    </row>
    <row r="389" ht="15.75" customHeight="1">
      <c r="B389" s="98"/>
    </row>
    <row r="390" ht="15.75" customHeight="1">
      <c r="B390" s="98"/>
    </row>
    <row r="391" ht="15.75" customHeight="1">
      <c r="B391" s="98"/>
    </row>
    <row r="392" ht="15.75" customHeight="1">
      <c r="B392" s="98"/>
    </row>
    <row r="393" ht="15.75" customHeight="1">
      <c r="B393" s="98"/>
    </row>
    <row r="394" ht="15.75" customHeight="1">
      <c r="B394" s="98"/>
    </row>
    <row r="395" ht="15.75" customHeight="1">
      <c r="B395" s="98"/>
    </row>
    <row r="396" ht="15.75" customHeight="1">
      <c r="B396" s="98"/>
    </row>
    <row r="397" ht="15.75" customHeight="1">
      <c r="B397" s="98"/>
    </row>
    <row r="398" ht="15.75" customHeight="1">
      <c r="B398" s="98"/>
    </row>
    <row r="399" ht="15.75" customHeight="1">
      <c r="B399" s="98"/>
    </row>
    <row r="400" ht="15.75" customHeight="1">
      <c r="B400" s="98"/>
    </row>
    <row r="401" ht="15.75" customHeight="1">
      <c r="B401" s="98"/>
    </row>
    <row r="402" ht="15.75" customHeight="1">
      <c r="B402" s="98"/>
    </row>
    <row r="403" ht="15.75" customHeight="1">
      <c r="B403" s="98"/>
    </row>
    <row r="404" ht="15.75" customHeight="1">
      <c r="B404" s="98"/>
    </row>
    <row r="405" ht="15.75" customHeight="1">
      <c r="B405" s="98"/>
    </row>
    <row r="406" ht="15.75" customHeight="1">
      <c r="B406" s="98"/>
    </row>
    <row r="407" ht="15.75" customHeight="1">
      <c r="B407" s="98"/>
    </row>
    <row r="408" ht="15.75" customHeight="1">
      <c r="B408" s="98"/>
    </row>
    <row r="409" ht="15.75" customHeight="1">
      <c r="B409" s="98"/>
    </row>
    <row r="410" ht="15.75" customHeight="1">
      <c r="B410" s="98"/>
    </row>
    <row r="411" ht="15.75" customHeight="1">
      <c r="B411" s="98"/>
    </row>
    <row r="412" ht="15.75" customHeight="1">
      <c r="B412" s="98"/>
    </row>
    <row r="413" ht="15.75" customHeight="1">
      <c r="B413" s="98"/>
    </row>
    <row r="414" ht="15.75" customHeight="1">
      <c r="B414" s="98"/>
    </row>
    <row r="415" ht="15.75" customHeight="1">
      <c r="B415" s="98"/>
    </row>
    <row r="416" ht="15.75" customHeight="1">
      <c r="B416" s="98"/>
    </row>
    <row r="417" ht="15.75" customHeight="1">
      <c r="B417" s="98"/>
    </row>
    <row r="418" ht="15.75" customHeight="1">
      <c r="B418" s="98"/>
    </row>
    <row r="419" ht="15.75" customHeight="1">
      <c r="B419" s="98"/>
    </row>
    <row r="420" ht="15.75" customHeight="1">
      <c r="B420" s="98"/>
    </row>
    <row r="421" ht="15.75" customHeight="1">
      <c r="B421" s="98"/>
    </row>
    <row r="422" ht="15.75" customHeight="1">
      <c r="B422" s="98"/>
    </row>
    <row r="423" ht="15.75" customHeight="1">
      <c r="B423" s="98"/>
    </row>
    <row r="424" ht="15.75" customHeight="1">
      <c r="B424" s="98"/>
    </row>
    <row r="425" ht="15.75" customHeight="1">
      <c r="B425" s="98"/>
    </row>
    <row r="426" ht="15.75" customHeight="1">
      <c r="B426" s="98"/>
    </row>
    <row r="427" ht="15.75" customHeight="1">
      <c r="B427" s="98"/>
    </row>
    <row r="428" ht="15.75" customHeight="1">
      <c r="B428" s="98"/>
    </row>
    <row r="429" ht="15.75" customHeight="1">
      <c r="B429" s="98"/>
    </row>
    <row r="430" ht="15.75" customHeight="1">
      <c r="B430" s="98"/>
    </row>
    <row r="431" ht="15.75" customHeight="1">
      <c r="B431" s="98"/>
    </row>
    <row r="432" ht="15.75" customHeight="1">
      <c r="B432" s="98"/>
    </row>
    <row r="433" ht="15.75" customHeight="1">
      <c r="B433" s="98"/>
    </row>
    <row r="434" ht="15.75" customHeight="1">
      <c r="B434" s="98"/>
    </row>
    <row r="435" ht="15.75" customHeight="1">
      <c r="B435" s="98"/>
    </row>
    <row r="436" ht="15.75" customHeight="1">
      <c r="B436" s="98"/>
    </row>
    <row r="437" ht="15.75" customHeight="1">
      <c r="B437" s="98"/>
    </row>
    <row r="438" ht="15.75" customHeight="1">
      <c r="B438" s="98"/>
    </row>
    <row r="439" ht="15.75" customHeight="1">
      <c r="B439" s="98"/>
    </row>
    <row r="440" ht="15.75" customHeight="1">
      <c r="B440" s="98"/>
    </row>
    <row r="441" ht="15.75" customHeight="1">
      <c r="B441" s="98"/>
    </row>
    <row r="442" ht="15.75" customHeight="1">
      <c r="B442" s="98"/>
    </row>
    <row r="443" ht="15.75" customHeight="1">
      <c r="B443" s="98"/>
    </row>
    <row r="444" ht="15.75" customHeight="1">
      <c r="B444" s="98"/>
    </row>
    <row r="445" ht="15.75" customHeight="1">
      <c r="B445" s="98"/>
    </row>
    <row r="446" ht="15.75" customHeight="1">
      <c r="B446" s="98"/>
    </row>
    <row r="447" ht="15.75" customHeight="1">
      <c r="B447" s="98"/>
    </row>
    <row r="448" ht="15.75" customHeight="1">
      <c r="B448" s="98"/>
    </row>
    <row r="449" ht="15.75" customHeight="1">
      <c r="B449" s="98"/>
    </row>
    <row r="450" ht="15.75" customHeight="1">
      <c r="B450" s="98"/>
    </row>
    <row r="451" ht="15.75" customHeight="1">
      <c r="B451" s="98"/>
    </row>
    <row r="452" ht="15.75" customHeight="1">
      <c r="B452" s="98"/>
    </row>
    <row r="453" ht="15.75" customHeight="1">
      <c r="B453" s="98"/>
    </row>
    <row r="454" ht="15.75" customHeight="1">
      <c r="B454" s="98"/>
    </row>
    <row r="455" ht="15.75" customHeight="1">
      <c r="B455" s="98"/>
    </row>
    <row r="456" ht="15.75" customHeight="1">
      <c r="B456" s="98"/>
    </row>
    <row r="457" ht="15.75" customHeight="1">
      <c r="B457" s="98"/>
    </row>
    <row r="458" ht="15.75" customHeight="1">
      <c r="B458" s="98"/>
    </row>
    <row r="459" ht="15.75" customHeight="1">
      <c r="B459" s="98"/>
    </row>
    <row r="460" ht="15.75" customHeight="1">
      <c r="B460" s="98"/>
    </row>
    <row r="461" ht="15.75" customHeight="1">
      <c r="B461" s="98"/>
    </row>
    <row r="462" ht="15.75" customHeight="1">
      <c r="B462" s="98"/>
    </row>
    <row r="463" ht="15.75" customHeight="1">
      <c r="B463" s="98"/>
    </row>
    <row r="464" ht="15.75" customHeight="1">
      <c r="B464" s="98"/>
    </row>
    <row r="465" ht="15.75" customHeight="1">
      <c r="B465" s="98"/>
    </row>
    <row r="466" ht="15.75" customHeight="1">
      <c r="B466" s="98"/>
    </row>
    <row r="467" ht="15.75" customHeight="1">
      <c r="B467" s="98"/>
    </row>
    <row r="468" ht="15.75" customHeight="1">
      <c r="B468" s="98"/>
    </row>
    <row r="469" ht="15.75" customHeight="1">
      <c r="B469" s="98"/>
    </row>
    <row r="470" ht="15.75" customHeight="1">
      <c r="B470" s="98"/>
    </row>
    <row r="471" ht="15.75" customHeight="1">
      <c r="B471" s="98"/>
    </row>
    <row r="472" ht="15.75" customHeight="1">
      <c r="B472" s="98"/>
    </row>
    <row r="473" ht="15.75" customHeight="1">
      <c r="B473" s="98"/>
    </row>
    <row r="474" ht="15.75" customHeight="1">
      <c r="B474" s="98"/>
    </row>
    <row r="475" ht="15.75" customHeight="1">
      <c r="B475" s="98"/>
    </row>
    <row r="476" ht="15.75" customHeight="1">
      <c r="B476" s="98"/>
    </row>
    <row r="477" ht="15.75" customHeight="1">
      <c r="B477" s="98"/>
    </row>
    <row r="478" ht="15.75" customHeight="1">
      <c r="B478" s="98"/>
    </row>
    <row r="479" ht="15.75" customHeight="1">
      <c r="B479" s="98"/>
    </row>
    <row r="480" ht="15.75" customHeight="1">
      <c r="B480" s="98"/>
    </row>
    <row r="481" ht="15.75" customHeight="1">
      <c r="B481" s="98"/>
    </row>
    <row r="482" ht="15.75" customHeight="1">
      <c r="B482" s="98"/>
    </row>
    <row r="483" ht="15.75" customHeight="1">
      <c r="B483" s="98"/>
    </row>
    <row r="484" ht="15.75" customHeight="1">
      <c r="B484" s="98"/>
    </row>
    <row r="485" ht="15.75" customHeight="1">
      <c r="B485" s="98"/>
    </row>
    <row r="486" ht="15.75" customHeight="1">
      <c r="B486" s="98"/>
    </row>
    <row r="487" ht="15.75" customHeight="1">
      <c r="B487" s="98"/>
    </row>
    <row r="488" ht="15.75" customHeight="1">
      <c r="B488" s="98"/>
    </row>
    <row r="489" ht="15.75" customHeight="1">
      <c r="B489" s="98"/>
    </row>
    <row r="490" ht="15.75" customHeight="1">
      <c r="B490" s="98"/>
    </row>
    <row r="491" ht="15.75" customHeight="1">
      <c r="B491" s="98"/>
    </row>
    <row r="492" ht="15.75" customHeight="1">
      <c r="B492" s="98"/>
    </row>
    <row r="493" ht="15.75" customHeight="1">
      <c r="B493" s="98"/>
    </row>
    <row r="494" ht="15.75" customHeight="1">
      <c r="B494" s="98"/>
    </row>
    <row r="495" ht="15.75" customHeight="1">
      <c r="B495" s="98"/>
    </row>
    <row r="496" ht="15.75" customHeight="1">
      <c r="B496" s="98"/>
    </row>
    <row r="497" ht="15.75" customHeight="1">
      <c r="B497" s="98"/>
    </row>
    <row r="498" ht="15.75" customHeight="1">
      <c r="B498" s="98"/>
    </row>
    <row r="499" ht="15.75" customHeight="1">
      <c r="B499" s="98"/>
    </row>
    <row r="500" ht="15.75" customHeight="1">
      <c r="B500" s="98"/>
    </row>
    <row r="501" ht="15.75" customHeight="1">
      <c r="B501" s="98"/>
    </row>
    <row r="502" ht="15.75" customHeight="1">
      <c r="B502" s="98"/>
    </row>
    <row r="503" ht="15.75" customHeight="1">
      <c r="B503" s="98"/>
    </row>
    <row r="504" ht="15.75" customHeight="1">
      <c r="B504" s="98"/>
    </row>
    <row r="505" ht="15.75" customHeight="1">
      <c r="B505" s="98"/>
    </row>
    <row r="506" ht="15.75" customHeight="1">
      <c r="B506" s="98"/>
    </row>
    <row r="507" ht="15.75" customHeight="1">
      <c r="B507" s="98"/>
    </row>
    <row r="508" ht="15.75" customHeight="1">
      <c r="B508" s="98"/>
    </row>
    <row r="509" ht="15.75" customHeight="1">
      <c r="B509" s="98"/>
    </row>
    <row r="510" ht="15.75" customHeight="1">
      <c r="B510" s="98"/>
    </row>
    <row r="511" ht="15.75" customHeight="1">
      <c r="B511" s="98"/>
    </row>
    <row r="512" ht="15.75" customHeight="1">
      <c r="B512" s="98"/>
    </row>
    <row r="513" ht="15.75" customHeight="1">
      <c r="B513" s="98"/>
    </row>
    <row r="514" ht="15.75" customHeight="1">
      <c r="B514" s="98"/>
    </row>
    <row r="515" ht="15.75" customHeight="1">
      <c r="B515" s="98"/>
    </row>
    <row r="516" ht="15.75" customHeight="1">
      <c r="B516" s="98"/>
    </row>
    <row r="517" ht="15.75" customHeight="1">
      <c r="B517" s="98"/>
    </row>
    <row r="518" ht="15.75" customHeight="1">
      <c r="B518" s="98"/>
    </row>
    <row r="519" ht="15.75" customHeight="1">
      <c r="B519" s="98"/>
    </row>
    <row r="520" ht="15.75" customHeight="1">
      <c r="B520" s="98"/>
    </row>
    <row r="521" ht="15.75" customHeight="1">
      <c r="B521" s="98"/>
    </row>
    <row r="522" ht="15.75" customHeight="1">
      <c r="B522" s="98"/>
    </row>
    <row r="523" ht="15.75" customHeight="1">
      <c r="B523" s="98"/>
    </row>
    <row r="524" ht="15.75" customHeight="1">
      <c r="B524" s="98"/>
    </row>
    <row r="525" ht="15.75" customHeight="1">
      <c r="B525" s="98"/>
    </row>
    <row r="526" ht="15.75" customHeight="1">
      <c r="B526" s="98"/>
    </row>
    <row r="527" ht="15.75" customHeight="1">
      <c r="B527" s="98"/>
    </row>
    <row r="528" ht="15.75" customHeight="1">
      <c r="B528" s="98"/>
    </row>
    <row r="529" ht="15.75" customHeight="1">
      <c r="B529" s="98"/>
    </row>
    <row r="530" ht="15.75" customHeight="1">
      <c r="B530" s="98"/>
    </row>
    <row r="531" ht="15.75" customHeight="1">
      <c r="B531" s="98"/>
    </row>
    <row r="532" ht="15.75" customHeight="1">
      <c r="B532" s="98"/>
    </row>
    <row r="533" ht="15.75" customHeight="1">
      <c r="B533" s="98"/>
    </row>
    <row r="534" ht="15.75" customHeight="1">
      <c r="B534" s="98"/>
    </row>
    <row r="535" ht="15.75" customHeight="1">
      <c r="B535" s="98"/>
    </row>
    <row r="536" ht="15.75" customHeight="1">
      <c r="B536" s="98"/>
    </row>
    <row r="537" ht="15.75" customHeight="1">
      <c r="B537" s="98"/>
    </row>
    <row r="538" ht="15.75" customHeight="1">
      <c r="B538" s="98"/>
    </row>
    <row r="539" ht="15.75" customHeight="1">
      <c r="B539" s="98"/>
    </row>
    <row r="540" ht="15.75" customHeight="1">
      <c r="B540" s="98"/>
    </row>
    <row r="541" ht="15.75" customHeight="1">
      <c r="B541" s="98"/>
    </row>
    <row r="542" ht="15.75" customHeight="1">
      <c r="B542" s="98"/>
    </row>
    <row r="543" ht="15.75" customHeight="1">
      <c r="B543" s="98"/>
    </row>
    <row r="544" ht="15.75" customHeight="1">
      <c r="B544" s="98"/>
    </row>
    <row r="545" ht="15.75" customHeight="1">
      <c r="B545" s="98"/>
    </row>
    <row r="546" ht="15.75" customHeight="1">
      <c r="B546" s="98"/>
    </row>
    <row r="547" ht="15.75" customHeight="1">
      <c r="B547" s="98"/>
    </row>
    <row r="548" ht="15.75" customHeight="1">
      <c r="B548" s="98"/>
    </row>
    <row r="549" ht="15.75" customHeight="1">
      <c r="B549" s="98"/>
    </row>
    <row r="550" ht="15.75" customHeight="1">
      <c r="B550" s="98"/>
    </row>
    <row r="551" ht="15.75" customHeight="1">
      <c r="B551" s="98"/>
    </row>
    <row r="552" ht="15.75" customHeight="1">
      <c r="B552" s="98"/>
    </row>
    <row r="553" ht="15.75" customHeight="1">
      <c r="B553" s="98"/>
    </row>
    <row r="554" ht="15.75" customHeight="1">
      <c r="B554" s="98"/>
    </row>
    <row r="555" ht="15.75" customHeight="1">
      <c r="B555" s="98"/>
    </row>
    <row r="556" ht="15.75" customHeight="1">
      <c r="B556" s="98"/>
    </row>
    <row r="557" ht="15.75" customHeight="1">
      <c r="B557" s="98"/>
    </row>
    <row r="558" ht="15.75" customHeight="1">
      <c r="B558" s="98"/>
    </row>
    <row r="559" ht="15.75" customHeight="1">
      <c r="B559" s="98"/>
    </row>
    <row r="560" ht="15.75" customHeight="1">
      <c r="B560" s="98"/>
    </row>
    <row r="561" ht="15.75" customHeight="1">
      <c r="B561" s="98"/>
    </row>
    <row r="562" ht="15.75" customHeight="1">
      <c r="B562" s="98"/>
    </row>
    <row r="563" ht="15.75" customHeight="1">
      <c r="B563" s="98"/>
    </row>
    <row r="564" ht="15.75" customHeight="1">
      <c r="B564" s="98"/>
    </row>
    <row r="565" ht="15.75" customHeight="1">
      <c r="B565" s="98"/>
    </row>
    <row r="566" ht="15.75" customHeight="1">
      <c r="B566" s="98"/>
    </row>
    <row r="567" ht="15.75" customHeight="1">
      <c r="B567" s="98"/>
    </row>
    <row r="568" ht="15.75" customHeight="1">
      <c r="B568" s="98"/>
    </row>
    <row r="569" ht="15.75" customHeight="1">
      <c r="B569" s="98"/>
    </row>
    <row r="570" ht="15.75" customHeight="1">
      <c r="B570" s="98"/>
    </row>
    <row r="571" ht="15.75" customHeight="1">
      <c r="B571" s="98"/>
    </row>
    <row r="572" ht="15.75" customHeight="1">
      <c r="B572" s="98"/>
    </row>
    <row r="573" ht="15.75" customHeight="1">
      <c r="B573" s="98"/>
    </row>
    <row r="574" ht="15.75" customHeight="1">
      <c r="B574" s="98"/>
    </row>
    <row r="575" ht="15.75" customHeight="1">
      <c r="B575" s="98"/>
    </row>
    <row r="576" ht="15.75" customHeight="1">
      <c r="B576" s="98"/>
    </row>
    <row r="577" ht="15.75" customHeight="1">
      <c r="B577" s="98"/>
    </row>
    <row r="578" ht="15.75" customHeight="1">
      <c r="B578" s="98"/>
    </row>
    <row r="579" ht="15.75" customHeight="1">
      <c r="B579" s="98"/>
    </row>
    <row r="580" ht="15.75" customHeight="1">
      <c r="B580" s="98"/>
    </row>
    <row r="581" ht="15.75" customHeight="1">
      <c r="B581" s="98"/>
    </row>
    <row r="582" ht="15.75" customHeight="1">
      <c r="B582" s="98"/>
    </row>
    <row r="583" ht="15.75" customHeight="1">
      <c r="B583" s="98"/>
    </row>
    <row r="584" ht="15.75" customHeight="1">
      <c r="B584" s="98"/>
    </row>
    <row r="585" ht="15.75" customHeight="1">
      <c r="B585" s="98"/>
    </row>
    <row r="586" ht="15.75" customHeight="1">
      <c r="B586" s="98"/>
    </row>
    <row r="587" ht="15.75" customHeight="1">
      <c r="B587" s="98"/>
    </row>
    <row r="588" ht="15.75" customHeight="1">
      <c r="B588" s="98"/>
    </row>
    <row r="589" ht="15.75" customHeight="1">
      <c r="B589" s="98"/>
    </row>
    <row r="590" ht="15.75" customHeight="1">
      <c r="B590" s="98"/>
    </row>
    <row r="591" ht="15.75" customHeight="1">
      <c r="B591" s="98"/>
    </row>
    <row r="592" ht="15.75" customHeight="1">
      <c r="B592" s="98"/>
    </row>
    <row r="593" ht="15.75" customHeight="1">
      <c r="B593" s="98"/>
    </row>
    <row r="594" ht="15.75" customHeight="1">
      <c r="B594" s="98"/>
    </row>
    <row r="595" ht="15.75" customHeight="1">
      <c r="B595" s="98"/>
    </row>
    <row r="596" ht="15.75" customHeight="1">
      <c r="B596" s="98"/>
    </row>
    <row r="597" ht="15.75" customHeight="1">
      <c r="B597" s="98"/>
    </row>
    <row r="598" ht="15.75" customHeight="1">
      <c r="B598" s="98"/>
    </row>
    <row r="599" ht="15.75" customHeight="1">
      <c r="B599" s="98"/>
    </row>
    <row r="600" ht="15.75" customHeight="1">
      <c r="B600" s="98"/>
    </row>
    <row r="601" ht="15.75" customHeight="1">
      <c r="B601" s="98"/>
    </row>
    <row r="602" ht="15.75" customHeight="1">
      <c r="B602" s="98"/>
    </row>
    <row r="603" ht="15.75" customHeight="1">
      <c r="B603" s="98"/>
    </row>
    <row r="604" ht="15.75" customHeight="1">
      <c r="B604" s="98"/>
    </row>
    <row r="605" ht="15.75" customHeight="1">
      <c r="B605" s="98"/>
    </row>
    <row r="606" ht="15.75" customHeight="1">
      <c r="B606" s="98"/>
    </row>
    <row r="607" ht="15.75" customHeight="1">
      <c r="B607" s="98"/>
    </row>
    <row r="608" ht="15.75" customHeight="1">
      <c r="B608" s="98"/>
    </row>
    <row r="609" ht="15.75" customHeight="1">
      <c r="B609" s="98"/>
    </row>
    <row r="610" ht="15.75" customHeight="1">
      <c r="B610" s="98"/>
    </row>
    <row r="611" ht="15.75" customHeight="1">
      <c r="B611" s="98"/>
    </row>
    <row r="612" ht="15.75" customHeight="1">
      <c r="B612" s="98"/>
    </row>
    <row r="613" ht="15.75" customHeight="1">
      <c r="B613" s="98"/>
    </row>
    <row r="614" ht="15.75" customHeight="1">
      <c r="B614" s="98"/>
    </row>
    <row r="615" ht="15.75" customHeight="1">
      <c r="B615" s="98"/>
    </row>
    <row r="616" ht="15.75" customHeight="1">
      <c r="B616" s="98"/>
    </row>
    <row r="617" ht="15.75" customHeight="1">
      <c r="B617" s="98"/>
    </row>
    <row r="618" ht="15.75" customHeight="1">
      <c r="B618" s="98"/>
    </row>
    <row r="619" ht="15.75" customHeight="1">
      <c r="B619" s="98"/>
    </row>
    <row r="620" ht="15.75" customHeight="1">
      <c r="B620" s="98"/>
    </row>
    <row r="621" ht="15.75" customHeight="1">
      <c r="B621" s="98"/>
    </row>
    <row r="622" ht="15.75" customHeight="1">
      <c r="B622" s="98"/>
    </row>
    <row r="623" ht="15.75" customHeight="1">
      <c r="B623" s="98"/>
    </row>
    <row r="624" ht="15.75" customHeight="1">
      <c r="B624" s="98"/>
    </row>
    <row r="625" ht="15.75" customHeight="1">
      <c r="B625" s="98"/>
    </row>
    <row r="626" ht="15.75" customHeight="1">
      <c r="B626" s="98"/>
    </row>
    <row r="627" ht="15.75" customHeight="1">
      <c r="B627" s="98"/>
    </row>
    <row r="628" ht="15.75" customHeight="1">
      <c r="B628" s="98"/>
    </row>
    <row r="629" ht="15.75" customHeight="1">
      <c r="B629" s="98"/>
    </row>
    <row r="630" ht="15.75" customHeight="1">
      <c r="B630" s="98"/>
    </row>
    <row r="631" ht="15.75" customHeight="1">
      <c r="B631" s="98"/>
    </row>
    <row r="632" ht="15.75" customHeight="1">
      <c r="B632" s="98"/>
    </row>
    <row r="633" ht="15.75" customHeight="1">
      <c r="B633" s="98"/>
    </row>
    <row r="634" ht="15.75" customHeight="1">
      <c r="B634" s="98"/>
    </row>
    <row r="635" ht="15.75" customHeight="1">
      <c r="B635" s="98"/>
    </row>
    <row r="636" ht="15.75" customHeight="1">
      <c r="B636" s="98"/>
    </row>
    <row r="637" ht="15.75" customHeight="1">
      <c r="B637" s="98"/>
    </row>
    <row r="638" ht="15.75" customHeight="1">
      <c r="B638" s="98"/>
    </row>
    <row r="639" ht="15.75" customHeight="1">
      <c r="B639" s="98"/>
    </row>
    <row r="640" ht="15.75" customHeight="1">
      <c r="B640" s="98"/>
    </row>
    <row r="641" ht="15.75" customHeight="1">
      <c r="B641" s="98"/>
    </row>
    <row r="642" ht="15.75" customHeight="1">
      <c r="B642" s="98"/>
    </row>
    <row r="643" ht="15.75" customHeight="1">
      <c r="B643" s="98"/>
    </row>
    <row r="644" ht="15.75" customHeight="1">
      <c r="B644" s="98"/>
    </row>
    <row r="645" ht="15.75" customHeight="1">
      <c r="B645" s="98"/>
    </row>
    <row r="646" ht="15.75" customHeight="1">
      <c r="B646" s="98"/>
    </row>
    <row r="647" ht="15.75" customHeight="1">
      <c r="B647" s="98"/>
    </row>
    <row r="648" ht="15.75" customHeight="1">
      <c r="B648" s="98"/>
    </row>
    <row r="649" ht="15.75" customHeight="1">
      <c r="B649" s="98"/>
    </row>
    <row r="650" ht="15.75" customHeight="1">
      <c r="B650" s="98"/>
    </row>
    <row r="651" ht="15.75" customHeight="1">
      <c r="B651" s="98"/>
    </row>
    <row r="652" ht="15.75" customHeight="1">
      <c r="B652" s="98"/>
    </row>
    <row r="653" ht="15.75" customHeight="1">
      <c r="B653" s="98"/>
    </row>
    <row r="654" ht="15.75" customHeight="1">
      <c r="B654" s="98"/>
    </row>
    <row r="655" ht="15.75" customHeight="1">
      <c r="B655" s="98"/>
    </row>
    <row r="656" ht="15.75" customHeight="1">
      <c r="B656" s="98"/>
    </row>
    <row r="657" ht="15.75" customHeight="1">
      <c r="B657" s="98"/>
    </row>
    <row r="658" ht="15.75" customHeight="1">
      <c r="B658" s="98"/>
    </row>
    <row r="659" ht="15.75" customHeight="1">
      <c r="B659" s="98"/>
    </row>
    <row r="660" ht="15.75" customHeight="1">
      <c r="B660" s="98"/>
    </row>
    <row r="661" ht="15.75" customHeight="1">
      <c r="B661" s="98"/>
    </row>
    <row r="662" ht="15.75" customHeight="1">
      <c r="B662" s="98"/>
    </row>
    <row r="663" ht="15.75" customHeight="1">
      <c r="B663" s="98"/>
    </row>
    <row r="664" ht="15.75" customHeight="1">
      <c r="B664" s="98"/>
    </row>
    <row r="665" ht="15.75" customHeight="1">
      <c r="B665" s="98"/>
    </row>
    <row r="666" ht="15.75" customHeight="1">
      <c r="B666" s="98"/>
    </row>
    <row r="667" ht="15.75" customHeight="1">
      <c r="B667" s="98"/>
    </row>
    <row r="668" ht="15.75" customHeight="1">
      <c r="B668" s="98"/>
    </row>
    <row r="669" ht="15.75" customHeight="1">
      <c r="B669" s="98"/>
    </row>
    <row r="670" ht="15.75" customHeight="1">
      <c r="B670" s="98"/>
    </row>
    <row r="671" ht="15.75" customHeight="1">
      <c r="B671" s="98"/>
    </row>
    <row r="672" ht="15.75" customHeight="1">
      <c r="B672" s="98"/>
    </row>
    <row r="673" ht="15.75" customHeight="1">
      <c r="B673" s="98"/>
    </row>
    <row r="674" ht="15.75" customHeight="1">
      <c r="B674" s="98"/>
    </row>
    <row r="675" ht="15.75" customHeight="1">
      <c r="B675" s="98"/>
    </row>
    <row r="676" ht="15.75" customHeight="1">
      <c r="B676" s="98"/>
    </row>
    <row r="677" ht="15.75" customHeight="1">
      <c r="B677" s="98"/>
    </row>
    <row r="678" ht="15.75" customHeight="1">
      <c r="B678" s="98"/>
    </row>
    <row r="679" ht="15.75" customHeight="1">
      <c r="B679" s="98"/>
    </row>
    <row r="680" ht="15.75" customHeight="1">
      <c r="B680" s="98"/>
    </row>
    <row r="681" ht="15.75" customHeight="1">
      <c r="B681" s="98"/>
    </row>
    <row r="682" ht="15.75" customHeight="1">
      <c r="B682" s="98"/>
    </row>
    <row r="683" ht="15.75" customHeight="1">
      <c r="B683" s="98"/>
    </row>
    <row r="684" ht="15.75" customHeight="1">
      <c r="B684" s="98"/>
    </row>
    <row r="685" ht="15.75" customHeight="1">
      <c r="B685" s="98"/>
    </row>
    <row r="686" ht="15.75" customHeight="1">
      <c r="B686" s="98"/>
    </row>
    <row r="687" ht="15.75" customHeight="1">
      <c r="B687" s="98"/>
    </row>
    <row r="688" ht="15.75" customHeight="1">
      <c r="B688" s="98"/>
    </row>
    <row r="689" ht="15.75" customHeight="1">
      <c r="B689" s="98"/>
    </row>
    <row r="690" ht="15.75" customHeight="1">
      <c r="B690" s="98"/>
    </row>
    <row r="691" ht="15.75" customHeight="1">
      <c r="B691" s="98"/>
    </row>
    <row r="692" ht="15.75" customHeight="1">
      <c r="B692" s="98"/>
    </row>
    <row r="693" ht="15.75" customHeight="1">
      <c r="B693" s="98"/>
    </row>
    <row r="694" ht="15.75" customHeight="1">
      <c r="B694" s="98"/>
    </row>
    <row r="695" ht="15.75" customHeight="1">
      <c r="B695" s="98"/>
    </row>
    <row r="696" ht="15.75" customHeight="1">
      <c r="B696" s="98"/>
    </row>
    <row r="697" ht="15.75" customHeight="1">
      <c r="B697" s="98"/>
    </row>
    <row r="698" ht="15.75" customHeight="1">
      <c r="B698" s="98"/>
    </row>
    <row r="699" ht="15.75" customHeight="1">
      <c r="B699" s="98"/>
    </row>
    <row r="700" ht="15.75" customHeight="1">
      <c r="B700" s="98"/>
    </row>
    <row r="701" ht="15.75" customHeight="1">
      <c r="B701" s="98"/>
    </row>
    <row r="702" ht="15.75" customHeight="1">
      <c r="B702" s="98"/>
    </row>
    <row r="703" ht="15.75" customHeight="1">
      <c r="B703" s="98"/>
    </row>
    <row r="704" ht="15.75" customHeight="1">
      <c r="B704" s="98"/>
    </row>
    <row r="705" ht="15.75" customHeight="1">
      <c r="B705" s="98"/>
    </row>
    <row r="706" ht="15.75" customHeight="1">
      <c r="B706" s="98"/>
    </row>
    <row r="707" ht="15.75" customHeight="1">
      <c r="B707" s="98"/>
    </row>
    <row r="708" ht="15.75" customHeight="1">
      <c r="B708" s="98"/>
    </row>
    <row r="709" ht="15.75" customHeight="1">
      <c r="B709" s="98"/>
    </row>
    <row r="710" ht="15.75" customHeight="1">
      <c r="B710" s="98"/>
    </row>
    <row r="711" ht="15.75" customHeight="1">
      <c r="B711" s="98"/>
    </row>
    <row r="712" ht="15.75" customHeight="1">
      <c r="B712" s="98"/>
    </row>
    <row r="713" ht="15.75" customHeight="1">
      <c r="B713" s="98"/>
    </row>
    <row r="714" ht="15.75" customHeight="1">
      <c r="B714" s="98"/>
    </row>
    <row r="715" ht="15.75" customHeight="1">
      <c r="B715" s="98"/>
    </row>
    <row r="716" ht="15.75" customHeight="1">
      <c r="B716" s="98"/>
    </row>
    <row r="717" ht="15.75" customHeight="1">
      <c r="B717" s="98"/>
    </row>
    <row r="718" ht="15.75" customHeight="1">
      <c r="B718" s="98"/>
    </row>
    <row r="719" ht="15.75" customHeight="1">
      <c r="B719" s="98"/>
    </row>
    <row r="720" ht="15.75" customHeight="1">
      <c r="B720" s="98"/>
    </row>
    <row r="721" ht="15.75" customHeight="1">
      <c r="B721" s="98"/>
    </row>
    <row r="722" ht="15.75" customHeight="1">
      <c r="B722" s="98"/>
    </row>
    <row r="723" ht="15.75" customHeight="1">
      <c r="B723" s="98"/>
    </row>
    <row r="724" ht="15.75" customHeight="1">
      <c r="B724" s="98"/>
    </row>
    <row r="725" ht="15.75" customHeight="1">
      <c r="B725" s="98"/>
    </row>
    <row r="726" ht="15.75" customHeight="1">
      <c r="B726" s="98"/>
    </row>
    <row r="727" ht="15.75" customHeight="1">
      <c r="B727" s="98"/>
    </row>
    <row r="728" ht="15.75" customHeight="1">
      <c r="B728" s="98"/>
    </row>
    <row r="729" ht="15.75" customHeight="1">
      <c r="B729" s="98"/>
    </row>
    <row r="730" ht="15.75" customHeight="1">
      <c r="B730" s="98"/>
    </row>
    <row r="731" ht="15.75" customHeight="1">
      <c r="B731" s="98"/>
    </row>
    <row r="732" ht="15.75" customHeight="1">
      <c r="B732" s="98"/>
    </row>
    <row r="733" ht="15.75" customHeight="1">
      <c r="B733" s="98"/>
    </row>
    <row r="734" ht="15.75" customHeight="1">
      <c r="B734" s="98"/>
    </row>
    <row r="735" ht="15.75" customHeight="1">
      <c r="B735" s="98"/>
    </row>
    <row r="736" ht="15.75" customHeight="1">
      <c r="B736" s="98"/>
    </row>
    <row r="737" ht="15.75" customHeight="1">
      <c r="B737" s="98"/>
    </row>
    <row r="738" ht="15.75" customHeight="1">
      <c r="B738" s="98"/>
    </row>
    <row r="739" ht="15.75" customHeight="1">
      <c r="B739" s="98"/>
    </row>
    <row r="740" ht="15.75" customHeight="1">
      <c r="B740" s="98"/>
    </row>
    <row r="741" ht="15.75" customHeight="1">
      <c r="B741" s="98"/>
    </row>
    <row r="742" ht="15.75" customHeight="1">
      <c r="B742" s="98"/>
    </row>
    <row r="743" ht="15.75" customHeight="1">
      <c r="B743" s="98"/>
    </row>
    <row r="744" ht="15.75" customHeight="1">
      <c r="B744" s="98"/>
    </row>
    <row r="745" ht="15.75" customHeight="1">
      <c r="B745" s="98"/>
    </row>
    <row r="746" ht="15.75" customHeight="1">
      <c r="B746" s="98"/>
    </row>
    <row r="747" ht="15.75" customHeight="1">
      <c r="B747" s="98"/>
    </row>
    <row r="748" ht="15.75" customHeight="1">
      <c r="B748" s="98"/>
    </row>
    <row r="749" ht="15.75" customHeight="1">
      <c r="B749" s="98"/>
    </row>
    <row r="750" ht="15.75" customHeight="1">
      <c r="B750" s="98"/>
    </row>
    <row r="751" ht="15.75" customHeight="1">
      <c r="B751" s="98"/>
    </row>
    <row r="752" ht="15.75" customHeight="1">
      <c r="B752" s="98"/>
    </row>
    <row r="753" ht="15.75" customHeight="1">
      <c r="B753" s="98"/>
    </row>
    <row r="754" ht="15.75" customHeight="1">
      <c r="B754" s="98"/>
    </row>
    <row r="755" ht="15.75" customHeight="1">
      <c r="B755" s="98"/>
    </row>
    <row r="756" ht="15.75" customHeight="1">
      <c r="B756" s="98"/>
    </row>
    <row r="757" ht="15.75" customHeight="1">
      <c r="B757" s="98"/>
    </row>
    <row r="758" ht="15.75" customHeight="1">
      <c r="B758" s="98"/>
    </row>
    <row r="759" ht="15.75" customHeight="1">
      <c r="B759" s="98"/>
    </row>
    <row r="760" ht="15.75" customHeight="1">
      <c r="B760" s="98"/>
    </row>
    <row r="761" ht="15.75" customHeight="1">
      <c r="B761" s="98"/>
    </row>
    <row r="762" ht="15.75" customHeight="1">
      <c r="B762" s="98"/>
    </row>
    <row r="763" ht="15.75" customHeight="1">
      <c r="B763" s="98"/>
    </row>
    <row r="764" ht="15.75" customHeight="1">
      <c r="B764" s="98"/>
    </row>
    <row r="765" ht="15.75" customHeight="1">
      <c r="B765" s="98"/>
    </row>
    <row r="766" ht="15.75" customHeight="1">
      <c r="B766" s="98"/>
    </row>
    <row r="767" ht="15.75" customHeight="1">
      <c r="B767" s="98"/>
    </row>
    <row r="768" ht="15.75" customHeight="1">
      <c r="B768" s="98"/>
    </row>
    <row r="769" ht="15.75" customHeight="1">
      <c r="B769" s="98"/>
    </row>
    <row r="770" ht="15.75" customHeight="1">
      <c r="B770" s="98"/>
    </row>
    <row r="771" ht="15.75" customHeight="1">
      <c r="B771" s="98"/>
    </row>
    <row r="772" ht="15.75" customHeight="1">
      <c r="B772" s="98"/>
    </row>
    <row r="773" ht="15.75" customHeight="1">
      <c r="B773" s="98"/>
    </row>
    <row r="774" ht="15.75" customHeight="1">
      <c r="B774" s="98"/>
    </row>
    <row r="775" ht="15.75" customHeight="1">
      <c r="B775" s="98"/>
    </row>
    <row r="776" ht="15.75" customHeight="1">
      <c r="B776" s="98"/>
    </row>
    <row r="777" ht="15.75" customHeight="1">
      <c r="B777" s="98"/>
    </row>
    <row r="778" ht="15.75" customHeight="1">
      <c r="B778" s="98"/>
    </row>
    <row r="779" ht="15.75" customHeight="1">
      <c r="B779" s="98"/>
    </row>
    <row r="780" ht="15.75" customHeight="1">
      <c r="B780" s="98"/>
    </row>
    <row r="781" ht="15.75" customHeight="1">
      <c r="B781" s="98"/>
    </row>
    <row r="782" ht="15.75" customHeight="1">
      <c r="B782" s="98"/>
    </row>
    <row r="783" ht="15.75" customHeight="1">
      <c r="B783" s="98"/>
    </row>
    <row r="784" ht="15.75" customHeight="1">
      <c r="B784" s="98"/>
    </row>
    <row r="785" ht="15.75" customHeight="1">
      <c r="B785" s="98"/>
    </row>
    <row r="786" ht="15.75" customHeight="1">
      <c r="B786" s="98"/>
    </row>
    <row r="787" ht="15.75" customHeight="1">
      <c r="B787" s="98"/>
    </row>
    <row r="788" ht="15.75" customHeight="1">
      <c r="B788" s="98"/>
    </row>
    <row r="789" ht="15.75" customHeight="1">
      <c r="B789" s="98"/>
    </row>
    <row r="790" ht="15.75" customHeight="1">
      <c r="B790" s="98"/>
    </row>
    <row r="791" ht="15.75" customHeight="1">
      <c r="B791" s="98"/>
    </row>
    <row r="792" ht="15.75" customHeight="1">
      <c r="B792" s="98"/>
    </row>
    <row r="793" ht="15.75" customHeight="1">
      <c r="B793" s="98"/>
    </row>
    <row r="794" ht="15.75" customHeight="1">
      <c r="B794" s="98"/>
    </row>
    <row r="795" ht="15.75" customHeight="1">
      <c r="B795" s="98"/>
    </row>
    <row r="796" ht="15.75" customHeight="1">
      <c r="B796" s="98"/>
    </row>
    <row r="797" ht="15.75" customHeight="1">
      <c r="B797" s="98"/>
    </row>
    <row r="798" ht="15.75" customHeight="1">
      <c r="B798" s="98"/>
    </row>
    <row r="799" ht="15.75" customHeight="1">
      <c r="B799" s="98"/>
    </row>
    <row r="800" ht="15.75" customHeight="1">
      <c r="B800" s="98"/>
    </row>
    <row r="801" ht="15.75" customHeight="1">
      <c r="B801" s="98"/>
    </row>
    <row r="802" ht="15.75" customHeight="1">
      <c r="B802" s="98"/>
    </row>
    <row r="803" ht="15.75" customHeight="1">
      <c r="B803" s="98"/>
    </row>
    <row r="804" ht="15.75" customHeight="1">
      <c r="B804" s="98"/>
    </row>
    <row r="805" ht="15.75" customHeight="1">
      <c r="B805" s="98"/>
    </row>
    <row r="806" ht="15.75" customHeight="1">
      <c r="B806" s="98"/>
    </row>
    <row r="807" ht="15.75" customHeight="1">
      <c r="B807" s="98"/>
    </row>
    <row r="808" ht="15.75" customHeight="1">
      <c r="B808" s="98"/>
    </row>
    <row r="809" ht="15.75" customHeight="1">
      <c r="B809" s="98"/>
    </row>
    <row r="810" ht="15.75" customHeight="1">
      <c r="B810" s="98"/>
    </row>
    <row r="811" ht="15.75" customHeight="1">
      <c r="B811" s="98"/>
    </row>
    <row r="812" ht="15.75" customHeight="1">
      <c r="B812" s="98"/>
    </row>
    <row r="813" ht="15.75" customHeight="1">
      <c r="B813" s="98"/>
    </row>
    <row r="814" ht="15.75" customHeight="1">
      <c r="B814" s="98"/>
    </row>
    <row r="815" ht="15.75" customHeight="1">
      <c r="B815" s="98"/>
    </row>
    <row r="816" ht="15.75" customHeight="1">
      <c r="B816" s="98"/>
    </row>
    <row r="817" ht="15.75" customHeight="1">
      <c r="B817" s="98"/>
    </row>
    <row r="818" ht="15.75" customHeight="1">
      <c r="B818" s="98"/>
    </row>
    <row r="819" ht="15.75" customHeight="1">
      <c r="B819" s="98"/>
    </row>
    <row r="820" ht="15.75" customHeight="1">
      <c r="B820" s="98"/>
    </row>
    <row r="821" ht="15.75" customHeight="1">
      <c r="B821" s="98"/>
    </row>
    <row r="822" ht="15.75" customHeight="1">
      <c r="B822" s="98"/>
    </row>
    <row r="823" ht="15.75" customHeight="1">
      <c r="B823" s="98"/>
    </row>
    <row r="824" ht="15.75" customHeight="1">
      <c r="B824" s="98"/>
    </row>
    <row r="825" ht="15.75" customHeight="1">
      <c r="B825" s="98"/>
    </row>
    <row r="826" ht="15.75" customHeight="1">
      <c r="B826" s="98"/>
    </row>
    <row r="827" ht="15.75" customHeight="1">
      <c r="B827" s="98"/>
    </row>
    <row r="828" ht="15.75" customHeight="1">
      <c r="B828" s="98"/>
    </row>
    <row r="829" ht="15.75" customHeight="1">
      <c r="B829" s="98"/>
    </row>
    <row r="830" ht="15.75" customHeight="1">
      <c r="B830" s="98"/>
    </row>
    <row r="831" ht="15.75" customHeight="1">
      <c r="B831" s="98"/>
    </row>
    <row r="832" ht="15.75" customHeight="1">
      <c r="B832" s="98"/>
    </row>
    <row r="833" ht="15.75" customHeight="1">
      <c r="B833" s="98"/>
    </row>
    <row r="834" ht="15.75" customHeight="1">
      <c r="B834" s="98"/>
    </row>
    <row r="835" ht="15.75" customHeight="1">
      <c r="B835" s="98"/>
    </row>
    <row r="836" ht="15.75" customHeight="1">
      <c r="B836" s="98"/>
    </row>
    <row r="837" ht="15.75" customHeight="1">
      <c r="B837" s="98"/>
    </row>
    <row r="838" ht="15.75" customHeight="1">
      <c r="B838" s="98"/>
    </row>
    <row r="839" ht="15.75" customHeight="1">
      <c r="B839" s="98"/>
    </row>
    <row r="840" ht="15.75" customHeight="1">
      <c r="B840" s="98"/>
    </row>
    <row r="841" ht="15.75" customHeight="1">
      <c r="B841" s="98"/>
    </row>
    <row r="842" ht="15.75" customHeight="1">
      <c r="B842" s="98"/>
    </row>
    <row r="843" ht="15.75" customHeight="1">
      <c r="B843" s="98"/>
    </row>
    <row r="844" ht="15.75" customHeight="1">
      <c r="B844" s="98"/>
    </row>
    <row r="845" ht="15.75" customHeight="1">
      <c r="B845" s="98"/>
    </row>
    <row r="846" ht="15.75" customHeight="1">
      <c r="B846" s="98"/>
    </row>
    <row r="847" ht="15.75" customHeight="1">
      <c r="B847" s="98"/>
    </row>
    <row r="848" ht="15.75" customHeight="1">
      <c r="B848" s="98"/>
    </row>
    <row r="849" ht="15.75" customHeight="1">
      <c r="B849" s="98"/>
    </row>
    <row r="850" ht="15.75" customHeight="1">
      <c r="B850" s="98"/>
    </row>
    <row r="851" ht="15.75" customHeight="1">
      <c r="B851" s="98"/>
    </row>
    <row r="852" ht="15.75" customHeight="1">
      <c r="B852" s="98"/>
    </row>
    <row r="853" ht="15.75" customHeight="1">
      <c r="B853" s="98"/>
    </row>
    <row r="854" ht="15.75" customHeight="1">
      <c r="B854" s="98"/>
    </row>
    <row r="855" ht="15.75" customHeight="1">
      <c r="B855" s="98"/>
    </row>
    <row r="856" ht="15.75" customHeight="1">
      <c r="B856" s="98"/>
    </row>
    <row r="857" ht="15.75" customHeight="1">
      <c r="B857" s="98"/>
    </row>
    <row r="858" ht="15.75" customHeight="1">
      <c r="B858" s="98"/>
    </row>
    <row r="859" ht="15.75" customHeight="1">
      <c r="B859" s="98"/>
    </row>
    <row r="860" ht="15.75" customHeight="1">
      <c r="B860" s="98"/>
    </row>
    <row r="861" ht="15.75" customHeight="1">
      <c r="B861" s="98"/>
    </row>
    <row r="862" ht="15.75" customHeight="1">
      <c r="B862" s="98"/>
    </row>
    <row r="863" ht="15.75" customHeight="1">
      <c r="B863" s="98"/>
    </row>
    <row r="864" ht="15.75" customHeight="1">
      <c r="B864" s="98"/>
    </row>
    <row r="865" ht="15.75" customHeight="1">
      <c r="B865" s="98"/>
    </row>
    <row r="866" ht="15.75" customHeight="1">
      <c r="B866" s="98"/>
    </row>
    <row r="867" ht="15.75" customHeight="1">
      <c r="B867" s="98"/>
    </row>
    <row r="868" ht="15.75" customHeight="1">
      <c r="B868" s="98"/>
    </row>
    <row r="869" ht="15.75" customHeight="1">
      <c r="B869" s="98"/>
    </row>
    <row r="870" ht="15.75" customHeight="1">
      <c r="B870" s="98"/>
    </row>
    <row r="871" ht="15.75" customHeight="1">
      <c r="B871" s="98"/>
    </row>
    <row r="872" ht="15.75" customHeight="1">
      <c r="B872" s="98"/>
    </row>
    <row r="873" ht="15.75" customHeight="1">
      <c r="B873" s="98"/>
    </row>
    <row r="874" ht="15.75" customHeight="1">
      <c r="B874" s="98"/>
    </row>
    <row r="875" ht="15.75" customHeight="1">
      <c r="B875" s="98"/>
    </row>
    <row r="876" ht="15.75" customHeight="1">
      <c r="B876" s="98"/>
    </row>
    <row r="877" ht="15.75" customHeight="1">
      <c r="B877" s="98"/>
    </row>
    <row r="878" ht="15.75" customHeight="1">
      <c r="B878" s="98"/>
    </row>
    <row r="879" ht="15.75" customHeight="1">
      <c r="B879" s="98"/>
    </row>
    <row r="880" ht="15.75" customHeight="1">
      <c r="B880" s="98"/>
    </row>
    <row r="881" ht="15.75" customHeight="1">
      <c r="B881" s="98"/>
    </row>
    <row r="882" ht="15.75" customHeight="1">
      <c r="B882" s="98"/>
    </row>
    <row r="883" ht="15.75" customHeight="1">
      <c r="B883" s="98"/>
    </row>
    <row r="884" ht="15.75" customHeight="1">
      <c r="B884" s="98"/>
    </row>
    <row r="885" ht="15.75" customHeight="1">
      <c r="B885" s="98"/>
    </row>
    <row r="886" ht="15.75" customHeight="1">
      <c r="B886" s="98"/>
    </row>
    <row r="887" ht="15.75" customHeight="1">
      <c r="B887" s="98"/>
    </row>
    <row r="888" ht="15.75" customHeight="1">
      <c r="B888" s="98"/>
    </row>
    <row r="889" ht="15.75" customHeight="1">
      <c r="B889" s="98"/>
    </row>
    <row r="890" ht="15.75" customHeight="1">
      <c r="B890" s="98"/>
    </row>
    <row r="891" ht="15.75" customHeight="1">
      <c r="B891" s="98"/>
    </row>
    <row r="892" ht="15.75" customHeight="1">
      <c r="B892" s="98"/>
    </row>
    <row r="893" ht="15.75" customHeight="1">
      <c r="B893" s="98"/>
    </row>
    <row r="894" ht="15.75" customHeight="1">
      <c r="B894" s="98"/>
    </row>
    <row r="895" ht="15.75" customHeight="1">
      <c r="B895" s="98"/>
    </row>
    <row r="896" ht="15.75" customHeight="1">
      <c r="B896" s="98"/>
    </row>
    <row r="897" ht="15.75" customHeight="1">
      <c r="B897" s="98"/>
    </row>
    <row r="898" ht="15.75" customHeight="1">
      <c r="B898" s="98"/>
    </row>
    <row r="899" ht="15.75" customHeight="1">
      <c r="B899" s="98"/>
    </row>
    <row r="900" ht="15.75" customHeight="1">
      <c r="B900" s="98"/>
    </row>
    <row r="901" ht="15.75" customHeight="1">
      <c r="B901" s="98"/>
    </row>
    <row r="902" ht="15.75" customHeight="1">
      <c r="B902" s="98"/>
    </row>
    <row r="903" ht="15.75" customHeight="1">
      <c r="B903" s="98"/>
    </row>
    <row r="904" ht="15.75" customHeight="1">
      <c r="B904" s="98"/>
    </row>
    <row r="905" ht="15.75" customHeight="1">
      <c r="B905" s="98"/>
    </row>
    <row r="906" ht="15.75" customHeight="1">
      <c r="B906" s="98"/>
    </row>
    <row r="907" ht="15.75" customHeight="1">
      <c r="B907" s="98"/>
    </row>
    <row r="908" ht="15.75" customHeight="1">
      <c r="B908" s="98"/>
    </row>
    <row r="909" ht="15.75" customHeight="1">
      <c r="B909" s="98"/>
    </row>
    <row r="910" ht="15.75" customHeight="1">
      <c r="B910" s="98"/>
    </row>
    <row r="911" ht="15.75" customHeight="1">
      <c r="B911" s="98"/>
    </row>
    <row r="912" ht="15.75" customHeight="1">
      <c r="B912" s="98"/>
    </row>
    <row r="913" ht="15.75" customHeight="1">
      <c r="B913" s="98"/>
    </row>
    <row r="914" ht="15.75" customHeight="1">
      <c r="B914" s="98"/>
    </row>
    <row r="915" ht="15.75" customHeight="1">
      <c r="B915" s="98"/>
    </row>
    <row r="916" ht="15.75" customHeight="1">
      <c r="B916" s="98"/>
    </row>
    <row r="917" ht="15.75" customHeight="1">
      <c r="B917" s="98"/>
    </row>
    <row r="918" ht="15.75" customHeight="1">
      <c r="B918" s="98"/>
    </row>
    <row r="919" ht="15.75" customHeight="1">
      <c r="B919" s="98"/>
    </row>
    <row r="920" ht="15.75" customHeight="1">
      <c r="B920" s="98"/>
    </row>
    <row r="921" ht="15.75" customHeight="1">
      <c r="B921" s="98"/>
    </row>
    <row r="922" ht="15.75" customHeight="1">
      <c r="B922" s="98"/>
    </row>
    <row r="923" ht="15.75" customHeight="1">
      <c r="B923" s="98"/>
    </row>
    <row r="924" ht="15.75" customHeight="1">
      <c r="B924" s="98"/>
    </row>
    <row r="925" ht="15.75" customHeight="1">
      <c r="B925" s="98"/>
    </row>
    <row r="926" ht="15.75" customHeight="1">
      <c r="B926" s="98"/>
    </row>
    <row r="927" ht="15.75" customHeight="1">
      <c r="B927" s="98"/>
    </row>
    <row r="928" ht="15.75" customHeight="1">
      <c r="B928" s="98"/>
    </row>
    <row r="929" ht="15.75" customHeight="1">
      <c r="B929" s="98"/>
    </row>
    <row r="930" ht="15.75" customHeight="1">
      <c r="B930" s="98"/>
    </row>
    <row r="931" ht="15.75" customHeight="1">
      <c r="B931" s="98"/>
    </row>
    <row r="932" ht="15.75" customHeight="1">
      <c r="B932" s="98"/>
    </row>
    <row r="933" ht="15.75" customHeight="1">
      <c r="B933" s="98"/>
    </row>
    <row r="934" ht="15.75" customHeight="1">
      <c r="B934" s="98"/>
    </row>
    <row r="935" ht="15.75" customHeight="1">
      <c r="B935" s="98"/>
    </row>
    <row r="936" ht="15.75" customHeight="1">
      <c r="B936" s="98"/>
    </row>
    <row r="937" ht="15.75" customHeight="1">
      <c r="B937" s="98"/>
    </row>
    <row r="938" ht="15.75" customHeight="1">
      <c r="B938" s="98"/>
    </row>
    <row r="939" ht="15.75" customHeight="1">
      <c r="B939" s="98"/>
    </row>
    <row r="940" ht="15.75" customHeight="1">
      <c r="B940" s="98"/>
    </row>
    <row r="941" ht="15.75" customHeight="1">
      <c r="B941" s="98"/>
    </row>
    <row r="942" ht="15.75" customHeight="1">
      <c r="B942" s="98"/>
    </row>
    <row r="943" ht="15.75" customHeight="1">
      <c r="B943" s="98"/>
    </row>
    <row r="944" ht="15.75" customHeight="1">
      <c r="B944" s="98"/>
    </row>
    <row r="945" ht="15.75" customHeight="1">
      <c r="B945" s="98"/>
    </row>
    <row r="946" ht="15.75" customHeight="1">
      <c r="B946" s="98"/>
    </row>
    <row r="947" ht="15.75" customHeight="1">
      <c r="B947" s="98"/>
    </row>
    <row r="948" ht="15.75" customHeight="1">
      <c r="B948" s="98"/>
    </row>
    <row r="949" ht="15.75" customHeight="1">
      <c r="B949" s="98"/>
    </row>
    <row r="950" ht="15.75" customHeight="1">
      <c r="B950" s="98"/>
    </row>
    <row r="951" ht="15.75" customHeight="1">
      <c r="B951" s="98"/>
    </row>
    <row r="952" ht="15.75" customHeight="1">
      <c r="B952" s="98"/>
    </row>
    <row r="953" ht="15.75" customHeight="1">
      <c r="B953" s="98"/>
    </row>
    <row r="954" ht="15.75" customHeight="1">
      <c r="B954" s="98"/>
    </row>
    <row r="955" ht="15.75" customHeight="1">
      <c r="B955" s="98"/>
    </row>
    <row r="956" ht="15.75" customHeight="1">
      <c r="B956" s="98"/>
    </row>
    <row r="957" ht="15.75" customHeight="1">
      <c r="B957" s="98"/>
    </row>
    <row r="958" ht="15.75" customHeight="1">
      <c r="B958" s="98"/>
    </row>
    <row r="959" ht="15.75" customHeight="1">
      <c r="B959" s="98"/>
    </row>
    <row r="960" ht="15.75" customHeight="1">
      <c r="B960" s="98"/>
    </row>
    <row r="961" ht="15.75" customHeight="1">
      <c r="B961" s="98"/>
    </row>
    <row r="962" ht="15.75" customHeight="1">
      <c r="B962" s="98"/>
    </row>
    <row r="963" ht="15.75" customHeight="1">
      <c r="B963" s="98"/>
    </row>
    <row r="964" ht="15.75" customHeight="1">
      <c r="B964" s="98"/>
    </row>
    <row r="965" ht="15.75" customHeight="1">
      <c r="B965" s="98"/>
    </row>
    <row r="966" ht="15.75" customHeight="1">
      <c r="B966" s="98"/>
    </row>
    <row r="967" ht="15.75" customHeight="1">
      <c r="B967" s="98"/>
    </row>
    <row r="968" ht="15.75" customHeight="1">
      <c r="B968" s="98"/>
    </row>
    <row r="969" ht="15.75" customHeight="1">
      <c r="B969" s="98"/>
    </row>
    <row r="970" ht="15.75" customHeight="1">
      <c r="B970" s="98"/>
    </row>
    <row r="971" ht="15.75" customHeight="1">
      <c r="B971" s="98"/>
    </row>
    <row r="972" ht="15.75" customHeight="1">
      <c r="B972" s="98"/>
    </row>
    <row r="973" ht="15.75" customHeight="1">
      <c r="B973" s="98"/>
    </row>
    <row r="974" ht="15.75" customHeight="1">
      <c r="B974" s="98"/>
    </row>
    <row r="975" ht="15.75" customHeight="1">
      <c r="B975" s="98"/>
    </row>
    <row r="976" ht="15.75" customHeight="1">
      <c r="B976" s="98"/>
    </row>
    <row r="977" ht="15.75" customHeight="1">
      <c r="B977" s="98"/>
    </row>
    <row r="978" ht="15.75" customHeight="1">
      <c r="B978" s="98"/>
    </row>
    <row r="979" ht="15.75" customHeight="1">
      <c r="B979" s="98"/>
    </row>
    <row r="980" ht="15.75" customHeight="1">
      <c r="B980" s="98"/>
    </row>
    <row r="981" ht="15.75" customHeight="1">
      <c r="B981" s="98"/>
    </row>
    <row r="982" ht="15.75" customHeight="1">
      <c r="B982" s="98"/>
    </row>
    <row r="983" ht="15.75" customHeight="1">
      <c r="B983" s="98"/>
    </row>
    <row r="984" ht="15.75" customHeight="1">
      <c r="B984" s="98"/>
    </row>
    <row r="985" ht="15.75" customHeight="1">
      <c r="B985" s="98"/>
    </row>
    <row r="986" ht="15.75" customHeight="1">
      <c r="B986" s="98"/>
    </row>
    <row r="987" ht="15.75" customHeight="1">
      <c r="B987" s="98"/>
    </row>
    <row r="988" ht="15.75" customHeight="1">
      <c r="B988" s="98"/>
    </row>
    <row r="989" ht="15.75" customHeight="1">
      <c r="B989" s="98"/>
    </row>
    <row r="990" ht="15.75" customHeight="1">
      <c r="B990" s="98"/>
    </row>
    <row r="991" ht="15.75" customHeight="1">
      <c r="B991" s="98"/>
    </row>
    <row r="992" ht="15.75" customHeight="1">
      <c r="B992" s="98"/>
    </row>
    <row r="993" ht="15.75" customHeight="1">
      <c r="B993" s="98"/>
    </row>
    <row r="994" ht="15.75" customHeight="1">
      <c r="B994" s="98"/>
    </row>
    <row r="995" ht="15.75" customHeight="1">
      <c r="B995" s="98"/>
    </row>
    <row r="996" ht="15.75" customHeight="1">
      <c r="B996" s="98"/>
    </row>
    <row r="997" ht="15.75" customHeight="1">
      <c r="B997" s="98"/>
    </row>
    <row r="998" ht="15.75" customHeight="1">
      <c r="B998" s="98"/>
    </row>
    <row r="999" ht="15.75" customHeight="1">
      <c r="B999" s="98"/>
    </row>
    <row r="1000" ht="15.75" customHeight="1">
      <c r="B1000" s="9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2018-08-07T23:17:42Z</dcterms:created>
  <dc:creator>Tasso Azevedo</dc:creator>
</cp:coreProperties>
</file>