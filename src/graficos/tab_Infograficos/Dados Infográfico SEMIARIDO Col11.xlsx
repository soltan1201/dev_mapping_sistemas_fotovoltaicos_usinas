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" sheetId="1" r:id="rId4"/>
    <sheet state="visible" name="DADOS COBERTURA SEMIARIDO" sheetId="2" r:id="rId5"/>
    <sheet state="visible" name="GRAFICO HISTORICO" sheetId="3" r:id="rId6"/>
    <sheet state="visible" name="SANKEY" sheetId="4" r:id="rId7"/>
    <sheet state="visible" name="MANCHETES" sheetId="5" r:id="rId8"/>
    <sheet state="hidden" name="Matriz Cerrado" sheetId="6" r:id="rId9"/>
  </sheets>
  <definedNames/>
  <calcPr/>
  <extLst>
    <ext uri="GoogleSheetsCustomDataVersion2">
      <go:sheetsCustomData xmlns:go="http://customooxmlschemas.google.com/" r:id="rId10" roundtripDataChecksum="PryPdBR82PPq4TRunC4IBgfQwxQllg+WDaVcDej6Bx4="/>
    </ext>
  </extLst>
</workbook>
</file>

<file path=xl/sharedStrings.xml><?xml version="1.0" encoding="utf-8"?>
<sst xmlns="http://schemas.openxmlformats.org/spreadsheetml/2006/main" count="755" uniqueCount="107">
  <si>
    <t>Area total</t>
  </si>
  <si>
    <t>Para o Grafico Circular da composição do uso da terra</t>
  </si>
  <si>
    <t>Area Mha</t>
  </si>
  <si>
    <t>%</t>
  </si>
  <si>
    <t>AMAZONIA</t>
  </si>
  <si>
    <t>Transições 1985 a 2025</t>
  </si>
  <si>
    <t>Area total (ha)</t>
  </si>
  <si>
    <t>Mha</t>
  </si>
  <si>
    <t>Classes</t>
  </si>
  <si>
    <t>1. Forest</t>
  </si>
  <si>
    <t>2. Herbaceous and Shrubby Vegetation</t>
  </si>
  <si>
    <t>3. Farming</t>
  </si>
  <si>
    <t>4. Non vegetated area</t>
  </si>
  <si>
    <t>5. Water</t>
  </si>
  <si>
    <t>Total 1985</t>
  </si>
  <si>
    <t>CAATINGA</t>
  </si>
  <si>
    <t>CERRADO</t>
  </si>
  <si>
    <t>MATA ATLANTICA</t>
  </si>
  <si>
    <t>PAMPA</t>
  </si>
  <si>
    <t>PANTANAL</t>
  </si>
  <si>
    <t>1.1. Forest Formation</t>
  </si>
  <si>
    <t>Total</t>
  </si>
  <si>
    <t>1. Floresta</t>
  </si>
  <si>
    <t>SEMIÁRIDO</t>
  </si>
  <si>
    <t>Floresta</t>
  </si>
  <si>
    <t>Total 2025</t>
  </si>
  <si>
    <t>Formação Natural não Florestal</t>
  </si>
  <si>
    <t>1.2. Savanna Formation</t>
  </si>
  <si>
    <t>Agropecuária</t>
  </si>
  <si>
    <t>Área não Vegetada</t>
  </si>
  <si>
    <t>Corpo D'água</t>
  </si>
  <si>
    <t>1.3. Flooded Savanna</t>
  </si>
  <si>
    <t>Não Observado</t>
  </si>
  <si>
    <t>2. Vegetação herbácea e arbustiva</t>
  </si>
  <si>
    <t>3. Agropecuária</t>
  </si>
  <si>
    <t>4. Outros</t>
  </si>
  <si>
    <t>1.4. Mangrove</t>
  </si>
  <si>
    <t>1.5. Floodable Forest</t>
  </si>
  <si>
    <t>2. Formação Natural não Florestal</t>
  </si>
  <si>
    <t>1.6. Wooded Sandbank Vegetation</t>
  </si>
  <si>
    <t>2.1. Wetland</t>
  </si>
  <si>
    <t xml:space="preserve"> Outros</t>
  </si>
  <si>
    <t>2.2. Marisma</t>
  </si>
  <si>
    <t>2.3. Grassland Formation</t>
  </si>
  <si>
    <t>Manchetes para Semiárido</t>
  </si>
  <si>
    <t>crescimento da área de agropecuária entre 1985 e 2025</t>
  </si>
  <si>
    <t>2.4. Herbaceous-Shrub Mosaic</t>
  </si>
  <si>
    <t>Perda de cobertura remanescente de vegetação nativa entre 1985 e 2025</t>
  </si>
  <si>
    <t>2.5. Hypersaline Tidal Flat</t>
  </si>
  <si>
    <t>cobertura de vegetação nativa no bioma em 2025</t>
  </si>
  <si>
    <t>2.6. Rocky Outcrop</t>
  </si>
  <si>
    <t>2.7. Herbaceous Sandbank Vegetation</t>
  </si>
  <si>
    <t>4. Área não Vegetada</t>
  </si>
  <si>
    <t>3.1. Pasture</t>
  </si>
  <si>
    <t>3.2. Agriculture</t>
  </si>
  <si>
    <t>3.3. Forest Plantation</t>
  </si>
  <si>
    <t>3.4. Mosaic of Uses</t>
  </si>
  <si>
    <t>4.1. Beach, Dune and Sand Spot</t>
  </si>
  <si>
    <t/>
  </si>
  <si>
    <t>4.2. Urban Area</t>
  </si>
  <si>
    <t>5. Corpo D'água</t>
  </si>
  <si>
    <t>4.3. Mining</t>
  </si>
  <si>
    <t>Pastagem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</si>
  <si>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</si>
  <si>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</si>
  <si>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</si>
  <si>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</si>
  <si>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</si>
  <si>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</si>
  <si>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</si>
  <si>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</si>
  <si>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Outros</t>
  </si>
  <si>
    <t>Praias e dunas</t>
  </si>
  <si>
    <t>Agricultura</t>
  </si>
  <si>
    <t>Formações Florestais Naturais</t>
  </si>
  <si>
    <t>Mangue</t>
  </si>
  <si>
    <t>Infraestrutura Urbana</t>
  </si>
  <si>
    <t>4.4. Photovoltaic Power Plant</t>
  </si>
  <si>
    <t>Outras áreas não vegetadas</t>
  </si>
  <si>
    <t>Corpos Dágua</t>
  </si>
  <si>
    <t>Não observado</t>
  </si>
  <si>
    <t>Apicum</t>
  </si>
  <si>
    <t>Aquicultura</t>
  </si>
  <si>
    <t>Afloramento Rochoso</t>
  </si>
  <si>
    <t>Mineração</t>
  </si>
  <si>
    <t>Área Úmida Natural não Florestal</t>
  </si>
  <si>
    <t>Outra formação não Florestal</t>
  </si>
  <si>
    <t>Rios, Lagos e Oceanos</t>
  </si>
  <si>
    <t>-</t>
  </si>
  <si>
    <t>4.5. Wind Farm  (beta)</t>
  </si>
  <si>
    <t>4.6. Other non Vegetated Areas</t>
  </si>
  <si>
    <t>5.1. River, Lake and Ocean</t>
  </si>
  <si>
    <t>5.2. Aquaculture</t>
  </si>
  <si>
    <t>6. Not Observed</t>
  </si>
  <si>
    <t>Total Geral</t>
  </si>
  <si>
    <t>% de cobertura florestal</t>
  </si>
  <si>
    <t>% de cobertura por vegetação nativa</t>
  </si>
  <si>
    <t>Perda de floresta entre 1985 e 2025</t>
  </si>
  <si>
    <t>Perda de vegetação nativa entre 1985 e 2025</t>
  </si>
  <si>
    <t>% de perda de vegetação nativa</t>
  </si>
  <si>
    <t>Expansão da agropécuária entre 1985 e 2025</t>
  </si>
  <si>
    <t>4.4. Photovoltaic Power Plant (beta)</t>
  </si>
  <si>
    <t>4.5. Wind Farm</t>
  </si>
  <si>
    <t>Forest</t>
  </si>
  <si>
    <t>Herbaceous and Shrubby Vegetation</t>
  </si>
  <si>
    <t>Farming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</si>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</sst>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_-* #,##0.0_-;\-* #,##0.0_-;_-* &quot;-&quot;??_-;_-@"/>
    <numFmt numFmtId="169" formatCode="_-* #,##0_-;\-* #,##0_-;_-* &quot;-&quot;??_-;_-@"/>
    <numFmt numFmtId="170" formatCode="0.000%"/>
    <numFmt numFmtId="171" formatCode="0.000"/>
    <numFmt numFmtId="172" formatCode="_(* #,##0.00_);_(* \(#,##0.00\);_(* &quot;-&quot;??_);_(@_)"/>
    <numFmt numFmtId="173" formatCode="_-* #,##0.00_-;\-* #,##0.00_-;_-* &quot;-&quot;??_-;_-@"/>
  </numFmts>
  <fonts count="21">
    <font>
      <sz val="12.0"/>
      <color theme="1"/>
      <name val="Calibri"/>
      <scheme val="minor"/>
    </font>
    <font>
      <sz val="12.0"/>
      <color theme="1"/>
      <name val="Calibri"/>
    </font>
    <font>
      <b/>
      <sz val="20.0"/>
      <color theme="1"/>
      <name val="Calibri"/>
    </font>
    <font>
      <sz val="11.0"/>
      <color theme="1"/>
      <name val="Calibri"/>
    </font>
    <font>
      <b/>
      <sz val="22.0"/>
      <color theme="1"/>
      <name val="Calibri"/>
    </font>
    <font>
      <sz val="22.0"/>
      <color rgb="FFFF0000"/>
      <name val="Calibri"/>
    </font>
    <font>
      <sz val="12.0"/>
      <color rgb="FF7F7F7F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/>
    <font>
      <sz val="12.0"/>
      <color rgb="FF006100"/>
      <name val="Calibri"/>
    </font>
    <font>
      <sz val="12.0"/>
      <color theme="1"/>
      <name val="Arial"/>
    </font>
    <font>
      <b/>
      <sz val="24.0"/>
      <color theme="1"/>
      <name val="Calibri"/>
    </font>
    <font>
      <sz val="18.0"/>
      <color rgb="FF000000"/>
      <name val="Calibri"/>
    </font>
    <font>
      <b/>
      <sz val="18.0"/>
      <color theme="1"/>
      <name val="Calibri"/>
    </font>
    <font>
      <b/>
      <sz val="17.0"/>
      <color theme="1"/>
      <name val="Arial"/>
    </font>
    <font>
      <sz val="18.0"/>
      <color rgb="FF38761D"/>
      <name val="Calibri"/>
    </font>
    <font>
      <b/>
      <sz val="20.0"/>
      <color rgb="FFFF0000"/>
      <name val="Calibri"/>
    </font>
    <font>
      <sz val="12.0"/>
      <color rgb="FF9C5700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EB9C"/>
        <bgColor rgb="FFFFEB9C"/>
      </patternFill>
    </fill>
  </fills>
  <borders count="23">
    <border/>
    <border>
      <left/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/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8EAADB"/>
      </top>
      <bottom/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1" numFmtId="0" xfId="0" applyBorder="1" applyFill="1" applyFont="1"/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165" xfId="0" applyAlignment="1" applyFont="1" applyNumberFormat="1">
      <alignment horizontal="right"/>
    </xf>
    <xf borderId="0" fillId="0" fontId="4" numFmtId="0" xfId="0" applyFont="1"/>
    <xf borderId="0" fillId="0" fontId="5" numFmtId="0" xfId="0" applyFont="1"/>
    <xf borderId="0" fillId="0" fontId="1" numFmtId="165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1" numFmtId="166" xfId="0" applyFont="1" applyNumberFormat="1"/>
    <xf borderId="2" fillId="4" fontId="7" numFmtId="165" xfId="0" applyAlignment="1" applyBorder="1" applyFill="1" applyFont="1" applyNumberFormat="1">
      <alignment horizontal="left"/>
    </xf>
    <xf borderId="2" fillId="4" fontId="7" numFmtId="165" xfId="0" applyBorder="1" applyFont="1" applyNumberFormat="1"/>
    <xf borderId="1" fillId="5" fontId="6" numFmtId="0" xfId="0" applyAlignment="1" applyBorder="1" applyFill="1" applyFont="1">
      <alignment horizontal="center" shrinkToFit="0" vertical="center" wrapText="1"/>
    </xf>
    <xf borderId="2" fillId="4" fontId="7" numFmtId="167" xfId="0" applyBorder="1" applyFont="1" applyNumberFormat="1"/>
    <xf borderId="1" fillId="3" fontId="6" numFmtId="0" xfId="0" applyBorder="1" applyFont="1"/>
    <xf borderId="2" fillId="4" fontId="7" numFmtId="10" xfId="0" applyBorder="1" applyFont="1" applyNumberFormat="1"/>
    <xf borderId="0" fillId="0" fontId="7" numFmtId="165" xfId="0" applyAlignment="1" applyFont="1" applyNumberFormat="1">
      <alignment horizontal="left" vertical="center"/>
    </xf>
    <xf borderId="0" fillId="0" fontId="7" numFmtId="165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7" numFmtId="165" xfId="0" applyAlignment="1" applyFont="1" applyNumberFormat="1">
      <alignment horizontal="left"/>
    </xf>
    <xf borderId="3" fillId="0" fontId="7" numFmtId="165" xfId="0" applyBorder="1" applyFont="1" applyNumberFormat="1"/>
    <xf borderId="0" fillId="0" fontId="7" numFmtId="167" xfId="0" applyFont="1" applyNumberFormat="1"/>
    <xf borderId="1" fillId="2" fontId="8" numFmtId="0" xfId="0" applyBorder="1" applyFont="1"/>
    <xf borderId="0" fillId="0" fontId="7" numFmtId="10" xfId="0" applyFont="1" applyNumberFormat="1"/>
    <xf borderId="1" fillId="5" fontId="6" numFmtId="165" xfId="0" applyBorder="1" applyFont="1" applyNumberFormat="1"/>
    <xf borderId="4" fillId="4" fontId="7" numFmtId="165" xfId="0" applyAlignment="1" applyBorder="1" applyFont="1" applyNumberFormat="1">
      <alignment horizontal="center" vertical="center"/>
    </xf>
    <xf borderId="0" fillId="0" fontId="6" numFmtId="165" xfId="0" applyFont="1" applyNumberFormat="1"/>
    <xf borderId="1" fillId="2" fontId="8" numFmtId="165" xfId="0" applyBorder="1" applyFont="1" applyNumberFormat="1"/>
    <xf borderId="1" fillId="2" fontId="1" numFmtId="166" xfId="0" applyBorder="1" applyFont="1" applyNumberFormat="1"/>
    <xf borderId="0" fillId="0" fontId="6" numFmtId="0" xfId="0" applyFont="1"/>
    <xf borderId="4" fillId="4" fontId="7" numFmtId="166" xfId="0" applyAlignment="1" applyBorder="1" applyFont="1" applyNumberFormat="1">
      <alignment horizontal="center" vertical="center"/>
    </xf>
    <xf borderId="4" fillId="4" fontId="7" numFmtId="164" xfId="0" applyAlignment="1" applyBorder="1" applyFont="1" applyNumberFormat="1">
      <alignment horizontal="center" vertical="center"/>
    </xf>
    <xf borderId="5" fillId="6" fontId="7" numFmtId="165" xfId="0" applyAlignment="1" applyBorder="1" applyFill="1" applyFont="1" applyNumberFormat="1">
      <alignment horizontal="left"/>
    </xf>
    <xf borderId="0" fillId="0" fontId="9" numFmtId="165" xfId="0" applyAlignment="1" applyFont="1" applyNumberFormat="1">
      <alignment horizontal="right"/>
    </xf>
    <xf borderId="5" fillId="6" fontId="7" numFmtId="168" xfId="0" applyBorder="1" applyFont="1" applyNumberFormat="1"/>
    <xf borderId="1" fillId="5" fontId="6" numFmtId="0" xfId="0" applyBorder="1" applyFont="1"/>
    <xf borderId="5" fillId="6" fontId="7" numFmtId="9" xfId="0" applyAlignment="1" applyBorder="1" applyFont="1" applyNumberFormat="1">
      <alignment horizontal="center"/>
    </xf>
    <xf borderId="6" fillId="0" fontId="10" numFmtId="0" xfId="0" applyBorder="1" applyFont="1"/>
    <xf borderId="1" fillId="5" fontId="1" numFmtId="0" xfId="0" applyBorder="1" applyFont="1"/>
    <xf borderId="7" fillId="0" fontId="10" numFmtId="0" xfId="0" applyBorder="1" applyFont="1"/>
    <xf borderId="8" fillId="0" fontId="1" numFmtId="0" xfId="0" applyBorder="1" applyFont="1"/>
    <xf borderId="1" fillId="5" fontId="9" numFmtId="165" xfId="0" applyAlignment="1" applyBorder="1" applyFont="1" applyNumberFormat="1">
      <alignment horizontal="right"/>
    </xf>
    <xf borderId="9" fillId="3" fontId="11" numFmtId="0" xfId="0" applyAlignment="1" applyBorder="1" applyFont="1">
      <alignment horizontal="center"/>
    </xf>
    <xf borderId="1" fillId="5" fontId="1" numFmtId="166" xfId="0" applyBorder="1" applyFont="1" applyNumberFormat="1"/>
    <xf borderId="0" fillId="0" fontId="1" numFmtId="9" xfId="0" applyFont="1" applyNumberFormat="1"/>
    <xf borderId="1" fillId="5" fontId="1" numFmtId="164" xfId="0" applyBorder="1" applyFont="1" applyNumberFormat="1"/>
    <xf borderId="10" fillId="5" fontId="1" numFmtId="0" xfId="0" applyAlignment="1" applyBorder="1" applyFont="1">
      <alignment horizontal="center"/>
    </xf>
    <xf borderId="11" fillId="3" fontId="11" numFmtId="0" xfId="0" applyBorder="1" applyFont="1"/>
    <xf borderId="0" fillId="0" fontId="1" numFmtId="169" xfId="0" applyFont="1" applyNumberFormat="1"/>
    <xf borderId="4" fillId="4" fontId="7" numFmtId="165" xfId="0" applyAlignment="1" applyBorder="1" applyFont="1" applyNumberFormat="1">
      <alignment horizontal="left" vertical="center"/>
    </xf>
    <xf borderId="12" fillId="5" fontId="1" numFmtId="169" xfId="0" applyBorder="1" applyFont="1" applyNumberFormat="1"/>
    <xf borderId="4" fillId="4" fontId="7" numFmtId="166" xfId="0" applyAlignment="1" applyBorder="1" applyFont="1" applyNumberFormat="1">
      <alignment horizontal="left" vertical="center"/>
    </xf>
    <xf borderId="5" fillId="6" fontId="7" numFmtId="166" xfId="0" applyBorder="1" applyFont="1" applyNumberFormat="1"/>
    <xf borderId="13" fillId="5" fontId="1" numFmtId="0" xfId="0" applyBorder="1" applyFont="1"/>
    <xf borderId="14" fillId="5" fontId="1" numFmtId="169" xfId="0" applyBorder="1" applyFont="1" applyNumberFormat="1"/>
    <xf borderId="15" fillId="5" fontId="1" numFmtId="169" xfId="0" applyBorder="1" applyFont="1" applyNumberFormat="1"/>
    <xf borderId="16" fillId="0" fontId="10" numFmtId="0" xfId="0" applyBorder="1" applyFont="1"/>
    <xf borderId="17" fillId="6" fontId="7" numFmtId="165" xfId="0" applyAlignment="1" applyBorder="1" applyFont="1" applyNumberFormat="1">
      <alignment horizontal="left"/>
    </xf>
    <xf borderId="17" fillId="6" fontId="7" numFmtId="165" xfId="0" applyBorder="1" applyFont="1" applyNumberFormat="1"/>
    <xf borderId="17" fillId="6" fontId="7" numFmtId="166" xfId="0" applyBorder="1" applyFont="1" applyNumberForma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18" fillId="0" fontId="1" numFmtId="9" xfId="0" applyAlignment="1" applyBorder="1" applyFont="1" applyNumberFormat="1">
      <alignment horizontal="center"/>
    </xf>
    <xf borderId="0" fillId="0" fontId="12" numFmtId="0" xfId="0" applyFont="1"/>
    <xf borderId="0" fillId="0" fontId="13" numFmtId="164" xfId="0" applyAlignment="1" applyFont="1" applyNumberFormat="1">
      <alignment horizontal="center"/>
    </xf>
    <xf borderId="0" fillId="0" fontId="14" numFmtId="0" xfId="0" applyFont="1"/>
    <xf borderId="0" fillId="0" fontId="7" numFmtId="166" xfId="0" applyFont="1" applyNumberFormat="1"/>
    <xf borderId="0" fillId="0" fontId="15" numFmtId="0" xfId="0" applyFont="1"/>
    <xf borderId="0" fillId="0" fontId="1" numFmtId="16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4" numFmtId="164" xfId="0" applyAlignment="1" applyFont="1" applyNumberFormat="1">
      <alignment horizontal="center"/>
    </xf>
    <xf borderId="0" fillId="0" fontId="13" numFmtId="9" xfId="0" applyAlignment="1" applyFont="1" applyNumberFormat="1">
      <alignment horizontal="center"/>
    </xf>
    <xf borderId="18" fillId="0" fontId="1" numFmtId="0" xfId="0" applyAlignment="1" applyBorder="1" applyFont="1">
      <alignment vertical="center"/>
    </xf>
    <xf borderId="18" fillId="0" fontId="1" numFmtId="164" xfId="0" applyAlignment="1" applyBorder="1" applyFont="1" applyNumberFormat="1">
      <alignment vertical="center"/>
    </xf>
    <xf borderId="18" fillId="0" fontId="1" numFmtId="0" xfId="0" applyBorder="1" applyFont="1"/>
    <xf borderId="3" fillId="0" fontId="7" numFmtId="165" xfId="0" applyAlignment="1" applyBorder="1" applyFont="1" applyNumberFormat="1">
      <alignment horizontal="left"/>
    </xf>
    <xf borderId="3" fillId="0" fontId="7" numFmtId="167" xfId="0" applyBorder="1" applyFont="1" applyNumberFormat="1"/>
    <xf borderId="3" fillId="0" fontId="7" numFmtId="10" xfId="0" applyBorder="1" applyFont="1" applyNumberForma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18" fillId="0" fontId="1" numFmtId="164" xfId="0" applyBorder="1" applyFont="1" applyNumberFormat="1"/>
    <xf borderId="0" fillId="0" fontId="1" numFmtId="0" xfId="0" applyAlignment="1" applyFont="1">
      <alignment shrinkToFit="0" vertical="center" wrapText="1"/>
    </xf>
    <xf borderId="0" fillId="0" fontId="4" numFmtId="165" xfId="0" applyFont="1" applyNumberFormat="1"/>
    <xf borderId="0" fillId="0" fontId="18" numFmtId="165" xfId="0" applyFont="1" applyNumberFormat="1"/>
    <xf borderId="3" fillId="0" fontId="7" numFmtId="170" xfId="0" applyBorder="1" applyFont="1" applyNumberFormat="1"/>
    <xf borderId="0" fillId="0" fontId="7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8" xfId="0" applyFont="1" applyNumberFormat="1"/>
    <xf borderId="1" fillId="3" fontId="11" numFmtId="0" xfId="0" applyBorder="1" applyFont="1"/>
    <xf borderId="0" fillId="0" fontId="7" numFmtId="165" xfId="0" applyFont="1" applyNumberFormat="1"/>
    <xf borderId="0" fillId="0" fontId="7" numFmtId="164" xfId="0" applyFont="1" applyNumberFormat="1"/>
    <xf borderId="0" fillId="0" fontId="1" numFmtId="164" xfId="0" applyAlignment="1" applyFont="1" applyNumberFormat="1">
      <alignment horizontal="center" vertical="center"/>
    </xf>
    <xf borderId="19" fillId="2" fontId="7" numFmtId="10" xfId="0" applyBorder="1" applyFont="1" applyNumberFormat="1"/>
    <xf borderId="19" fillId="2" fontId="7" numFmtId="165" xfId="0" applyBorder="1" applyFont="1" applyNumberFormat="1"/>
    <xf borderId="19" fillId="2" fontId="7" numFmtId="171" xfId="0" applyBorder="1" applyFont="1" applyNumberFormat="1"/>
    <xf borderId="0" fillId="0" fontId="11" numFmtId="0" xfId="0" applyFont="1"/>
    <xf borderId="20" fillId="7" fontId="7" numFmtId="165" xfId="0" applyAlignment="1" applyBorder="1" applyFill="1" applyFont="1" applyNumberFormat="1">
      <alignment horizontal="left"/>
    </xf>
    <xf borderId="0" fillId="0" fontId="1" numFmtId="0" xfId="0" applyAlignment="1" applyFont="1">
      <alignment horizontal="left"/>
    </xf>
    <xf borderId="1" fillId="7" fontId="7" numFmtId="165" xfId="0" applyAlignment="1" applyBorder="1" applyFont="1" applyNumberFormat="1">
      <alignment horizontal="left"/>
    </xf>
    <xf borderId="21" fillId="0" fontId="7" numFmtId="165" xfId="0" applyBorder="1" applyFont="1" applyNumberFormat="1"/>
    <xf borderId="20" fillId="7" fontId="7" numFmtId="164" xfId="0" applyBorder="1" applyFont="1" applyNumberFormat="1"/>
    <xf borderId="1" fillId="8" fontId="19" numFmtId="0" xfId="0" applyBorder="1" applyFill="1" applyFont="1"/>
    <xf borderId="0" fillId="0" fontId="12" numFmtId="164" xfId="0" applyFont="1" applyNumberFormat="1"/>
    <xf borderId="21" fillId="0" fontId="7" numFmtId="165" xfId="0" applyAlignment="1" applyBorder="1" applyFont="1" applyNumberFormat="1">
      <alignment horizontal="left"/>
    </xf>
    <xf borderId="0" fillId="0" fontId="7" numFmtId="0" xfId="0" applyFont="1"/>
    <xf borderId="21" fillId="0" fontId="3" numFmtId="165" xfId="0" applyAlignment="1" applyBorder="1" applyFont="1" applyNumberFormat="1">
      <alignment horizontal="left"/>
    </xf>
    <xf borderId="0" fillId="0" fontId="3" numFmtId="165" xfId="0" applyAlignment="1" applyFont="1" applyNumberFormat="1">
      <alignment horizontal="left"/>
    </xf>
    <xf borderId="0" fillId="0" fontId="12" numFmtId="165" xfId="0" applyFont="1" applyNumberFormat="1"/>
    <xf borderId="0" fillId="0" fontId="1" numFmtId="172" xfId="0" applyFont="1" applyNumberFormat="1"/>
    <xf borderId="0" fillId="0" fontId="9" numFmtId="165" xfId="0" applyAlignment="1" applyFont="1" applyNumberFormat="1">
      <alignment horizontal="left"/>
    </xf>
    <xf borderId="22" fillId="0" fontId="7" numFmtId="165" xfId="0" applyAlignment="1" applyBorder="1" applyFont="1" applyNumberFormat="1">
      <alignment horizontal="left"/>
    </xf>
    <xf borderId="22" fillId="0" fontId="7" numFmtId="165" xfId="0" applyBorder="1" applyFont="1" applyNumberFormat="1"/>
    <xf borderId="0" fillId="0" fontId="20" numFmtId="10" xfId="0" applyAlignment="1" applyFont="1" applyNumberFormat="1">
      <alignment horizontal="right"/>
    </xf>
    <xf borderId="0" fillId="0" fontId="20" numFmtId="0" xfId="0" applyAlignment="1" applyFont="1">
      <alignment horizontal="right"/>
    </xf>
    <xf borderId="0" fillId="0" fontId="20" numFmtId="165" xfId="0" applyAlignment="1" applyFont="1" applyNumberFormat="1">
      <alignment horizontal="right"/>
    </xf>
    <xf borderId="0" fillId="0" fontId="8" numFmtId="0" xfId="0" applyFont="1"/>
    <xf borderId="1" fillId="9" fontId="19" numFmtId="0" xfId="0" applyBorder="1" applyFill="1" applyFont="1"/>
    <xf borderId="1" fillId="9" fontId="19" numFmtId="173" xfId="0" applyBorder="1" applyFont="1" applyNumberFormat="1"/>
    <xf borderId="0" fillId="0" fontId="19" numFmtId="0" xfId="0" applyFont="1"/>
    <xf borderId="0" fillId="0" fontId="19" numFmtId="173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1586494170"/>
        <c:axId val="1596651408"/>
      </c:lineChart>
      <c:catAx>
        <c:axId val="1586494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596651408"/>
      </c:catAx>
      <c:valAx>
        <c:axId val="1596651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649417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HISTORICO'!$B$48:$AN$48</c:f>
              <c:numCache/>
            </c:numRef>
          </c:val>
          <c:smooth val="0"/>
        </c:ser>
        <c:axId val="1949400203"/>
        <c:axId val="1611791891"/>
      </c:lineChart>
      <c:catAx>
        <c:axId val="1949400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611791891"/>
      </c:catAx>
      <c:valAx>
        <c:axId val="1611791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940020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HISTORICO'!$B$49:$AN$49</c:f>
              <c:numCache/>
            </c:numRef>
          </c:val>
          <c:smooth val="0"/>
        </c:ser>
        <c:axId val="966339940"/>
        <c:axId val="744480812"/>
      </c:lineChart>
      <c:catAx>
        <c:axId val="966339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744480812"/>
      </c:catAx>
      <c:valAx>
        <c:axId val="744480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633994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64</xdr:row>
      <xdr:rowOff>85725</xdr:rowOff>
    </xdr:from>
    <xdr:ext cx="5191125" cy="2705100"/>
    <xdr:graphicFrame>
      <xdr:nvGraphicFramePr>
        <xdr:cNvPr id="2062564105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95250</xdr:colOff>
      <xdr:row>50</xdr:row>
      <xdr:rowOff>28575</xdr:rowOff>
    </xdr:from>
    <xdr:ext cx="5210175" cy="2705100"/>
    <xdr:graphicFrame>
      <xdr:nvGraphicFramePr>
        <xdr:cNvPr id="100586915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781050</xdr:colOff>
      <xdr:row>50</xdr:row>
      <xdr:rowOff>47625</xdr:rowOff>
    </xdr:from>
    <xdr:ext cx="5143500" cy="2705100"/>
    <xdr:graphicFrame>
      <xdr:nvGraphicFramePr>
        <xdr:cNvPr id="30971970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2"/>
      <c r="B2" s="2" t="s">
        <v>0</v>
      </c>
      <c r="C2" s="2" t="s">
        <v>2</v>
      </c>
      <c r="D2" s="2" t="s">
        <v>3</v>
      </c>
    </row>
    <row r="3" ht="15.75" customHeight="1">
      <c r="A3" s="6" t="s">
        <v>4</v>
      </c>
      <c r="B3" s="7">
        <v>4.207828033E8</v>
      </c>
      <c r="C3" s="15">
        <f t="shared" ref="C3:C10" si="1">B3/1000000</f>
        <v>420.7828033</v>
      </c>
      <c r="D3" s="1">
        <f t="shared" ref="D3:D8" si="2">C3/C$9</f>
        <v>0.4946632649</v>
      </c>
    </row>
    <row r="4" ht="15.75" customHeight="1">
      <c r="A4" s="6" t="s">
        <v>15</v>
      </c>
      <c r="B4" s="7">
        <v>8.626110405E7</v>
      </c>
      <c r="C4" s="15">
        <f t="shared" si="1"/>
        <v>86.26110405</v>
      </c>
      <c r="D4" s="1">
        <f t="shared" si="2"/>
        <v>0.1014067092</v>
      </c>
    </row>
    <row r="5" ht="15.75" customHeight="1">
      <c r="A5" s="6" t="s">
        <v>16</v>
      </c>
      <c r="B5" s="7">
        <v>2.004390674E8</v>
      </c>
      <c r="C5" s="15">
        <f t="shared" si="1"/>
        <v>200.4390674</v>
      </c>
      <c r="D5" s="1">
        <f t="shared" si="2"/>
        <v>0.2356318811</v>
      </c>
    </row>
    <row r="6" ht="15.75" customHeight="1">
      <c r="A6" s="6" t="s">
        <v>17</v>
      </c>
      <c r="B6" s="7">
        <v>1.086744891E8</v>
      </c>
      <c r="C6" s="15">
        <f t="shared" si="1"/>
        <v>108.6744891</v>
      </c>
      <c r="D6" s="1">
        <f t="shared" si="2"/>
        <v>0.1277554053</v>
      </c>
    </row>
    <row r="7" ht="15.75" customHeight="1">
      <c r="A7" s="6" t="s">
        <v>18</v>
      </c>
      <c r="B7" s="7">
        <v>1.939351615E7</v>
      </c>
      <c r="C7" s="15">
        <f t="shared" si="1"/>
        <v>19.39351615</v>
      </c>
      <c r="D7" s="1">
        <f t="shared" si="2"/>
        <v>0.02279860285</v>
      </c>
    </row>
    <row r="8" ht="15.75" customHeight="1">
      <c r="A8" s="6" t="s">
        <v>19</v>
      </c>
      <c r="B8" s="7">
        <v>1.509396001E7</v>
      </c>
      <c r="C8" s="15">
        <f t="shared" si="1"/>
        <v>15.09396001</v>
      </c>
      <c r="D8" s="1">
        <f t="shared" si="2"/>
        <v>0.0177441366</v>
      </c>
    </row>
    <row r="9" ht="15.75" customHeight="1">
      <c r="A9" s="29" t="s">
        <v>21</v>
      </c>
      <c r="B9" s="34">
        <f>SUM(B3:B8)</f>
        <v>850644940</v>
      </c>
      <c r="C9" s="35">
        <f t="shared" si="1"/>
        <v>850.64494</v>
      </c>
      <c r="D9" s="2"/>
    </row>
    <row r="10" ht="15.75" customHeight="1">
      <c r="A10" s="6" t="s">
        <v>23</v>
      </c>
      <c r="B10" s="7">
        <v>1.3352373065244417E8</v>
      </c>
      <c r="C10" s="15">
        <f t="shared" si="1"/>
        <v>133.5237307</v>
      </c>
      <c r="D10" s="1">
        <f>C10/C$9</f>
        <v>0.1569676423</v>
      </c>
    </row>
    <row r="11" ht="15.75" customHeight="1"/>
    <row r="12" ht="15.75" customHeight="1">
      <c r="A12" s="2"/>
      <c r="B12" s="2" t="s">
        <v>0</v>
      </c>
      <c r="C12" s="2" t="s">
        <v>2</v>
      </c>
      <c r="D12" s="2" t="s">
        <v>3</v>
      </c>
    </row>
    <row r="13" ht="15.75" customHeight="1">
      <c r="A13" s="6" t="s">
        <v>24</v>
      </c>
      <c r="B13" s="40">
        <v>5.05743963971196E8</v>
      </c>
      <c r="C13" s="15">
        <f t="shared" ref="C13:C19" si="3">B13/1000000</f>
        <v>505.743964</v>
      </c>
      <c r="D13" s="1">
        <f t="shared" ref="D13:D18" si="4">C13/C$9</f>
        <v>0.5945417885</v>
      </c>
    </row>
    <row r="14" ht="15.75" customHeight="1">
      <c r="A14" s="6" t="s">
        <v>26</v>
      </c>
      <c r="B14" s="40">
        <v>4.5916553319222786E7</v>
      </c>
      <c r="C14" s="15">
        <f t="shared" si="3"/>
        <v>45.91655332</v>
      </c>
      <c r="D14" s="1">
        <f t="shared" si="4"/>
        <v>0.05397851813</v>
      </c>
    </row>
    <row r="15" ht="15.75" customHeight="1">
      <c r="A15" s="6" t="s">
        <v>28</v>
      </c>
      <c r="B15" s="40">
        <v>2.733145849763439E8</v>
      </c>
      <c r="C15" s="15">
        <f t="shared" si="3"/>
        <v>273.314585</v>
      </c>
      <c r="D15" s="1">
        <f t="shared" si="4"/>
        <v>0.3213027811</v>
      </c>
    </row>
    <row r="16" ht="15.75" customHeight="1">
      <c r="A16" s="6" t="s">
        <v>29</v>
      </c>
      <c r="B16" s="40">
        <v>6374980.097670273</v>
      </c>
      <c r="C16" s="15">
        <f t="shared" si="3"/>
        <v>6.374980098</v>
      </c>
      <c r="D16" s="1">
        <f t="shared" si="4"/>
        <v>0.007494290271</v>
      </c>
    </row>
    <row r="17" ht="15.75" customHeight="1">
      <c r="A17" s="6" t="s">
        <v>30</v>
      </c>
      <c r="B17" s="40">
        <v>1.929361521263376E7</v>
      </c>
      <c r="C17" s="15">
        <f t="shared" si="3"/>
        <v>19.29361521</v>
      </c>
      <c r="D17" s="1">
        <f t="shared" si="4"/>
        <v>0.02268116144</v>
      </c>
    </row>
    <row r="18" ht="15.75" customHeight="1">
      <c r="A18" s="45" t="s">
        <v>32</v>
      </c>
      <c r="B18" s="48">
        <v>1242.4168973205565</v>
      </c>
      <c r="C18" s="50">
        <f t="shared" si="3"/>
        <v>0.001242416897</v>
      </c>
      <c r="D18" s="52">
        <f t="shared" si="4"/>
        <v>0.000001460558735</v>
      </c>
    </row>
    <row r="19" ht="15.75" customHeight="1">
      <c r="A19" s="29" t="s">
        <v>21</v>
      </c>
      <c r="B19" s="34">
        <f>SUM(B13:B18)</f>
        <v>850644940</v>
      </c>
      <c r="C19" s="35">
        <f t="shared" si="3"/>
        <v>850.64494</v>
      </c>
      <c r="D19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27.67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J1" s="1"/>
      <c r="N1" s="3"/>
    </row>
    <row r="2">
      <c r="A2" s="5" t="s">
        <v>1</v>
      </c>
      <c r="J2" s="1"/>
      <c r="N2" s="3"/>
    </row>
    <row r="3" ht="15.75" customHeight="1">
      <c r="G3" s="6"/>
      <c r="H3" s="6"/>
      <c r="I3" s="6"/>
      <c r="J3" s="1"/>
      <c r="K3" s="6"/>
      <c r="L3" s="6"/>
      <c r="M3" s="6"/>
      <c r="N3" s="3"/>
    </row>
    <row r="4" ht="15.75" customHeight="1">
      <c r="C4" s="11" t="s">
        <v>6</v>
      </c>
      <c r="D4" s="11" t="s">
        <v>7</v>
      </c>
      <c r="G4" s="6"/>
      <c r="H4" s="6"/>
      <c r="I4" s="6"/>
      <c r="J4" s="1"/>
      <c r="K4" s="6"/>
      <c r="L4" s="6"/>
      <c r="M4" s="6"/>
      <c r="N4" s="3"/>
    </row>
    <row r="5" ht="15.75" customHeight="1">
      <c r="B5" s="16" t="s">
        <v>9</v>
      </c>
      <c r="C5" s="17">
        <v>8.027172789125572E7</v>
      </c>
      <c r="D5" s="19">
        <f t="shared" ref="D5:D36" si="1">C5/1000000</f>
        <v>80.27172789</v>
      </c>
      <c r="E5" s="21">
        <f t="shared" ref="E5:E35" si="2">C5/$C$36</f>
        <v>0.601179487</v>
      </c>
      <c r="G5" s="22"/>
      <c r="H5" s="23"/>
      <c r="I5" s="24"/>
      <c r="J5" s="25"/>
      <c r="K5" s="6"/>
      <c r="L5" s="6"/>
      <c r="M5" s="6"/>
      <c r="N5" s="3"/>
    </row>
    <row r="6" ht="15.75" customHeight="1">
      <c r="B6" s="26" t="s">
        <v>20</v>
      </c>
      <c r="C6" s="27">
        <v>1.0794247709054664E7</v>
      </c>
      <c r="D6" s="28">
        <f t="shared" si="1"/>
        <v>10.79424771</v>
      </c>
      <c r="E6" s="30">
        <f t="shared" si="2"/>
        <v>0.0808414179</v>
      </c>
      <c r="G6" s="32" t="s">
        <v>22</v>
      </c>
      <c r="H6" s="32">
        <f>C5</f>
        <v>80271727.89</v>
      </c>
      <c r="I6" s="37">
        <f>H6/1000000</f>
        <v>80.27172789</v>
      </c>
      <c r="J6" s="38">
        <f>E5</f>
        <v>0.601179487</v>
      </c>
      <c r="K6" s="39" t="str">
        <f t="shared" ref="K6:L6" si="3">B6</f>
        <v>1.1. Forest Formation</v>
      </c>
      <c r="L6" s="39">
        <f t="shared" si="3"/>
        <v>10794247.71</v>
      </c>
      <c r="M6" s="41">
        <f t="shared" ref="M6:M8" si="5">L6/1000000</f>
        <v>10.79424771</v>
      </c>
      <c r="N6" s="43">
        <f t="shared" ref="N6:N8" si="6">M6/I$6</f>
        <v>0.1344713512</v>
      </c>
    </row>
    <row r="7" ht="15.75" customHeight="1">
      <c r="B7" s="26" t="s">
        <v>27</v>
      </c>
      <c r="C7" s="27">
        <v>6.942034542402254E7</v>
      </c>
      <c r="D7" s="28">
        <f t="shared" si="1"/>
        <v>69.42034542</v>
      </c>
      <c r="E7" s="30">
        <f t="shared" si="2"/>
        <v>0.5199101694</v>
      </c>
      <c r="G7" s="44"/>
      <c r="H7" s="44"/>
      <c r="I7" s="44"/>
      <c r="J7" s="44"/>
      <c r="K7" s="39" t="str">
        <f t="shared" ref="K7:L7" si="4">B7</f>
        <v>1.2. Savanna Formation</v>
      </c>
      <c r="L7" s="39">
        <f t="shared" si="4"/>
        <v>69420345.42</v>
      </c>
      <c r="M7" s="41">
        <f t="shared" si="5"/>
        <v>69.42034542</v>
      </c>
      <c r="N7" s="43">
        <f t="shared" si="6"/>
        <v>0.864816882</v>
      </c>
    </row>
    <row r="8" ht="15.75" customHeight="1">
      <c r="B8" s="26" t="s">
        <v>31</v>
      </c>
      <c r="C8" s="27">
        <v>0.0</v>
      </c>
      <c r="D8" s="28">
        <f t="shared" si="1"/>
        <v>0</v>
      </c>
      <c r="E8" s="30">
        <f t="shared" si="2"/>
        <v>0</v>
      </c>
      <c r="G8" s="46"/>
      <c r="H8" s="46"/>
      <c r="I8" s="46"/>
      <c r="J8" s="46"/>
      <c r="K8" s="39" t="str">
        <f t="shared" ref="K8:L8" si="7">B9</f>
        <v>1.4. Mangrove</v>
      </c>
      <c r="L8" s="39">
        <f t="shared" si="7"/>
        <v>57010.41989</v>
      </c>
      <c r="M8" s="41">
        <f t="shared" si="5"/>
        <v>0.05701041989</v>
      </c>
      <c r="N8" s="43">
        <f t="shared" si="6"/>
        <v>0.0007102179233</v>
      </c>
      <c r="O8" s="51"/>
    </row>
    <row r="9" ht="15.75" customHeight="1">
      <c r="B9" s="26" t="s">
        <v>36</v>
      </c>
      <c r="C9" s="27">
        <v>57010.41988603682</v>
      </c>
      <c r="D9" s="28">
        <f t="shared" si="1"/>
        <v>0.05701041989</v>
      </c>
      <c r="E9" s="30">
        <f t="shared" si="2"/>
        <v>0.0004269684468</v>
      </c>
      <c r="G9" s="22"/>
      <c r="H9" s="23"/>
      <c r="I9" s="24"/>
      <c r="J9" s="25"/>
      <c r="K9" s="6"/>
      <c r="L9" s="6"/>
      <c r="M9" s="6"/>
      <c r="N9" s="3"/>
      <c r="O9" s="51"/>
    </row>
    <row r="10" ht="15.75" customHeight="1">
      <c r="B10" s="26" t="s">
        <v>37</v>
      </c>
      <c r="C10" s="27">
        <v>0.0</v>
      </c>
      <c r="D10" s="28">
        <f t="shared" si="1"/>
        <v>0</v>
      </c>
      <c r="E10" s="30">
        <f t="shared" si="2"/>
        <v>0</v>
      </c>
      <c r="G10" s="56" t="s">
        <v>38</v>
      </c>
      <c r="H10" s="56">
        <f>C12</f>
        <v>2888146.737</v>
      </c>
      <c r="I10" s="58">
        <f>H10/1000000</f>
        <v>2.888146737</v>
      </c>
      <c r="J10" s="38">
        <f>E12</f>
        <v>0.02163021302</v>
      </c>
      <c r="K10" s="39" t="str">
        <f t="shared" ref="K10:L10" si="8">B15</f>
        <v>2.3. Grassland Formation</v>
      </c>
      <c r="L10" s="39">
        <f t="shared" si="8"/>
        <v>1432294.718</v>
      </c>
      <c r="M10" s="59">
        <f t="shared" ref="M10:M13" si="10">L10/1000000</f>
        <v>1.432294718</v>
      </c>
      <c r="N10" s="43">
        <f t="shared" ref="N10:N13" si="11">M10/I$10</f>
        <v>0.4959217269</v>
      </c>
    </row>
    <row r="11" ht="15.75" customHeight="1">
      <c r="B11" s="26" t="s">
        <v>39</v>
      </c>
      <c r="C11" s="26">
        <v>124.3382924804688</v>
      </c>
      <c r="D11" s="28">
        <f t="shared" si="1"/>
        <v>0.0001243382925</v>
      </c>
      <c r="E11" s="30">
        <f t="shared" si="2"/>
        <v>0.0000009312074481</v>
      </c>
      <c r="G11" s="44"/>
      <c r="H11" s="44"/>
      <c r="I11" s="44"/>
      <c r="J11" s="44"/>
      <c r="K11" s="39" t="str">
        <f t="shared" ref="K11:L11" si="9">B16</f>
        <v>2.4. Herbaceous-Shrub Mosaic</v>
      </c>
      <c r="L11" s="39">
        <f t="shared" si="9"/>
        <v>629110.7382</v>
      </c>
      <c r="M11" s="59">
        <f t="shared" si="10"/>
        <v>0.6291107382</v>
      </c>
      <c r="N11" s="43">
        <f t="shared" si="11"/>
        <v>0.2178250607</v>
      </c>
    </row>
    <row r="12" ht="15.75" customHeight="1">
      <c r="B12" s="16" t="s">
        <v>10</v>
      </c>
      <c r="C12" s="17">
        <v>2888146.7370836088</v>
      </c>
      <c r="D12" s="19">
        <f t="shared" si="1"/>
        <v>2.888146737</v>
      </c>
      <c r="E12" s="21">
        <f t="shared" si="2"/>
        <v>0.02163021302</v>
      </c>
      <c r="G12" s="44"/>
      <c r="H12" s="44"/>
      <c r="I12" s="44"/>
      <c r="J12" s="44"/>
      <c r="K12" s="39" t="str">
        <f t="shared" ref="K12:L12" si="12">B18</f>
        <v>2.6. Rocky Outcrop</v>
      </c>
      <c r="L12" s="39">
        <f t="shared" si="12"/>
        <v>413804.0477</v>
      </c>
      <c r="M12" s="59">
        <f t="shared" si="10"/>
        <v>0.4138040477</v>
      </c>
      <c r="N12" s="43">
        <f t="shared" si="11"/>
        <v>0.1432766703</v>
      </c>
    </row>
    <row r="13" ht="15.75" customHeight="1">
      <c r="B13" s="26" t="s">
        <v>40</v>
      </c>
      <c r="C13" s="27">
        <v>387205.73472279264</v>
      </c>
      <c r="D13" s="28">
        <f t="shared" si="1"/>
        <v>0.3872057347</v>
      </c>
      <c r="E13" s="30">
        <f t="shared" si="2"/>
        <v>0.002899902009</v>
      </c>
      <c r="G13" s="63"/>
      <c r="H13" s="63"/>
      <c r="I13" s="63"/>
      <c r="J13" s="63"/>
      <c r="K13" s="64" t="s">
        <v>41</v>
      </c>
      <c r="L13" s="65">
        <f>SUM(C13,C14,C17,C19,)</f>
        <v>412937.2337</v>
      </c>
      <c r="M13" s="66">
        <f t="shared" si="10"/>
        <v>0.4129372337</v>
      </c>
      <c r="N13" s="43">
        <f t="shared" si="11"/>
        <v>0.1429765422</v>
      </c>
    </row>
    <row r="14" ht="15.75" customHeight="1">
      <c r="B14" s="26" t="s">
        <v>42</v>
      </c>
      <c r="C14" s="27">
        <v>0.0</v>
      </c>
      <c r="D14" s="28">
        <f t="shared" si="1"/>
        <v>0</v>
      </c>
      <c r="E14" s="30">
        <f t="shared" si="2"/>
        <v>0</v>
      </c>
      <c r="G14" s="67"/>
      <c r="H14" s="68"/>
      <c r="I14" s="68"/>
      <c r="J14" s="69"/>
      <c r="K14" s="6"/>
      <c r="L14" s="6"/>
      <c r="M14" s="6"/>
      <c r="N14" s="70"/>
    </row>
    <row r="15" ht="15.75" customHeight="1">
      <c r="B15" s="26" t="s">
        <v>43</v>
      </c>
      <c r="C15" s="27">
        <v>1432294.7175039607</v>
      </c>
      <c r="D15" s="28">
        <f t="shared" si="1"/>
        <v>1.432294718</v>
      </c>
      <c r="E15" s="30">
        <f t="shared" si="2"/>
        <v>0.01072689259</v>
      </c>
      <c r="G15" s="56" t="s">
        <v>34</v>
      </c>
      <c r="H15" s="32">
        <f>C20</f>
        <v>47985958.72</v>
      </c>
      <c r="I15" s="37">
        <f>H15/1000000</f>
        <v>47.98595872</v>
      </c>
      <c r="J15" s="38">
        <f>E20</f>
        <v>0.3593815009</v>
      </c>
      <c r="K15" s="39" t="str">
        <f t="shared" ref="K15:L15" si="13">B21</f>
        <v>3.1. Pasture</v>
      </c>
      <c r="L15" s="39">
        <f t="shared" si="13"/>
        <v>36405071.04</v>
      </c>
      <c r="M15" s="59">
        <f t="shared" ref="M15:M18" si="15">L15/1000000</f>
        <v>36.40507104</v>
      </c>
      <c r="N15" s="43">
        <f t="shared" ref="N15:N18" si="16">M15/I$15</f>
        <v>0.7586609084</v>
      </c>
      <c r="O15" s="74"/>
    </row>
    <row r="16" ht="15.75" customHeight="1">
      <c r="B16" s="26" t="s">
        <v>46</v>
      </c>
      <c r="C16" s="27">
        <v>629110.7381951921</v>
      </c>
      <c r="D16" s="28">
        <f t="shared" si="1"/>
        <v>0.6291107382</v>
      </c>
      <c r="E16" s="30">
        <f t="shared" si="2"/>
        <v>0.004711602463</v>
      </c>
      <c r="G16" s="44"/>
      <c r="H16" s="44"/>
      <c r="I16" s="44"/>
      <c r="J16" s="44"/>
      <c r="K16" s="39" t="str">
        <f t="shared" ref="K16:L16" si="14">B22</f>
        <v>3.2. Agriculture</v>
      </c>
      <c r="L16" s="39">
        <f t="shared" si="14"/>
        <v>5725493.146</v>
      </c>
      <c r="M16" s="59">
        <f t="shared" si="15"/>
        <v>5.725493146</v>
      </c>
      <c r="N16" s="43">
        <f t="shared" si="16"/>
        <v>0.1193160103</v>
      </c>
      <c r="O16" s="74"/>
    </row>
    <row r="17" ht="15.75" customHeight="1">
      <c r="B17" s="26" t="s">
        <v>48</v>
      </c>
      <c r="C17" s="27">
        <v>10862.01945166017</v>
      </c>
      <c r="D17" s="28">
        <f t="shared" si="1"/>
        <v>0.01086201945</v>
      </c>
      <c r="E17" s="30">
        <f t="shared" si="2"/>
        <v>0.00008134898118</v>
      </c>
      <c r="G17" s="44"/>
      <c r="H17" s="44"/>
      <c r="I17" s="44"/>
      <c r="J17" s="44"/>
      <c r="K17" s="39" t="str">
        <f t="shared" ref="K17:L17" si="17">B23</f>
        <v>3.3. Forest Plantation</v>
      </c>
      <c r="L17" s="39">
        <f t="shared" si="17"/>
        <v>847823.1418</v>
      </c>
      <c r="M17" s="59">
        <f t="shared" si="15"/>
        <v>0.8478231418</v>
      </c>
      <c r="N17" s="43">
        <f t="shared" si="16"/>
        <v>0.01766815052</v>
      </c>
    </row>
    <row r="18" ht="15.75" customHeight="1">
      <c r="B18" s="26" t="s">
        <v>50</v>
      </c>
      <c r="C18" s="27">
        <v>413804.0476835625</v>
      </c>
      <c r="D18" s="28">
        <f t="shared" si="1"/>
        <v>0.4138040477</v>
      </c>
      <c r="E18" s="30">
        <f t="shared" si="2"/>
        <v>0.003099104898</v>
      </c>
      <c r="G18" s="46"/>
      <c r="H18" s="46"/>
      <c r="I18" s="46"/>
      <c r="J18" s="46"/>
      <c r="K18" s="39" t="str">
        <f t="shared" ref="K18:L18" si="18">B24</f>
        <v>3.4. Mosaic of Uses</v>
      </c>
      <c r="L18" s="39">
        <f t="shared" si="18"/>
        <v>5007571.398</v>
      </c>
      <c r="M18" s="59">
        <f t="shared" si="15"/>
        <v>5.007571398</v>
      </c>
      <c r="N18" s="43">
        <f t="shared" si="16"/>
        <v>0.1043549307</v>
      </c>
      <c r="O18" s="74"/>
    </row>
    <row r="19" ht="15.75" customHeight="1">
      <c r="B19" s="26" t="s">
        <v>51</v>
      </c>
      <c r="C19" s="27">
        <v>14869.479526440591</v>
      </c>
      <c r="D19" s="28">
        <f t="shared" si="1"/>
        <v>0.01486947953</v>
      </c>
      <c r="E19" s="30">
        <f t="shared" si="2"/>
        <v>0.0001113620736</v>
      </c>
      <c r="G19" s="81"/>
      <c r="H19" s="81"/>
      <c r="I19" s="81"/>
      <c r="J19" s="82"/>
      <c r="K19" s="83"/>
      <c r="L19" s="83"/>
      <c r="M19" s="83"/>
      <c r="N19" s="70"/>
      <c r="O19" s="74"/>
    </row>
    <row r="20" ht="15.75" customHeight="1">
      <c r="B20" s="16" t="s">
        <v>11</v>
      </c>
      <c r="C20" s="17">
        <v>4.798595872232352E7</v>
      </c>
      <c r="D20" s="19">
        <f t="shared" si="1"/>
        <v>47.98595872</v>
      </c>
      <c r="E20" s="21">
        <f t="shared" si="2"/>
        <v>0.3593815009</v>
      </c>
      <c r="G20" s="32" t="s">
        <v>52</v>
      </c>
      <c r="H20" s="32">
        <f>C25</f>
        <v>1154181.628</v>
      </c>
      <c r="I20" s="37">
        <f>H20/1000000</f>
        <v>1.154181628</v>
      </c>
      <c r="J20" s="38">
        <f>E25</f>
        <v>0.008644018728</v>
      </c>
      <c r="K20" s="39" t="str">
        <f t="shared" ref="K20:L20" si="19">B26</f>
        <v>4.1. Beach, Dune and Sand Spot</v>
      </c>
      <c r="L20" s="39">
        <f t="shared" si="19"/>
        <v>162925.1186</v>
      </c>
      <c r="M20" s="59">
        <f t="shared" ref="M20:M25" si="21">L20/1000000</f>
        <v>0.1629251186</v>
      </c>
      <c r="N20" s="43">
        <f t="shared" ref="N20:N25" si="22">M20/$I$20</f>
        <v>0.1411607277</v>
      </c>
      <c r="O20" s="74"/>
    </row>
    <row r="21" ht="15.75" customHeight="1">
      <c r="B21" s="26" t="s">
        <v>53</v>
      </c>
      <c r="C21" s="27">
        <v>3.640507103607666E7</v>
      </c>
      <c r="D21" s="28">
        <f t="shared" si="1"/>
        <v>36.40507104</v>
      </c>
      <c r="E21" s="30">
        <f t="shared" si="2"/>
        <v>0.2726486959</v>
      </c>
      <c r="G21" s="44"/>
      <c r="H21" s="44"/>
      <c r="I21" s="44"/>
      <c r="J21" s="44"/>
      <c r="K21" s="39" t="str">
        <f t="shared" ref="K21:L21" si="20">B27</f>
        <v>4.2. Urban Area</v>
      </c>
      <c r="L21" s="39">
        <f t="shared" si="20"/>
        <v>652721.2259</v>
      </c>
      <c r="M21" s="59">
        <f t="shared" si="21"/>
        <v>0.6527212259</v>
      </c>
      <c r="N21" s="43">
        <f t="shared" si="22"/>
        <v>0.5655273051</v>
      </c>
      <c r="O21" s="74"/>
    </row>
    <row r="22" ht="15.75" customHeight="1">
      <c r="B22" s="84" t="s">
        <v>54</v>
      </c>
      <c r="C22" s="27">
        <v>5725493.146077452</v>
      </c>
      <c r="D22" s="85">
        <f t="shared" si="1"/>
        <v>5.725493146</v>
      </c>
      <c r="E22" s="86">
        <f t="shared" si="2"/>
        <v>0.04287996687</v>
      </c>
      <c r="G22" s="44"/>
      <c r="H22" s="44"/>
      <c r="I22" s="44"/>
      <c r="J22" s="44"/>
      <c r="K22" s="39" t="str">
        <f t="shared" ref="K22:L22" si="23">B28</f>
        <v>4.3. Mining</v>
      </c>
      <c r="L22" s="39">
        <f t="shared" si="23"/>
        <v>13694.62714</v>
      </c>
      <c r="M22" s="59">
        <f t="shared" si="21"/>
        <v>0.01369462714</v>
      </c>
      <c r="N22" s="43">
        <f t="shared" si="22"/>
        <v>0.01186522711</v>
      </c>
    </row>
    <row r="23" ht="15.75" customHeight="1">
      <c r="B23" s="26" t="s">
        <v>55</v>
      </c>
      <c r="C23" s="27">
        <v>847823.1417721952</v>
      </c>
      <c r="D23" s="28">
        <f t="shared" si="1"/>
        <v>0.8478231418</v>
      </c>
      <c r="E23" s="30">
        <f t="shared" si="2"/>
        <v>0.006349606453</v>
      </c>
      <c r="G23" s="44"/>
      <c r="H23" s="44"/>
      <c r="I23" s="44"/>
      <c r="J23" s="44"/>
      <c r="K23" s="39" t="str">
        <f t="shared" ref="K23:L23" si="24">B29</f>
        <v>4.4. Photovoltaic Power Plant</v>
      </c>
      <c r="L23" s="39">
        <f t="shared" si="24"/>
        <v>36419.48552</v>
      </c>
      <c r="M23" s="59">
        <f t="shared" si="21"/>
        <v>0.03641948552</v>
      </c>
      <c r="N23" s="43">
        <f t="shared" si="22"/>
        <v>0.03155437986</v>
      </c>
    </row>
    <row r="24" ht="15.75" customHeight="1">
      <c r="B24" s="26" t="s">
        <v>56</v>
      </c>
      <c r="C24" s="27">
        <v>5007571.3983972175</v>
      </c>
      <c r="D24" s="28">
        <f t="shared" si="1"/>
        <v>5.007571398</v>
      </c>
      <c r="E24" s="30">
        <f t="shared" si="2"/>
        <v>0.03750323163</v>
      </c>
      <c r="G24" s="44"/>
      <c r="H24" s="44"/>
      <c r="I24" s="44"/>
      <c r="J24" s="44"/>
      <c r="K24" s="39" t="str">
        <f t="shared" ref="K24:L24" si="25">B30</f>
        <v>4.5. Wind Farm  (beta)</v>
      </c>
      <c r="L24" s="39">
        <f t="shared" si="25"/>
        <v>26186.05192</v>
      </c>
      <c r="M24" s="59">
        <f t="shared" si="21"/>
        <v>0.02618605192</v>
      </c>
      <c r="N24" s="43">
        <f t="shared" si="22"/>
        <v>0.02268798192</v>
      </c>
      <c r="O24" s="74"/>
    </row>
    <row r="25" ht="15.75" customHeight="1">
      <c r="B25" s="16" t="s">
        <v>12</v>
      </c>
      <c r="C25" s="17">
        <v>1154181.6283401398</v>
      </c>
      <c r="D25" s="19">
        <f t="shared" si="1"/>
        <v>1.154181628</v>
      </c>
      <c r="E25" s="21">
        <f t="shared" si="2"/>
        <v>0.008644018728</v>
      </c>
      <c r="G25" s="63"/>
      <c r="H25" s="63"/>
      <c r="I25" s="63"/>
      <c r="J25" s="63"/>
      <c r="K25" s="39" t="str">
        <f t="shared" ref="K25:L25" si="26">B31</f>
        <v>4.6. Other non Vegetated Areas</v>
      </c>
      <c r="L25" s="39">
        <f t="shared" si="26"/>
        <v>262235.1193</v>
      </c>
      <c r="M25" s="59">
        <f t="shared" si="21"/>
        <v>0.2622351193</v>
      </c>
      <c r="N25" s="43">
        <f t="shared" si="22"/>
        <v>0.2272043783</v>
      </c>
      <c r="O25" s="74"/>
    </row>
    <row r="26" ht="15.75" customHeight="1">
      <c r="B26" s="87" t="s">
        <v>57</v>
      </c>
      <c r="C26" s="27">
        <v>162925.1185713538</v>
      </c>
      <c r="D26" s="28">
        <f t="shared" si="1"/>
        <v>0.1629251186</v>
      </c>
      <c r="E26" s="30">
        <f t="shared" si="2"/>
        <v>0.001220195974</v>
      </c>
      <c r="G26" s="83"/>
      <c r="H26" s="83"/>
      <c r="I26" s="83"/>
      <c r="J26" s="89"/>
      <c r="K26" s="83"/>
      <c r="L26" s="83"/>
      <c r="M26" s="83"/>
      <c r="N26" s="70"/>
      <c r="O26" s="74"/>
    </row>
    <row r="27" ht="15.75" customHeight="1">
      <c r="B27" s="26" t="s">
        <v>59</v>
      </c>
      <c r="C27" s="27">
        <v>652721.2258839407</v>
      </c>
      <c r="D27" s="28">
        <f t="shared" si="1"/>
        <v>0.6527212259</v>
      </c>
      <c r="E27" s="30">
        <f t="shared" si="2"/>
        <v>0.004888428616</v>
      </c>
      <c r="G27" s="32" t="s">
        <v>60</v>
      </c>
      <c r="H27" s="32">
        <f>C32</f>
        <v>1223715.673</v>
      </c>
      <c r="I27" s="37">
        <f>H27/1000000</f>
        <v>1.223715673</v>
      </c>
      <c r="J27" s="38">
        <f>E32</f>
        <v>0.009164780429</v>
      </c>
      <c r="K27" s="39" t="str">
        <f t="shared" ref="K27:L27" si="27">B33</f>
        <v>5.1. River, Lake and Ocean</v>
      </c>
      <c r="L27" s="39">
        <f t="shared" si="27"/>
        <v>1174171.412</v>
      </c>
      <c r="M27" s="59">
        <f t="shared" ref="M27:M28" si="29">L27/1000000</f>
        <v>1.174171412</v>
      </c>
      <c r="N27" s="43">
        <f t="shared" ref="N27:N28" si="30">M27/$I$27</f>
        <v>0.9595132577</v>
      </c>
      <c r="O27" s="74"/>
    </row>
    <row r="28" ht="15.75" customHeight="1">
      <c r="B28" s="84" t="s">
        <v>61</v>
      </c>
      <c r="C28" s="27">
        <v>13694.627141784922</v>
      </c>
      <c r="D28" s="85">
        <f t="shared" si="1"/>
        <v>0.01369462714</v>
      </c>
      <c r="E28" s="93">
        <f t="shared" si="2"/>
        <v>0.0001025632453</v>
      </c>
      <c r="G28" s="46"/>
      <c r="H28" s="46"/>
      <c r="I28" s="46"/>
      <c r="J28" s="46"/>
      <c r="K28" s="39" t="str">
        <f t="shared" ref="K28:L28" si="28">B34</f>
        <v>5.2. Aquaculture</v>
      </c>
      <c r="L28" s="39">
        <f t="shared" si="28"/>
        <v>49544.26108</v>
      </c>
      <c r="M28" s="59">
        <f t="shared" si="29"/>
        <v>0.04954426108</v>
      </c>
      <c r="N28" s="43">
        <f t="shared" si="30"/>
        <v>0.04048674226</v>
      </c>
      <c r="O28" s="74"/>
    </row>
    <row r="29" ht="15.75" customHeight="1">
      <c r="B29" s="94" t="s">
        <v>77</v>
      </c>
      <c r="C29" s="27">
        <v>36419.48552308982</v>
      </c>
      <c r="D29" s="28">
        <f t="shared" si="1"/>
        <v>0.03641948552</v>
      </c>
      <c r="E29" s="30">
        <f t="shared" si="2"/>
        <v>0.0002727566504</v>
      </c>
      <c r="G29" s="68"/>
      <c r="H29" s="68"/>
      <c r="I29" s="68"/>
      <c r="J29" s="69"/>
      <c r="K29" s="6"/>
      <c r="L29" s="6"/>
      <c r="M29" s="96">
        <f t="shared" ref="M29:N29" si="31">SUM(M6:M28)</f>
        <v>133.5236063</v>
      </c>
      <c r="N29" s="3">
        <f t="shared" si="31"/>
        <v>4.999998451</v>
      </c>
    </row>
    <row r="30" ht="15.75" customHeight="1">
      <c r="B30" s="94" t="s">
        <v>89</v>
      </c>
      <c r="C30" s="27">
        <v>26186.051918914818</v>
      </c>
      <c r="D30" s="28">
        <f t="shared" si="1"/>
        <v>0.02618605192</v>
      </c>
      <c r="E30" s="30">
        <f t="shared" si="2"/>
        <v>0.0001961153406</v>
      </c>
      <c r="G30" s="26"/>
      <c r="H30" s="98"/>
      <c r="I30" s="74"/>
      <c r="J30" s="99"/>
      <c r="K30" s="6"/>
      <c r="L30" s="6"/>
      <c r="M30" s="6"/>
      <c r="N30" s="3"/>
      <c r="O30" s="74"/>
    </row>
    <row r="31" ht="15.75" customHeight="1">
      <c r="B31" s="84" t="s">
        <v>90</v>
      </c>
      <c r="C31" s="27">
        <v>262235.1193010558</v>
      </c>
      <c r="D31" s="85">
        <f t="shared" si="1"/>
        <v>0.2622351193</v>
      </c>
      <c r="E31" s="86">
        <f t="shared" si="2"/>
        <v>0.001963958901</v>
      </c>
      <c r="G31" s="99"/>
      <c r="H31" s="6"/>
      <c r="I31" s="6"/>
      <c r="J31" s="6"/>
      <c r="K31" s="3"/>
      <c r="L31" s="74"/>
      <c r="O31" s="74"/>
    </row>
    <row r="32" ht="15.75" customHeight="1">
      <c r="B32" s="16" t="s">
        <v>13</v>
      </c>
      <c r="C32" s="17">
        <v>1223715.6734411672</v>
      </c>
      <c r="D32" s="19">
        <f t="shared" si="1"/>
        <v>1.223715673</v>
      </c>
      <c r="E32" s="21">
        <f t="shared" si="2"/>
        <v>0.009164780429</v>
      </c>
      <c r="G32" s="100"/>
      <c r="H32" s="6"/>
      <c r="I32" s="6"/>
      <c r="J32" s="6"/>
      <c r="K32" s="3"/>
    </row>
    <row r="33" ht="15.75" customHeight="1">
      <c r="B33" s="6" t="s">
        <v>91</v>
      </c>
      <c r="C33" s="27">
        <v>1174171.412365983</v>
      </c>
      <c r="D33" s="85">
        <f t="shared" si="1"/>
        <v>1.174171412</v>
      </c>
      <c r="E33" s="86">
        <f t="shared" si="2"/>
        <v>0.008793728326</v>
      </c>
      <c r="G33" s="1"/>
      <c r="K33" s="3"/>
    </row>
    <row r="34" ht="15.75" customHeight="1">
      <c r="B34" s="6" t="s">
        <v>92</v>
      </c>
      <c r="C34" s="27">
        <v>49544.261075184215</v>
      </c>
      <c r="D34" s="85">
        <f t="shared" si="1"/>
        <v>0.04954426108</v>
      </c>
      <c r="E34" s="86">
        <f t="shared" si="2"/>
        <v>0.0003710521031</v>
      </c>
      <c r="G34" s="1"/>
      <c r="K34" s="3"/>
    </row>
    <row r="35" ht="15.75" customHeight="1">
      <c r="B35" s="16" t="s">
        <v>93</v>
      </c>
      <c r="C35" s="17">
        <v>0.0</v>
      </c>
      <c r="D35" s="19">
        <f t="shared" si="1"/>
        <v>0</v>
      </c>
      <c r="E35" s="21">
        <f t="shared" si="2"/>
        <v>0</v>
      </c>
      <c r="G35" s="1"/>
      <c r="K35" s="3"/>
    </row>
    <row r="36" ht="15.75" customHeight="1">
      <c r="B36" s="101" t="s">
        <v>94</v>
      </c>
      <c r="C36" s="102">
        <f>SUM(C5,C12,C20,C25,C32,C35)</f>
        <v>133523730.7</v>
      </c>
      <c r="D36" s="103">
        <f t="shared" si="1"/>
        <v>133.5237307</v>
      </c>
      <c r="E36" s="101">
        <f>SUM(E5:E35)</f>
        <v>2</v>
      </c>
      <c r="G36" s="1"/>
      <c r="K36" s="3"/>
    </row>
    <row r="37" ht="15.75" customHeight="1">
      <c r="G37" s="1"/>
      <c r="K37" s="3"/>
    </row>
    <row r="38" ht="15.75" customHeight="1">
      <c r="G38" s="1"/>
      <c r="K38" s="3"/>
    </row>
    <row r="39" ht="15.75" customHeight="1">
      <c r="G39" s="1"/>
      <c r="K39" s="3"/>
    </row>
    <row r="40" ht="15.75" customHeight="1">
      <c r="G40" s="1"/>
      <c r="K40" s="3"/>
    </row>
    <row r="41" ht="15.75" customHeight="1">
      <c r="G41" s="1"/>
      <c r="K41" s="3"/>
    </row>
    <row r="42" ht="15.75" customHeight="1">
      <c r="G42" s="1"/>
      <c r="K42" s="3"/>
    </row>
    <row r="43" ht="15.75" customHeight="1">
      <c r="G43" s="1"/>
      <c r="K43" s="3"/>
    </row>
    <row r="44" ht="15.75" customHeight="1">
      <c r="G44" s="1"/>
      <c r="K44" s="3"/>
    </row>
    <row r="45" ht="15.75" customHeight="1">
      <c r="G45" s="1"/>
      <c r="K45" s="3"/>
    </row>
    <row r="46" ht="15.75" customHeight="1">
      <c r="G46" s="1"/>
      <c r="K46" s="3"/>
    </row>
    <row r="47" ht="15.75" customHeight="1">
      <c r="G47" s="1"/>
      <c r="K47" s="3"/>
    </row>
    <row r="48" ht="15.75" customHeight="1">
      <c r="G48" s="1"/>
      <c r="K48" s="3"/>
    </row>
    <row r="49" ht="15.75" customHeight="1">
      <c r="G49" s="1"/>
      <c r="K49" s="3"/>
    </row>
    <row r="50" ht="15.75" customHeight="1">
      <c r="G50" s="1"/>
      <c r="K50" s="3"/>
    </row>
    <row r="51" ht="15.75" customHeight="1">
      <c r="J51" s="1"/>
      <c r="N51" s="3"/>
    </row>
    <row r="52" ht="15.75" customHeight="1">
      <c r="J52" s="1"/>
      <c r="N52" s="3"/>
    </row>
    <row r="53" ht="15.75" customHeight="1">
      <c r="J53" s="1"/>
      <c r="N53" s="3"/>
    </row>
    <row r="54" ht="15.75" customHeight="1">
      <c r="J54" s="1"/>
      <c r="N54" s="3"/>
    </row>
    <row r="55" ht="15.75" customHeight="1">
      <c r="J55" s="1"/>
      <c r="N55" s="3"/>
    </row>
    <row r="56" ht="15.75" customHeight="1">
      <c r="J56" s="1"/>
      <c r="N56" s="3"/>
    </row>
    <row r="57" ht="15.75" customHeight="1">
      <c r="J57" s="1"/>
      <c r="N57" s="3"/>
    </row>
    <row r="58" ht="15.75" customHeight="1">
      <c r="J58" s="1"/>
      <c r="N58" s="3"/>
    </row>
    <row r="59" ht="15.75" customHeight="1">
      <c r="J59" s="1"/>
      <c r="N59" s="3"/>
    </row>
    <row r="60" ht="15.75" customHeight="1">
      <c r="J60" s="1"/>
      <c r="N60" s="3"/>
    </row>
    <row r="61" ht="15.75" customHeight="1">
      <c r="J61" s="1"/>
      <c r="N61" s="3"/>
    </row>
    <row r="62" ht="15.75" customHeight="1">
      <c r="J62" s="1"/>
      <c r="N62" s="3"/>
    </row>
    <row r="63" ht="15.75" customHeight="1">
      <c r="J63" s="1"/>
      <c r="N63" s="3"/>
    </row>
    <row r="64" ht="15.75" customHeight="1">
      <c r="J64" s="1"/>
      <c r="N64" s="3"/>
    </row>
    <row r="65" ht="15.75" customHeight="1">
      <c r="J65" s="1"/>
      <c r="N65" s="3"/>
    </row>
    <row r="66" ht="15.75" customHeight="1">
      <c r="J66" s="1"/>
      <c r="N66" s="3"/>
    </row>
    <row r="67" ht="15.75" customHeight="1">
      <c r="J67" s="1"/>
      <c r="N67" s="3"/>
    </row>
    <row r="68" ht="15.75" customHeight="1">
      <c r="J68" s="1"/>
      <c r="N68" s="3"/>
    </row>
    <row r="69" ht="15.75" customHeight="1">
      <c r="J69" s="1"/>
      <c r="N69" s="3"/>
    </row>
    <row r="70" ht="15.75" customHeight="1">
      <c r="J70" s="1"/>
      <c r="N70" s="3"/>
    </row>
    <row r="71" ht="15.75" customHeight="1">
      <c r="J71" s="1"/>
      <c r="N71" s="3"/>
    </row>
    <row r="72" ht="15.75" customHeight="1">
      <c r="J72" s="1"/>
      <c r="N72" s="3"/>
    </row>
    <row r="73" ht="15.75" customHeight="1">
      <c r="J73" s="1"/>
      <c r="N73" s="3"/>
    </row>
    <row r="74" ht="15.75" customHeight="1">
      <c r="J74" s="1"/>
      <c r="N74" s="3"/>
    </row>
    <row r="75" ht="15.75" customHeight="1">
      <c r="J75" s="1"/>
      <c r="N75" s="3"/>
    </row>
    <row r="76" ht="15.75" customHeight="1">
      <c r="J76" s="1"/>
      <c r="N76" s="3"/>
    </row>
    <row r="77" ht="15.75" customHeight="1">
      <c r="J77" s="1"/>
      <c r="N77" s="3"/>
    </row>
    <row r="78" ht="15.75" customHeight="1">
      <c r="J78" s="1"/>
      <c r="N78" s="3"/>
    </row>
    <row r="79" ht="15.75" customHeight="1">
      <c r="J79" s="1"/>
      <c r="N79" s="3"/>
    </row>
    <row r="80" ht="15.75" customHeight="1">
      <c r="J80" s="1"/>
      <c r="N80" s="3"/>
    </row>
    <row r="81" ht="15.75" customHeight="1">
      <c r="J81" s="1"/>
      <c r="N81" s="3"/>
    </row>
    <row r="82" ht="15.75" customHeight="1">
      <c r="J82" s="1"/>
      <c r="N82" s="3"/>
    </row>
    <row r="83" ht="15.75" customHeight="1">
      <c r="J83" s="1"/>
      <c r="N83" s="3"/>
    </row>
    <row r="84" ht="15.75" customHeight="1">
      <c r="J84" s="1"/>
      <c r="N84" s="3"/>
    </row>
    <row r="85" ht="15.75" customHeight="1">
      <c r="J85" s="1"/>
      <c r="N85" s="3"/>
    </row>
    <row r="86" ht="15.75" customHeight="1">
      <c r="J86" s="1"/>
      <c r="N86" s="3"/>
    </row>
    <row r="87" ht="15.75" customHeight="1">
      <c r="J87" s="1"/>
      <c r="N87" s="3"/>
    </row>
    <row r="88" ht="15.75" customHeight="1">
      <c r="J88" s="1"/>
      <c r="N88" s="3"/>
    </row>
    <row r="89" ht="15.75" customHeight="1">
      <c r="J89" s="1"/>
      <c r="N89" s="3"/>
    </row>
    <row r="90" ht="15.75" customHeight="1">
      <c r="J90" s="1"/>
      <c r="N90" s="3"/>
    </row>
    <row r="91" ht="15.75" customHeight="1">
      <c r="J91" s="1"/>
      <c r="N91" s="3"/>
    </row>
    <row r="92" ht="15.75" customHeight="1">
      <c r="J92" s="1"/>
      <c r="N92" s="3"/>
    </row>
    <row r="93" ht="15.75" customHeight="1">
      <c r="J93" s="1"/>
      <c r="N93" s="3"/>
    </row>
    <row r="94" ht="15.75" customHeight="1">
      <c r="J94" s="1"/>
      <c r="N94" s="3"/>
    </row>
    <row r="95" ht="15.75" customHeight="1">
      <c r="J95" s="1"/>
      <c r="N95" s="3"/>
    </row>
    <row r="96" ht="15.75" customHeight="1">
      <c r="J96" s="1"/>
      <c r="N96" s="3"/>
    </row>
    <row r="97" ht="15.75" customHeight="1">
      <c r="J97" s="1"/>
      <c r="N97" s="3"/>
    </row>
    <row r="98" ht="15.75" customHeight="1">
      <c r="J98" s="1"/>
      <c r="N98" s="3"/>
    </row>
    <row r="99" ht="15.75" customHeight="1">
      <c r="J99" s="1"/>
      <c r="N99" s="3"/>
    </row>
    <row r="100" ht="15.75" customHeight="1">
      <c r="J100" s="1"/>
      <c r="N100" s="3"/>
    </row>
    <row r="101" ht="15.75" customHeight="1">
      <c r="J101" s="1"/>
      <c r="N101" s="3"/>
    </row>
    <row r="102" ht="15.75" customHeight="1">
      <c r="J102" s="1"/>
      <c r="N102" s="3"/>
    </row>
    <row r="103" ht="15.75" customHeight="1">
      <c r="J103" s="1"/>
      <c r="N103" s="3"/>
    </row>
    <row r="104" ht="15.75" customHeight="1">
      <c r="J104" s="1"/>
      <c r="N104" s="3"/>
    </row>
    <row r="105" ht="15.75" customHeight="1">
      <c r="J105" s="1"/>
      <c r="N105" s="3"/>
    </row>
    <row r="106" ht="15.75" customHeight="1">
      <c r="J106" s="1"/>
      <c r="N106" s="3"/>
    </row>
    <row r="107" ht="15.75" customHeight="1">
      <c r="J107" s="1"/>
      <c r="N107" s="3"/>
    </row>
    <row r="108" ht="15.75" customHeight="1">
      <c r="J108" s="1"/>
      <c r="N108" s="3"/>
    </row>
    <row r="109" ht="15.75" customHeight="1">
      <c r="J109" s="1"/>
      <c r="N109" s="3"/>
    </row>
    <row r="110" ht="15.75" customHeight="1">
      <c r="J110" s="1"/>
      <c r="N110" s="3"/>
    </row>
    <row r="111" ht="15.75" customHeight="1">
      <c r="J111" s="1"/>
      <c r="N111" s="3"/>
    </row>
    <row r="112" ht="15.75" customHeight="1">
      <c r="J112" s="1"/>
      <c r="N112" s="3"/>
    </row>
    <row r="113" ht="15.75" customHeight="1">
      <c r="J113" s="1"/>
      <c r="N113" s="3"/>
    </row>
    <row r="114" ht="15.75" customHeight="1">
      <c r="J114" s="1"/>
      <c r="N114" s="3"/>
    </row>
    <row r="115" ht="15.75" customHeight="1">
      <c r="J115" s="1"/>
      <c r="N115" s="3"/>
    </row>
    <row r="116" ht="15.75" customHeight="1">
      <c r="J116" s="1"/>
      <c r="N116" s="3"/>
    </row>
    <row r="117" ht="15.75" customHeight="1">
      <c r="J117" s="1"/>
      <c r="N117" s="3"/>
    </row>
    <row r="118" ht="15.75" customHeight="1">
      <c r="J118" s="1"/>
      <c r="N118" s="3"/>
    </row>
    <row r="119" ht="15.75" customHeight="1">
      <c r="J119" s="1"/>
      <c r="N119" s="3"/>
    </row>
    <row r="120" ht="15.75" customHeight="1">
      <c r="J120" s="1"/>
      <c r="N120" s="3"/>
    </row>
    <row r="121" ht="15.75" customHeight="1">
      <c r="J121" s="1"/>
      <c r="N121" s="3"/>
    </row>
    <row r="122" ht="15.75" customHeight="1">
      <c r="J122" s="1"/>
      <c r="N122" s="3"/>
    </row>
    <row r="123" ht="15.75" customHeight="1">
      <c r="J123" s="1"/>
      <c r="N123" s="3"/>
    </row>
    <row r="124" ht="15.75" customHeight="1">
      <c r="J124" s="1"/>
      <c r="N124" s="3"/>
    </row>
    <row r="125" ht="15.75" customHeight="1">
      <c r="J125" s="1"/>
      <c r="N125" s="3"/>
    </row>
    <row r="126" ht="15.75" customHeight="1">
      <c r="J126" s="1"/>
      <c r="N126" s="3"/>
    </row>
    <row r="127" ht="15.75" customHeight="1">
      <c r="J127" s="1"/>
      <c r="N127" s="3"/>
    </row>
    <row r="128" ht="15.75" customHeight="1">
      <c r="J128" s="1"/>
      <c r="N128" s="3"/>
    </row>
    <row r="129" ht="15.75" customHeight="1">
      <c r="J129" s="1"/>
      <c r="N129" s="3"/>
    </row>
    <row r="130" ht="15.75" customHeight="1">
      <c r="J130" s="1"/>
      <c r="N130" s="3"/>
    </row>
    <row r="131" ht="15.75" customHeight="1">
      <c r="J131" s="1"/>
      <c r="N131" s="3"/>
    </row>
    <row r="132" ht="15.75" customHeight="1">
      <c r="J132" s="1"/>
      <c r="N132" s="3"/>
    </row>
    <row r="133" ht="15.75" customHeight="1">
      <c r="J133" s="1"/>
      <c r="N133" s="3"/>
    </row>
    <row r="134" ht="15.75" customHeight="1">
      <c r="J134" s="1"/>
      <c r="N134" s="3"/>
    </row>
    <row r="135" ht="15.75" customHeight="1">
      <c r="J135" s="1"/>
      <c r="N135" s="3"/>
    </row>
    <row r="136" ht="15.75" customHeight="1">
      <c r="J136" s="1"/>
      <c r="N136" s="3"/>
    </row>
    <row r="137" ht="15.75" customHeight="1">
      <c r="J137" s="1"/>
      <c r="N137" s="3"/>
    </row>
    <row r="138" ht="15.75" customHeight="1">
      <c r="J138" s="1"/>
      <c r="N138" s="3"/>
    </row>
    <row r="139" ht="15.75" customHeight="1">
      <c r="J139" s="1"/>
      <c r="N139" s="3"/>
    </row>
    <row r="140" ht="15.75" customHeight="1">
      <c r="J140" s="1"/>
      <c r="N140" s="3"/>
    </row>
    <row r="141" ht="15.75" customHeight="1">
      <c r="J141" s="1"/>
      <c r="N141" s="3"/>
    </row>
    <row r="142" ht="15.75" customHeight="1">
      <c r="J142" s="1"/>
      <c r="N142" s="3"/>
    </row>
    <row r="143" ht="15.75" customHeight="1">
      <c r="J143" s="1"/>
      <c r="N143" s="3"/>
    </row>
    <row r="144" ht="15.75" customHeight="1">
      <c r="J144" s="1"/>
      <c r="N144" s="3"/>
    </row>
    <row r="145" ht="15.75" customHeight="1">
      <c r="J145" s="1"/>
      <c r="N145" s="3"/>
    </row>
    <row r="146" ht="15.75" customHeight="1">
      <c r="J146" s="1"/>
      <c r="N146" s="3"/>
    </row>
    <row r="147" ht="15.75" customHeight="1">
      <c r="J147" s="1"/>
      <c r="N147" s="3"/>
    </row>
    <row r="148" ht="15.75" customHeight="1">
      <c r="J148" s="1"/>
      <c r="N148" s="3"/>
    </row>
    <row r="149" ht="15.75" customHeight="1">
      <c r="J149" s="1"/>
      <c r="N149" s="3"/>
    </row>
    <row r="150" ht="15.75" customHeight="1">
      <c r="J150" s="1"/>
      <c r="N150" s="3"/>
    </row>
    <row r="151" ht="15.75" customHeight="1">
      <c r="J151" s="1"/>
      <c r="N151" s="3"/>
    </row>
    <row r="152" ht="15.75" customHeight="1">
      <c r="J152" s="1"/>
      <c r="N152" s="3"/>
    </row>
    <row r="153" ht="15.75" customHeight="1">
      <c r="J153" s="1"/>
      <c r="N153" s="3"/>
    </row>
    <row r="154" ht="15.75" customHeight="1">
      <c r="J154" s="1"/>
      <c r="N154" s="3"/>
    </row>
    <row r="155" ht="15.75" customHeight="1">
      <c r="J155" s="1"/>
      <c r="N155" s="3"/>
    </row>
    <row r="156" ht="15.75" customHeight="1">
      <c r="J156" s="1"/>
      <c r="N156" s="3"/>
    </row>
    <row r="157" ht="15.75" customHeight="1">
      <c r="J157" s="1"/>
      <c r="N157" s="3"/>
    </row>
    <row r="158" ht="15.75" customHeight="1">
      <c r="J158" s="1"/>
      <c r="N158" s="3"/>
    </row>
    <row r="159" ht="15.75" customHeight="1">
      <c r="J159" s="1"/>
      <c r="N159" s="3"/>
    </row>
    <row r="160" ht="15.75" customHeight="1">
      <c r="J160" s="1"/>
      <c r="N160" s="3"/>
    </row>
    <row r="161" ht="15.75" customHeight="1">
      <c r="J161" s="1"/>
      <c r="N161" s="3"/>
    </row>
    <row r="162" ht="15.75" customHeight="1">
      <c r="J162" s="1"/>
      <c r="N162" s="3"/>
    </row>
    <row r="163" ht="15.75" customHeight="1">
      <c r="J163" s="1"/>
      <c r="N163" s="3"/>
    </row>
    <row r="164" ht="15.75" customHeight="1">
      <c r="J164" s="1"/>
      <c r="N164" s="3"/>
    </row>
    <row r="165" ht="15.75" customHeight="1">
      <c r="J165" s="1"/>
      <c r="N165" s="3"/>
    </row>
    <row r="166" ht="15.75" customHeight="1">
      <c r="J166" s="1"/>
      <c r="N166" s="3"/>
    </row>
    <row r="167" ht="15.75" customHeight="1">
      <c r="J167" s="1"/>
      <c r="N167" s="3"/>
    </row>
    <row r="168" ht="15.75" customHeight="1">
      <c r="J168" s="1"/>
      <c r="N168" s="3"/>
    </row>
    <row r="169" ht="15.75" customHeight="1">
      <c r="J169" s="1"/>
      <c r="N169" s="3"/>
    </row>
    <row r="170" ht="15.75" customHeight="1">
      <c r="J170" s="1"/>
      <c r="N170" s="3"/>
    </row>
    <row r="171" ht="15.75" customHeight="1">
      <c r="J171" s="1"/>
      <c r="N171" s="3"/>
    </row>
    <row r="172" ht="15.75" customHeight="1">
      <c r="J172" s="1"/>
      <c r="N172" s="3"/>
    </row>
    <row r="173" ht="15.75" customHeight="1">
      <c r="J173" s="1"/>
      <c r="N173" s="3"/>
    </row>
    <row r="174" ht="15.75" customHeight="1">
      <c r="J174" s="1"/>
      <c r="N174" s="3"/>
    </row>
    <row r="175" ht="15.75" customHeight="1">
      <c r="J175" s="1"/>
      <c r="N175" s="3"/>
    </row>
    <row r="176" ht="15.75" customHeight="1">
      <c r="J176" s="1"/>
      <c r="N176" s="3"/>
    </row>
    <row r="177" ht="15.75" customHeight="1">
      <c r="J177" s="1"/>
      <c r="N177" s="3"/>
    </row>
    <row r="178" ht="15.75" customHeight="1">
      <c r="J178" s="1"/>
      <c r="N178" s="3"/>
    </row>
    <row r="179" ht="15.75" customHeight="1">
      <c r="J179" s="1"/>
      <c r="N179" s="3"/>
    </row>
    <row r="180" ht="15.75" customHeight="1">
      <c r="J180" s="1"/>
      <c r="N180" s="3"/>
    </row>
    <row r="181" ht="15.75" customHeight="1">
      <c r="J181" s="1"/>
      <c r="N181" s="3"/>
    </row>
    <row r="182" ht="15.75" customHeight="1">
      <c r="J182" s="1"/>
      <c r="N182" s="3"/>
    </row>
    <row r="183" ht="15.75" customHeight="1">
      <c r="J183" s="1"/>
      <c r="N183" s="3"/>
    </row>
    <row r="184" ht="15.75" customHeight="1">
      <c r="J184" s="1"/>
      <c r="N184" s="3"/>
    </row>
    <row r="185" ht="15.75" customHeight="1">
      <c r="J185" s="1"/>
      <c r="N185" s="3"/>
    </row>
    <row r="186" ht="15.75" customHeight="1">
      <c r="J186" s="1"/>
      <c r="N186" s="3"/>
    </row>
    <row r="187" ht="15.75" customHeight="1">
      <c r="J187" s="1"/>
      <c r="N187" s="3"/>
    </row>
    <row r="188" ht="15.75" customHeight="1">
      <c r="J188" s="1"/>
      <c r="N188" s="3"/>
    </row>
    <row r="189" ht="15.75" customHeight="1">
      <c r="J189" s="1"/>
      <c r="N189" s="3"/>
    </row>
    <row r="190" ht="15.75" customHeight="1">
      <c r="J190" s="1"/>
      <c r="N190" s="3"/>
    </row>
    <row r="191" ht="15.75" customHeight="1">
      <c r="J191" s="1"/>
      <c r="N191" s="3"/>
    </row>
    <row r="192" ht="15.75" customHeight="1">
      <c r="J192" s="1"/>
      <c r="N192" s="3"/>
    </row>
    <row r="193" ht="15.75" customHeight="1">
      <c r="J193" s="1"/>
      <c r="N193" s="3"/>
    </row>
    <row r="194" ht="15.75" customHeight="1">
      <c r="J194" s="1"/>
      <c r="N194" s="3"/>
    </row>
    <row r="195" ht="15.75" customHeight="1">
      <c r="J195" s="1"/>
      <c r="N195" s="3"/>
    </row>
    <row r="196" ht="15.75" customHeight="1">
      <c r="J196" s="1"/>
      <c r="N196" s="3"/>
    </row>
    <row r="197" ht="15.75" customHeight="1">
      <c r="J197" s="1"/>
      <c r="N197" s="3"/>
    </row>
    <row r="198" ht="15.75" customHeight="1">
      <c r="J198" s="1"/>
      <c r="N198" s="3"/>
    </row>
    <row r="199" ht="15.75" customHeight="1">
      <c r="J199" s="1"/>
      <c r="N199" s="3"/>
    </row>
    <row r="200" ht="15.75" customHeight="1">
      <c r="J200" s="1"/>
      <c r="N200" s="3"/>
    </row>
    <row r="201" ht="15.75" customHeight="1">
      <c r="J201" s="1"/>
      <c r="N201" s="3"/>
    </row>
    <row r="202" ht="15.75" customHeight="1">
      <c r="J202" s="1"/>
      <c r="N202" s="3"/>
    </row>
    <row r="203" ht="15.75" customHeight="1">
      <c r="J203" s="1"/>
      <c r="N203" s="3"/>
    </row>
    <row r="204" ht="15.75" customHeight="1">
      <c r="J204" s="1"/>
      <c r="N204" s="3"/>
    </row>
    <row r="205" ht="15.75" customHeight="1">
      <c r="J205" s="1"/>
      <c r="N205" s="3"/>
    </row>
    <row r="206" ht="15.75" customHeight="1">
      <c r="J206" s="1"/>
      <c r="N206" s="3"/>
    </row>
    <row r="207" ht="15.75" customHeight="1">
      <c r="J207" s="1"/>
      <c r="N207" s="3"/>
    </row>
    <row r="208" ht="15.75" customHeight="1">
      <c r="J208" s="1"/>
      <c r="N208" s="3"/>
    </row>
    <row r="209" ht="15.75" customHeight="1">
      <c r="J209" s="1"/>
      <c r="N209" s="3"/>
    </row>
    <row r="210" ht="15.75" customHeight="1">
      <c r="J210" s="1"/>
      <c r="N210" s="3"/>
    </row>
    <row r="211" ht="15.75" customHeight="1">
      <c r="J211" s="1"/>
      <c r="N211" s="3"/>
    </row>
    <row r="212" ht="15.75" customHeight="1">
      <c r="J212" s="1"/>
      <c r="N212" s="3"/>
    </row>
    <row r="213" ht="15.75" customHeight="1">
      <c r="J213" s="1"/>
      <c r="N213" s="3"/>
    </row>
    <row r="214" ht="15.75" customHeight="1">
      <c r="J214" s="1"/>
      <c r="N214" s="3"/>
    </row>
    <row r="215" ht="15.75" customHeight="1">
      <c r="J215" s="1"/>
      <c r="N215" s="3"/>
    </row>
    <row r="216" ht="15.75" customHeight="1">
      <c r="J216" s="1"/>
      <c r="N216" s="3"/>
    </row>
    <row r="217" ht="15.75" customHeight="1">
      <c r="J217" s="1"/>
      <c r="N217" s="3"/>
    </row>
    <row r="218" ht="15.75" customHeight="1">
      <c r="J218" s="1"/>
      <c r="N218" s="3"/>
    </row>
    <row r="219" ht="15.75" customHeight="1">
      <c r="J219" s="1"/>
      <c r="N219" s="3"/>
    </row>
    <row r="220" ht="15.75" customHeight="1">
      <c r="J220" s="1"/>
      <c r="N220" s="3"/>
    </row>
    <row r="221" ht="15.75" customHeight="1">
      <c r="J221" s="1"/>
      <c r="N221" s="3"/>
    </row>
    <row r="222" ht="15.75" customHeight="1">
      <c r="J222" s="1"/>
      <c r="N222" s="3"/>
    </row>
    <row r="223" ht="15.75" customHeight="1">
      <c r="J223" s="1"/>
      <c r="N223" s="3"/>
    </row>
    <row r="224" ht="15.75" customHeight="1">
      <c r="J224" s="1"/>
      <c r="N224" s="3"/>
    </row>
    <row r="225" ht="15.75" customHeight="1">
      <c r="J225" s="1"/>
      <c r="N225" s="3"/>
    </row>
    <row r="226" ht="15.75" customHeight="1">
      <c r="J226" s="1"/>
      <c r="N226" s="3"/>
    </row>
    <row r="227" ht="15.75" customHeight="1">
      <c r="J227" s="1"/>
      <c r="N227" s="3"/>
    </row>
    <row r="228" ht="15.75" customHeight="1">
      <c r="J228" s="1"/>
      <c r="N228" s="3"/>
    </row>
    <row r="229" ht="15.75" customHeight="1">
      <c r="J229" s="1"/>
      <c r="N229" s="3"/>
    </row>
    <row r="230" ht="15.75" customHeight="1">
      <c r="J230" s="1"/>
      <c r="N230" s="3"/>
    </row>
    <row r="231" ht="15.75" customHeight="1">
      <c r="J231" s="1"/>
      <c r="N231" s="3"/>
    </row>
    <row r="232" ht="15.75" customHeight="1">
      <c r="J232" s="1"/>
      <c r="N232" s="3"/>
    </row>
    <row r="233" ht="15.75" customHeight="1">
      <c r="J233" s="1"/>
      <c r="N233" s="3"/>
    </row>
    <row r="234" ht="15.75" customHeight="1">
      <c r="J234" s="1"/>
      <c r="N234" s="3"/>
    </row>
    <row r="235" ht="15.75" customHeight="1">
      <c r="J235" s="1"/>
      <c r="N235" s="3"/>
    </row>
    <row r="236" ht="15.75" customHeight="1">
      <c r="J236" s="1"/>
      <c r="N236" s="3"/>
    </row>
    <row r="237" ht="15.75" customHeight="1">
      <c r="J237" s="1"/>
      <c r="N237" s="3"/>
    </row>
    <row r="238" ht="15.75" customHeight="1">
      <c r="J238" s="1"/>
      <c r="N238" s="3"/>
    </row>
    <row r="239" ht="15.75" customHeight="1">
      <c r="J239" s="1"/>
      <c r="N239" s="3"/>
    </row>
    <row r="240" ht="15.75" customHeight="1">
      <c r="J240" s="1"/>
      <c r="N240" s="3"/>
    </row>
    <row r="241" ht="15.75" customHeight="1">
      <c r="J241" s="1"/>
      <c r="N241" s="3"/>
    </row>
    <row r="242" ht="15.75" customHeight="1">
      <c r="J242" s="1"/>
      <c r="N242" s="3"/>
    </row>
    <row r="243" ht="15.75" customHeight="1">
      <c r="J243" s="1"/>
      <c r="N243" s="3"/>
    </row>
    <row r="244" ht="15.75" customHeight="1">
      <c r="J244" s="1"/>
      <c r="N244" s="3"/>
    </row>
    <row r="245" ht="15.75" customHeight="1">
      <c r="J245" s="1"/>
      <c r="N245" s="3"/>
    </row>
    <row r="246" ht="15.75" customHeight="1">
      <c r="J246" s="1"/>
      <c r="N246" s="3"/>
    </row>
    <row r="247" ht="15.75" customHeight="1">
      <c r="J247" s="1"/>
      <c r="N247" s="3"/>
    </row>
    <row r="248" ht="15.75" customHeight="1">
      <c r="J248" s="1"/>
      <c r="N248" s="3"/>
    </row>
    <row r="249" ht="15.75" customHeight="1">
      <c r="J249" s="1"/>
      <c r="N249" s="3"/>
    </row>
    <row r="250" ht="15.75" customHeight="1">
      <c r="J250" s="1"/>
      <c r="N250" s="3"/>
    </row>
    <row r="251" ht="15.75" customHeight="1">
      <c r="J251" s="1"/>
      <c r="N251" s="3"/>
    </row>
    <row r="252" ht="15.75" customHeight="1">
      <c r="J252" s="1"/>
      <c r="N252" s="3"/>
    </row>
    <row r="253" ht="15.75" customHeight="1">
      <c r="J253" s="1"/>
      <c r="N253" s="3"/>
    </row>
    <row r="254" ht="15.75" customHeight="1">
      <c r="J254" s="1"/>
      <c r="N254" s="3"/>
    </row>
    <row r="255" ht="15.75" customHeight="1">
      <c r="J255" s="1"/>
      <c r="N255" s="3"/>
    </row>
    <row r="256" ht="15.75" customHeight="1">
      <c r="J256" s="1"/>
      <c r="N256" s="3"/>
    </row>
    <row r="257" ht="15.75" customHeight="1">
      <c r="J257" s="1"/>
      <c r="N257" s="3"/>
    </row>
    <row r="258" ht="15.75" customHeight="1">
      <c r="J258" s="1"/>
      <c r="N258" s="3"/>
    </row>
    <row r="259" ht="15.75" customHeight="1">
      <c r="J259" s="1"/>
      <c r="N259" s="3"/>
    </row>
    <row r="260" ht="15.75" customHeight="1">
      <c r="J260" s="1"/>
      <c r="N260" s="3"/>
    </row>
    <row r="261" ht="15.75" customHeight="1">
      <c r="J261" s="1"/>
      <c r="N261" s="3"/>
    </row>
    <row r="262" ht="15.75" customHeight="1">
      <c r="J262" s="1"/>
      <c r="N262" s="3"/>
    </row>
    <row r="263" ht="15.75" customHeight="1">
      <c r="J263" s="1"/>
      <c r="N263" s="3"/>
    </row>
    <row r="264" ht="15.75" customHeight="1">
      <c r="J264" s="1"/>
      <c r="N264" s="3"/>
    </row>
    <row r="265" ht="15.75" customHeight="1">
      <c r="J265" s="1"/>
      <c r="N265" s="3"/>
    </row>
    <row r="266" ht="15.75" customHeight="1">
      <c r="J266" s="1"/>
      <c r="N266" s="3"/>
    </row>
    <row r="267" ht="15.75" customHeight="1">
      <c r="J267" s="1"/>
      <c r="N267" s="3"/>
    </row>
    <row r="268" ht="15.75" customHeight="1">
      <c r="J268" s="1"/>
      <c r="N268" s="3"/>
    </row>
    <row r="269" ht="15.75" customHeight="1">
      <c r="J269" s="1"/>
      <c r="N269" s="3"/>
    </row>
    <row r="270" ht="15.75" customHeight="1">
      <c r="J270" s="1"/>
      <c r="N270" s="3"/>
    </row>
    <row r="271" ht="15.75" customHeight="1">
      <c r="J271" s="1"/>
      <c r="N271" s="3"/>
    </row>
    <row r="272" ht="15.75" customHeight="1">
      <c r="J272" s="1"/>
      <c r="N272" s="3"/>
    </row>
    <row r="273" ht="15.75" customHeight="1">
      <c r="J273" s="1"/>
      <c r="N273" s="3"/>
    </row>
    <row r="274" ht="15.75" customHeight="1">
      <c r="J274" s="1"/>
      <c r="N274" s="3"/>
    </row>
    <row r="275" ht="15.75" customHeight="1">
      <c r="J275" s="1"/>
      <c r="N275" s="3"/>
    </row>
    <row r="276" ht="15.75" customHeight="1">
      <c r="J276" s="1"/>
      <c r="N276" s="3"/>
    </row>
    <row r="277" ht="15.75" customHeight="1">
      <c r="J277" s="1"/>
      <c r="N277" s="3"/>
    </row>
    <row r="278" ht="15.75" customHeight="1">
      <c r="J278" s="1"/>
      <c r="N278" s="3"/>
    </row>
    <row r="279" ht="15.75" customHeight="1">
      <c r="J279" s="1"/>
      <c r="N279" s="3"/>
    </row>
    <row r="280" ht="15.75" customHeight="1">
      <c r="J280" s="1"/>
      <c r="N280" s="3"/>
    </row>
    <row r="281" ht="15.75" customHeight="1">
      <c r="J281" s="1"/>
      <c r="N281" s="3"/>
    </row>
    <row r="282" ht="15.75" customHeight="1">
      <c r="J282" s="1"/>
      <c r="N282" s="3"/>
    </row>
    <row r="283" ht="15.75" customHeight="1">
      <c r="J283" s="1"/>
      <c r="N283" s="3"/>
    </row>
    <row r="284" ht="15.75" customHeight="1">
      <c r="J284" s="1"/>
      <c r="N284" s="3"/>
    </row>
    <row r="285" ht="15.75" customHeight="1">
      <c r="J285" s="1"/>
      <c r="N285" s="3"/>
    </row>
    <row r="286" ht="15.75" customHeight="1">
      <c r="J286" s="1"/>
      <c r="N286" s="3"/>
    </row>
    <row r="287" ht="15.75" customHeight="1">
      <c r="J287" s="1"/>
      <c r="N287" s="3"/>
    </row>
    <row r="288" ht="15.75" customHeight="1">
      <c r="J288" s="1"/>
      <c r="N288" s="3"/>
    </row>
    <row r="289" ht="15.75" customHeight="1">
      <c r="J289" s="1"/>
      <c r="N289" s="3"/>
    </row>
    <row r="290" ht="15.75" customHeight="1">
      <c r="J290" s="1"/>
      <c r="N290" s="3"/>
    </row>
    <row r="291" ht="15.75" customHeight="1">
      <c r="J291" s="1"/>
      <c r="N291" s="3"/>
    </row>
    <row r="292" ht="15.75" customHeight="1">
      <c r="J292" s="1"/>
      <c r="N292" s="3"/>
    </row>
    <row r="293" ht="15.75" customHeight="1">
      <c r="J293" s="1"/>
      <c r="N293" s="3"/>
    </row>
    <row r="294" ht="15.75" customHeight="1">
      <c r="J294" s="1"/>
      <c r="N294" s="3"/>
    </row>
    <row r="295" ht="15.75" customHeight="1">
      <c r="J295" s="1"/>
      <c r="N295" s="3"/>
    </row>
    <row r="296" ht="15.75" customHeight="1">
      <c r="J296" s="1"/>
      <c r="N296" s="3"/>
    </row>
    <row r="297" ht="15.75" customHeight="1">
      <c r="J297" s="1"/>
      <c r="N297" s="3"/>
    </row>
    <row r="298" ht="15.75" customHeight="1">
      <c r="J298" s="1"/>
      <c r="N298" s="3"/>
    </row>
    <row r="299" ht="15.75" customHeight="1">
      <c r="J299" s="1"/>
      <c r="N299" s="3"/>
    </row>
    <row r="300" ht="15.75" customHeight="1">
      <c r="J300" s="1"/>
      <c r="N300" s="3"/>
    </row>
    <row r="301" ht="15.75" customHeight="1">
      <c r="J301" s="1"/>
      <c r="N301" s="3"/>
    </row>
    <row r="302" ht="15.75" customHeight="1">
      <c r="J302" s="1"/>
      <c r="N302" s="3"/>
    </row>
    <row r="303" ht="15.75" customHeight="1">
      <c r="J303" s="1"/>
      <c r="N303" s="3"/>
    </row>
    <row r="304" ht="15.75" customHeight="1">
      <c r="J304" s="1"/>
      <c r="N304" s="3"/>
    </row>
    <row r="305" ht="15.75" customHeight="1">
      <c r="J305" s="1"/>
      <c r="N305" s="3"/>
    </row>
    <row r="306" ht="15.75" customHeight="1">
      <c r="J306" s="1"/>
      <c r="N306" s="3"/>
    </row>
    <row r="307" ht="15.75" customHeight="1">
      <c r="J307" s="1"/>
      <c r="N307" s="3"/>
    </row>
    <row r="308" ht="15.75" customHeight="1">
      <c r="J308" s="1"/>
      <c r="N308" s="3"/>
    </row>
    <row r="309" ht="15.75" customHeight="1">
      <c r="J309" s="1"/>
      <c r="N309" s="3"/>
    </row>
    <row r="310" ht="15.75" customHeight="1">
      <c r="J310" s="1"/>
      <c r="N310" s="3"/>
    </row>
    <row r="311" ht="15.75" customHeight="1">
      <c r="J311" s="1"/>
      <c r="N311" s="3"/>
    </row>
    <row r="312" ht="15.75" customHeight="1">
      <c r="J312" s="1"/>
      <c r="N312" s="3"/>
    </row>
    <row r="313" ht="15.75" customHeight="1">
      <c r="J313" s="1"/>
      <c r="N313" s="3"/>
    </row>
    <row r="314" ht="15.75" customHeight="1">
      <c r="J314" s="1"/>
      <c r="N314" s="3"/>
    </row>
    <row r="315" ht="15.75" customHeight="1">
      <c r="J315" s="1"/>
      <c r="N315" s="3"/>
    </row>
    <row r="316" ht="15.75" customHeight="1">
      <c r="J316" s="1"/>
      <c r="N316" s="3"/>
    </row>
    <row r="317" ht="15.75" customHeight="1">
      <c r="J317" s="1"/>
      <c r="N317" s="3"/>
    </row>
    <row r="318" ht="15.75" customHeight="1">
      <c r="J318" s="1"/>
      <c r="N318" s="3"/>
    </row>
    <row r="319" ht="15.75" customHeight="1">
      <c r="J319" s="1"/>
      <c r="N319" s="3"/>
    </row>
    <row r="320" ht="15.75" customHeight="1">
      <c r="J320" s="1"/>
      <c r="N320" s="3"/>
    </row>
    <row r="321" ht="15.75" customHeight="1">
      <c r="J321" s="1"/>
      <c r="N321" s="3"/>
    </row>
    <row r="322" ht="15.75" customHeight="1">
      <c r="J322" s="1"/>
      <c r="N322" s="3"/>
    </row>
    <row r="323" ht="15.75" customHeight="1">
      <c r="J323" s="1"/>
      <c r="N323" s="3"/>
    </row>
    <row r="324" ht="15.75" customHeight="1">
      <c r="J324" s="1"/>
      <c r="N324" s="3"/>
    </row>
    <row r="325" ht="15.75" customHeight="1">
      <c r="J325" s="1"/>
      <c r="N325" s="3"/>
    </row>
    <row r="326" ht="15.75" customHeight="1">
      <c r="J326" s="1"/>
      <c r="N326" s="3"/>
    </row>
    <row r="327" ht="15.75" customHeight="1">
      <c r="J327" s="1"/>
      <c r="N327" s="3"/>
    </row>
    <row r="328" ht="15.75" customHeight="1">
      <c r="J328" s="1"/>
      <c r="N328" s="3"/>
    </row>
    <row r="329" ht="15.75" customHeight="1">
      <c r="J329" s="1"/>
      <c r="N329" s="3"/>
    </row>
    <row r="330" ht="15.75" customHeight="1">
      <c r="J330" s="1"/>
      <c r="N330" s="3"/>
    </row>
    <row r="331" ht="15.75" customHeight="1">
      <c r="J331" s="1"/>
      <c r="N331" s="3"/>
    </row>
    <row r="332" ht="15.75" customHeight="1">
      <c r="J332" s="1"/>
      <c r="N332" s="3"/>
    </row>
    <row r="333" ht="15.75" customHeight="1">
      <c r="J333" s="1"/>
      <c r="N333" s="3"/>
    </row>
    <row r="334" ht="15.75" customHeight="1">
      <c r="J334" s="1"/>
      <c r="N334" s="3"/>
    </row>
    <row r="335" ht="15.75" customHeight="1">
      <c r="J335" s="1"/>
      <c r="N335" s="3"/>
    </row>
    <row r="336" ht="15.75" customHeight="1">
      <c r="J336" s="1"/>
      <c r="N336" s="3"/>
    </row>
    <row r="337" ht="15.75" customHeight="1">
      <c r="J337" s="1"/>
      <c r="N337" s="3"/>
    </row>
    <row r="338" ht="15.75" customHeight="1">
      <c r="J338" s="1"/>
      <c r="N338" s="3"/>
    </row>
    <row r="339" ht="15.75" customHeight="1">
      <c r="J339" s="1"/>
      <c r="N339" s="3"/>
    </row>
    <row r="340" ht="15.75" customHeight="1">
      <c r="J340" s="1"/>
      <c r="N340" s="3"/>
    </row>
    <row r="341" ht="15.75" customHeight="1">
      <c r="J341" s="1"/>
      <c r="N341" s="3"/>
    </row>
    <row r="342" ht="15.75" customHeight="1">
      <c r="J342" s="1"/>
      <c r="N342" s="3"/>
    </row>
    <row r="343" ht="15.75" customHeight="1">
      <c r="J343" s="1"/>
      <c r="N343" s="3"/>
    </row>
    <row r="344" ht="15.75" customHeight="1">
      <c r="J344" s="1"/>
      <c r="N344" s="3"/>
    </row>
    <row r="345" ht="15.75" customHeight="1">
      <c r="J345" s="1"/>
      <c r="N345" s="3"/>
    </row>
    <row r="346" ht="15.75" customHeight="1">
      <c r="J346" s="1"/>
      <c r="N346" s="3"/>
    </row>
    <row r="347" ht="15.75" customHeight="1">
      <c r="J347" s="1"/>
      <c r="N347" s="3"/>
    </row>
    <row r="348" ht="15.75" customHeight="1">
      <c r="J348" s="1"/>
      <c r="N348" s="3"/>
    </row>
    <row r="349" ht="15.75" customHeight="1">
      <c r="J349" s="1"/>
      <c r="N349" s="3"/>
    </row>
    <row r="350" ht="15.75" customHeight="1">
      <c r="J350" s="1"/>
      <c r="N350" s="3"/>
    </row>
    <row r="351" ht="15.75" customHeight="1">
      <c r="J351" s="1"/>
      <c r="N351" s="3"/>
    </row>
    <row r="352" ht="15.75" customHeight="1">
      <c r="J352" s="1"/>
      <c r="N352" s="3"/>
    </row>
    <row r="353" ht="15.75" customHeight="1">
      <c r="J353" s="1"/>
      <c r="N353" s="3"/>
    </row>
    <row r="354" ht="15.75" customHeight="1">
      <c r="J354" s="1"/>
      <c r="N354" s="3"/>
    </row>
    <row r="355" ht="15.75" customHeight="1">
      <c r="J355" s="1"/>
      <c r="N355" s="3"/>
    </row>
    <row r="356" ht="15.75" customHeight="1">
      <c r="J356" s="1"/>
      <c r="N356" s="3"/>
    </row>
    <row r="357" ht="15.75" customHeight="1">
      <c r="J357" s="1"/>
      <c r="N357" s="3"/>
    </row>
    <row r="358" ht="15.75" customHeight="1">
      <c r="J358" s="1"/>
      <c r="N358" s="3"/>
    </row>
    <row r="359" ht="15.75" customHeight="1">
      <c r="J359" s="1"/>
      <c r="N359" s="3"/>
    </row>
    <row r="360" ht="15.75" customHeight="1">
      <c r="J360" s="1"/>
      <c r="N360" s="3"/>
    </row>
    <row r="361" ht="15.75" customHeight="1">
      <c r="J361" s="1"/>
      <c r="N361" s="3"/>
    </row>
    <row r="362" ht="15.75" customHeight="1">
      <c r="J362" s="1"/>
      <c r="N362" s="3"/>
    </row>
    <row r="363" ht="15.75" customHeight="1">
      <c r="J363" s="1"/>
      <c r="N363" s="3"/>
    </row>
    <row r="364" ht="15.75" customHeight="1">
      <c r="J364" s="1"/>
      <c r="N364" s="3"/>
    </row>
    <row r="365" ht="15.75" customHeight="1">
      <c r="J365" s="1"/>
      <c r="N365" s="3"/>
    </row>
    <row r="366" ht="15.75" customHeight="1">
      <c r="J366" s="1"/>
      <c r="N366" s="3"/>
    </row>
    <row r="367" ht="15.75" customHeight="1">
      <c r="J367" s="1"/>
      <c r="N367" s="3"/>
    </row>
    <row r="368" ht="15.75" customHeight="1">
      <c r="J368" s="1"/>
      <c r="N368" s="3"/>
    </row>
    <row r="369" ht="15.75" customHeight="1">
      <c r="J369" s="1"/>
      <c r="N369" s="3"/>
    </row>
    <row r="370" ht="15.75" customHeight="1">
      <c r="J370" s="1"/>
      <c r="N370" s="3"/>
    </row>
    <row r="371" ht="15.75" customHeight="1">
      <c r="J371" s="1"/>
      <c r="N371" s="3"/>
    </row>
    <row r="372" ht="15.75" customHeight="1">
      <c r="J372" s="1"/>
      <c r="N372" s="3"/>
    </row>
    <row r="373" ht="15.75" customHeight="1">
      <c r="J373" s="1"/>
      <c r="N373" s="3"/>
    </row>
    <row r="374" ht="15.75" customHeight="1">
      <c r="J374" s="1"/>
      <c r="N374" s="3"/>
    </row>
    <row r="375" ht="15.75" customHeight="1">
      <c r="J375" s="1"/>
      <c r="N375" s="3"/>
    </row>
    <row r="376" ht="15.75" customHeight="1">
      <c r="J376" s="1"/>
      <c r="N376" s="3"/>
    </row>
    <row r="377" ht="15.75" customHeight="1">
      <c r="J377" s="1"/>
      <c r="N377" s="3"/>
    </row>
    <row r="378" ht="15.75" customHeight="1">
      <c r="J378" s="1"/>
      <c r="N378" s="3"/>
    </row>
    <row r="379" ht="15.75" customHeight="1">
      <c r="J379" s="1"/>
      <c r="N379" s="3"/>
    </row>
    <row r="380" ht="15.75" customHeight="1">
      <c r="J380" s="1"/>
      <c r="N380" s="3"/>
    </row>
    <row r="381" ht="15.75" customHeight="1">
      <c r="J381" s="1"/>
      <c r="N381" s="3"/>
    </row>
    <row r="382" ht="15.75" customHeight="1">
      <c r="J382" s="1"/>
      <c r="N382" s="3"/>
    </row>
    <row r="383" ht="15.75" customHeight="1">
      <c r="J383" s="1"/>
      <c r="N383" s="3"/>
    </row>
    <row r="384" ht="15.75" customHeight="1">
      <c r="J384" s="1"/>
      <c r="N384" s="3"/>
    </row>
    <row r="385" ht="15.75" customHeight="1">
      <c r="J385" s="1"/>
      <c r="N385" s="3"/>
    </row>
    <row r="386" ht="15.75" customHeight="1">
      <c r="J386" s="1"/>
      <c r="N386" s="3"/>
    </row>
    <row r="387" ht="15.75" customHeight="1">
      <c r="J387" s="1"/>
      <c r="N387" s="3"/>
    </row>
    <row r="388" ht="15.75" customHeight="1">
      <c r="J388" s="1"/>
      <c r="N388" s="3"/>
    </row>
    <row r="389" ht="15.75" customHeight="1">
      <c r="J389" s="1"/>
      <c r="N389" s="3"/>
    </row>
    <row r="390" ht="15.75" customHeight="1">
      <c r="J390" s="1"/>
      <c r="N390" s="3"/>
    </row>
    <row r="391" ht="15.75" customHeight="1">
      <c r="J391" s="1"/>
      <c r="N391" s="3"/>
    </row>
    <row r="392" ht="15.75" customHeight="1">
      <c r="J392" s="1"/>
      <c r="N392" s="3"/>
    </row>
    <row r="393" ht="15.75" customHeight="1">
      <c r="J393" s="1"/>
      <c r="N393" s="3"/>
    </row>
    <row r="394" ht="15.75" customHeight="1">
      <c r="J394" s="1"/>
      <c r="N394" s="3"/>
    </row>
    <row r="395" ht="15.75" customHeight="1">
      <c r="J395" s="1"/>
      <c r="N395" s="3"/>
    </row>
    <row r="396" ht="15.75" customHeight="1">
      <c r="J396" s="1"/>
      <c r="N396" s="3"/>
    </row>
    <row r="397" ht="15.75" customHeight="1">
      <c r="J397" s="1"/>
      <c r="N397" s="3"/>
    </row>
    <row r="398" ht="15.75" customHeight="1">
      <c r="J398" s="1"/>
      <c r="N398" s="3"/>
    </row>
    <row r="399" ht="15.75" customHeight="1">
      <c r="J399" s="1"/>
      <c r="N399" s="3"/>
    </row>
    <row r="400" ht="15.75" customHeight="1">
      <c r="J400" s="1"/>
      <c r="N400" s="3"/>
    </row>
    <row r="401" ht="15.75" customHeight="1">
      <c r="J401" s="1"/>
      <c r="N401" s="3"/>
    </row>
    <row r="402" ht="15.75" customHeight="1">
      <c r="J402" s="1"/>
      <c r="N402" s="3"/>
    </row>
    <row r="403" ht="15.75" customHeight="1">
      <c r="J403" s="1"/>
      <c r="N403" s="3"/>
    </row>
    <row r="404" ht="15.75" customHeight="1">
      <c r="J404" s="1"/>
      <c r="N404" s="3"/>
    </row>
    <row r="405" ht="15.75" customHeight="1">
      <c r="J405" s="1"/>
      <c r="N405" s="3"/>
    </row>
    <row r="406" ht="15.75" customHeight="1">
      <c r="J406" s="1"/>
      <c r="N406" s="3"/>
    </row>
    <row r="407" ht="15.75" customHeight="1">
      <c r="J407" s="1"/>
      <c r="N407" s="3"/>
    </row>
    <row r="408" ht="15.75" customHeight="1">
      <c r="J408" s="1"/>
      <c r="N408" s="3"/>
    </row>
    <row r="409" ht="15.75" customHeight="1">
      <c r="J409" s="1"/>
      <c r="N409" s="3"/>
    </row>
    <row r="410" ht="15.75" customHeight="1">
      <c r="J410" s="1"/>
      <c r="N410" s="3"/>
    </row>
    <row r="411" ht="15.75" customHeight="1">
      <c r="J411" s="1"/>
      <c r="N411" s="3"/>
    </row>
    <row r="412" ht="15.75" customHeight="1">
      <c r="J412" s="1"/>
      <c r="N412" s="3"/>
    </row>
    <row r="413" ht="15.75" customHeight="1">
      <c r="J413" s="1"/>
      <c r="N413" s="3"/>
    </row>
    <row r="414" ht="15.75" customHeight="1">
      <c r="J414" s="1"/>
      <c r="N414" s="3"/>
    </row>
    <row r="415" ht="15.75" customHeight="1">
      <c r="J415" s="1"/>
      <c r="N415" s="3"/>
    </row>
    <row r="416" ht="15.75" customHeight="1">
      <c r="J416" s="1"/>
      <c r="N416" s="3"/>
    </row>
    <row r="417" ht="15.75" customHeight="1">
      <c r="J417" s="1"/>
      <c r="N417" s="3"/>
    </row>
    <row r="418" ht="15.75" customHeight="1">
      <c r="J418" s="1"/>
      <c r="N418" s="3"/>
    </row>
    <row r="419" ht="15.75" customHeight="1">
      <c r="J419" s="1"/>
      <c r="N419" s="3"/>
    </row>
    <row r="420" ht="15.75" customHeight="1">
      <c r="J420" s="1"/>
      <c r="N420" s="3"/>
    </row>
    <row r="421" ht="15.75" customHeight="1">
      <c r="J421" s="1"/>
      <c r="N421" s="3"/>
    </row>
    <row r="422" ht="15.75" customHeight="1">
      <c r="J422" s="1"/>
      <c r="N422" s="3"/>
    </row>
    <row r="423" ht="15.75" customHeight="1">
      <c r="J423" s="1"/>
      <c r="N423" s="3"/>
    </row>
    <row r="424" ht="15.75" customHeight="1">
      <c r="J424" s="1"/>
      <c r="N424" s="3"/>
    </row>
    <row r="425" ht="15.75" customHeight="1">
      <c r="J425" s="1"/>
      <c r="N425" s="3"/>
    </row>
    <row r="426" ht="15.75" customHeight="1">
      <c r="J426" s="1"/>
      <c r="N426" s="3"/>
    </row>
    <row r="427" ht="15.75" customHeight="1">
      <c r="J427" s="1"/>
      <c r="N427" s="3"/>
    </row>
    <row r="428" ht="15.75" customHeight="1">
      <c r="J428" s="1"/>
      <c r="N428" s="3"/>
    </row>
    <row r="429" ht="15.75" customHeight="1">
      <c r="J429" s="1"/>
      <c r="N429" s="3"/>
    </row>
    <row r="430" ht="15.75" customHeight="1">
      <c r="J430" s="1"/>
      <c r="N430" s="3"/>
    </row>
    <row r="431" ht="15.75" customHeight="1">
      <c r="J431" s="1"/>
      <c r="N431" s="3"/>
    </row>
    <row r="432" ht="15.75" customHeight="1">
      <c r="J432" s="1"/>
      <c r="N432" s="3"/>
    </row>
    <row r="433" ht="15.75" customHeight="1">
      <c r="J433" s="1"/>
      <c r="N433" s="3"/>
    </row>
    <row r="434" ht="15.75" customHeight="1">
      <c r="J434" s="1"/>
      <c r="N434" s="3"/>
    </row>
    <row r="435" ht="15.75" customHeight="1">
      <c r="J435" s="1"/>
      <c r="N435" s="3"/>
    </row>
    <row r="436" ht="15.75" customHeight="1">
      <c r="J436" s="1"/>
      <c r="N436" s="3"/>
    </row>
    <row r="437" ht="15.75" customHeight="1">
      <c r="J437" s="1"/>
      <c r="N437" s="3"/>
    </row>
    <row r="438" ht="15.75" customHeight="1">
      <c r="J438" s="1"/>
      <c r="N438" s="3"/>
    </row>
    <row r="439" ht="15.75" customHeight="1">
      <c r="J439" s="1"/>
      <c r="N439" s="3"/>
    </row>
    <row r="440" ht="15.75" customHeight="1">
      <c r="J440" s="1"/>
      <c r="N440" s="3"/>
    </row>
    <row r="441" ht="15.75" customHeight="1">
      <c r="J441" s="1"/>
      <c r="N441" s="3"/>
    </row>
    <row r="442" ht="15.75" customHeight="1">
      <c r="J442" s="1"/>
      <c r="N442" s="3"/>
    </row>
    <row r="443" ht="15.75" customHeight="1">
      <c r="J443" s="1"/>
      <c r="N443" s="3"/>
    </row>
    <row r="444" ht="15.75" customHeight="1">
      <c r="J444" s="1"/>
      <c r="N444" s="3"/>
    </row>
    <row r="445" ht="15.75" customHeight="1">
      <c r="J445" s="1"/>
      <c r="N445" s="3"/>
    </row>
    <row r="446" ht="15.75" customHeight="1">
      <c r="J446" s="1"/>
      <c r="N446" s="3"/>
    </row>
    <row r="447" ht="15.75" customHeight="1">
      <c r="J447" s="1"/>
      <c r="N447" s="3"/>
    </row>
    <row r="448" ht="15.75" customHeight="1">
      <c r="J448" s="1"/>
      <c r="N448" s="3"/>
    </row>
    <row r="449" ht="15.75" customHeight="1">
      <c r="J449" s="1"/>
      <c r="N449" s="3"/>
    </row>
    <row r="450" ht="15.75" customHeight="1">
      <c r="J450" s="1"/>
      <c r="N450" s="3"/>
    </row>
    <row r="451" ht="15.75" customHeight="1">
      <c r="J451" s="1"/>
      <c r="N451" s="3"/>
    </row>
    <row r="452" ht="15.75" customHeight="1">
      <c r="J452" s="1"/>
      <c r="N452" s="3"/>
    </row>
    <row r="453" ht="15.75" customHeight="1">
      <c r="J453" s="1"/>
      <c r="N453" s="3"/>
    </row>
    <row r="454" ht="15.75" customHeight="1">
      <c r="J454" s="1"/>
      <c r="N454" s="3"/>
    </row>
    <row r="455" ht="15.75" customHeight="1">
      <c r="J455" s="1"/>
      <c r="N455" s="3"/>
    </row>
    <row r="456" ht="15.75" customHeight="1">
      <c r="J456" s="1"/>
      <c r="N456" s="3"/>
    </row>
    <row r="457" ht="15.75" customHeight="1">
      <c r="J457" s="1"/>
      <c r="N457" s="3"/>
    </row>
    <row r="458" ht="15.75" customHeight="1">
      <c r="J458" s="1"/>
      <c r="N458" s="3"/>
    </row>
    <row r="459" ht="15.75" customHeight="1">
      <c r="J459" s="1"/>
      <c r="N459" s="3"/>
    </row>
    <row r="460" ht="15.75" customHeight="1">
      <c r="J460" s="1"/>
      <c r="N460" s="3"/>
    </row>
    <row r="461" ht="15.75" customHeight="1">
      <c r="J461" s="1"/>
      <c r="N461" s="3"/>
    </row>
    <row r="462" ht="15.75" customHeight="1">
      <c r="J462" s="1"/>
      <c r="N462" s="3"/>
    </row>
    <row r="463" ht="15.75" customHeight="1">
      <c r="J463" s="1"/>
      <c r="N463" s="3"/>
    </row>
    <row r="464" ht="15.75" customHeight="1">
      <c r="J464" s="1"/>
      <c r="N464" s="3"/>
    </row>
    <row r="465" ht="15.75" customHeight="1">
      <c r="J465" s="1"/>
      <c r="N465" s="3"/>
    </row>
    <row r="466" ht="15.75" customHeight="1">
      <c r="J466" s="1"/>
      <c r="N466" s="3"/>
    </row>
    <row r="467" ht="15.75" customHeight="1">
      <c r="J467" s="1"/>
      <c r="N467" s="3"/>
    </row>
    <row r="468" ht="15.75" customHeight="1">
      <c r="J468" s="1"/>
      <c r="N468" s="3"/>
    </row>
    <row r="469" ht="15.75" customHeight="1">
      <c r="J469" s="1"/>
      <c r="N469" s="3"/>
    </row>
    <row r="470" ht="15.75" customHeight="1">
      <c r="J470" s="1"/>
      <c r="N470" s="3"/>
    </row>
    <row r="471" ht="15.75" customHeight="1">
      <c r="J471" s="1"/>
      <c r="N471" s="3"/>
    </row>
    <row r="472" ht="15.75" customHeight="1">
      <c r="J472" s="1"/>
      <c r="N472" s="3"/>
    </row>
    <row r="473" ht="15.75" customHeight="1">
      <c r="J473" s="1"/>
      <c r="N473" s="3"/>
    </row>
    <row r="474" ht="15.75" customHeight="1">
      <c r="J474" s="1"/>
      <c r="N474" s="3"/>
    </row>
    <row r="475" ht="15.75" customHeight="1">
      <c r="J475" s="1"/>
      <c r="N475" s="3"/>
    </row>
    <row r="476" ht="15.75" customHeight="1">
      <c r="J476" s="1"/>
      <c r="N476" s="3"/>
    </row>
    <row r="477" ht="15.75" customHeight="1">
      <c r="J477" s="1"/>
      <c r="N477" s="3"/>
    </row>
    <row r="478" ht="15.75" customHeight="1">
      <c r="J478" s="1"/>
      <c r="N478" s="3"/>
    </row>
    <row r="479" ht="15.75" customHeight="1">
      <c r="J479" s="1"/>
      <c r="N479" s="3"/>
    </row>
    <row r="480" ht="15.75" customHeight="1">
      <c r="J480" s="1"/>
      <c r="N480" s="3"/>
    </row>
    <row r="481" ht="15.75" customHeight="1">
      <c r="J481" s="1"/>
      <c r="N481" s="3"/>
    </row>
    <row r="482" ht="15.75" customHeight="1">
      <c r="J482" s="1"/>
      <c r="N482" s="3"/>
    </row>
    <row r="483" ht="15.75" customHeight="1">
      <c r="J483" s="1"/>
      <c r="N483" s="3"/>
    </row>
    <row r="484" ht="15.75" customHeight="1">
      <c r="J484" s="1"/>
      <c r="N484" s="3"/>
    </row>
    <row r="485" ht="15.75" customHeight="1">
      <c r="J485" s="1"/>
      <c r="N485" s="3"/>
    </row>
    <row r="486" ht="15.75" customHeight="1">
      <c r="J486" s="1"/>
      <c r="N486" s="3"/>
    </row>
    <row r="487" ht="15.75" customHeight="1">
      <c r="J487" s="1"/>
      <c r="N487" s="3"/>
    </row>
    <row r="488" ht="15.75" customHeight="1">
      <c r="J488" s="1"/>
      <c r="N488" s="3"/>
    </row>
    <row r="489" ht="15.75" customHeight="1">
      <c r="J489" s="1"/>
      <c r="N489" s="3"/>
    </row>
    <row r="490" ht="15.75" customHeight="1">
      <c r="J490" s="1"/>
      <c r="N490" s="3"/>
    </row>
    <row r="491" ht="15.75" customHeight="1">
      <c r="J491" s="1"/>
      <c r="N491" s="3"/>
    </row>
    <row r="492" ht="15.75" customHeight="1">
      <c r="J492" s="1"/>
      <c r="N492" s="3"/>
    </row>
    <row r="493" ht="15.75" customHeight="1">
      <c r="J493" s="1"/>
      <c r="N493" s="3"/>
    </row>
    <row r="494" ht="15.75" customHeight="1">
      <c r="J494" s="1"/>
      <c r="N494" s="3"/>
    </row>
    <row r="495" ht="15.75" customHeight="1">
      <c r="J495" s="1"/>
      <c r="N495" s="3"/>
    </row>
    <row r="496" ht="15.75" customHeight="1">
      <c r="J496" s="1"/>
      <c r="N496" s="3"/>
    </row>
    <row r="497" ht="15.75" customHeight="1">
      <c r="J497" s="1"/>
      <c r="N497" s="3"/>
    </row>
    <row r="498" ht="15.75" customHeight="1">
      <c r="J498" s="1"/>
      <c r="N498" s="3"/>
    </row>
    <row r="499" ht="15.75" customHeight="1">
      <c r="J499" s="1"/>
      <c r="N499" s="3"/>
    </row>
    <row r="500" ht="15.75" customHeight="1">
      <c r="J500" s="1"/>
      <c r="N500" s="3"/>
    </row>
    <row r="501" ht="15.75" customHeight="1">
      <c r="J501" s="1"/>
      <c r="N501" s="3"/>
    </row>
    <row r="502" ht="15.75" customHeight="1">
      <c r="J502" s="1"/>
      <c r="N502" s="3"/>
    </row>
    <row r="503" ht="15.75" customHeight="1">
      <c r="J503" s="1"/>
      <c r="N503" s="3"/>
    </row>
    <row r="504" ht="15.75" customHeight="1">
      <c r="J504" s="1"/>
      <c r="N504" s="3"/>
    </row>
    <row r="505" ht="15.75" customHeight="1">
      <c r="J505" s="1"/>
      <c r="N505" s="3"/>
    </row>
    <row r="506" ht="15.75" customHeight="1">
      <c r="J506" s="1"/>
      <c r="N506" s="3"/>
    </row>
    <row r="507" ht="15.75" customHeight="1">
      <c r="J507" s="1"/>
      <c r="N507" s="3"/>
    </row>
    <row r="508" ht="15.75" customHeight="1">
      <c r="J508" s="1"/>
      <c r="N508" s="3"/>
    </row>
    <row r="509" ht="15.75" customHeight="1">
      <c r="J509" s="1"/>
      <c r="N509" s="3"/>
    </row>
    <row r="510" ht="15.75" customHeight="1">
      <c r="J510" s="1"/>
      <c r="N510" s="3"/>
    </row>
    <row r="511" ht="15.75" customHeight="1">
      <c r="J511" s="1"/>
      <c r="N511" s="3"/>
    </row>
    <row r="512" ht="15.75" customHeight="1">
      <c r="J512" s="1"/>
      <c r="N512" s="3"/>
    </row>
    <row r="513" ht="15.75" customHeight="1">
      <c r="J513" s="1"/>
      <c r="N513" s="3"/>
    </row>
    <row r="514" ht="15.75" customHeight="1">
      <c r="J514" s="1"/>
      <c r="N514" s="3"/>
    </row>
    <row r="515" ht="15.75" customHeight="1">
      <c r="J515" s="1"/>
      <c r="N515" s="3"/>
    </row>
    <row r="516" ht="15.75" customHeight="1">
      <c r="J516" s="1"/>
      <c r="N516" s="3"/>
    </row>
    <row r="517" ht="15.75" customHeight="1">
      <c r="J517" s="1"/>
      <c r="N517" s="3"/>
    </row>
    <row r="518" ht="15.75" customHeight="1">
      <c r="J518" s="1"/>
      <c r="N518" s="3"/>
    </row>
    <row r="519" ht="15.75" customHeight="1">
      <c r="J519" s="1"/>
      <c r="N519" s="3"/>
    </row>
    <row r="520" ht="15.75" customHeight="1">
      <c r="J520" s="1"/>
      <c r="N520" s="3"/>
    </row>
    <row r="521" ht="15.75" customHeight="1">
      <c r="J521" s="1"/>
      <c r="N521" s="3"/>
    </row>
    <row r="522" ht="15.75" customHeight="1">
      <c r="J522" s="1"/>
      <c r="N522" s="3"/>
    </row>
    <row r="523" ht="15.75" customHeight="1">
      <c r="J523" s="1"/>
      <c r="N523" s="3"/>
    </row>
    <row r="524" ht="15.75" customHeight="1">
      <c r="J524" s="1"/>
      <c r="N524" s="3"/>
    </row>
    <row r="525" ht="15.75" customHeight="1">
      <c r="J525" s="1"/>
      <c r="N525" s="3"/>
    </row>
    <row r="526" ht="15.75" customHeight="1">
      <c r="J526" s="1"/>
      <c r="N526" s="3"/>
    </row>
    <row r="527" ht="15.75" customHeight="1">
      <c r="J527" s="1"/>
      <c r="N527" s="3"/>
    </row>
    <row r="528" ht="15.75" customHeight="1">
      <c r="J528" s="1"/>
      <c r="N528" s="3"/>
    </row>
    <row r="529" ht="15.75" customHeight="1">
      <c r="J529" s="1"/>
      <c r="N529" s="3"/>
    </row>
    <row r="530" ht="15.75" customHeight="1">
      <c r="J530" s="1"/>
      <c r="N530" s="3"/>
    </row>
    <row r="531" ht="15.75" customHeight="1">
      <c r="J531" s="1"/>
      <c r="N531" s="3"/>
    </row>
    <row r="532" ht="15.75" customHeight="1">
      <c r="J532" s="1"/>
      <c r="N532" s="3"/>
    </row>
    <row r="533" ht="15.75" customHeight="1">
      <c r="J533" s="1"/>
      <c r="N533" s="3"/>
    </row>
    <row r="534" ht="15.75" customHeight="1">
      <c r="J534" s="1"/>
      <c r="N534" s="3"/>
    </row>
    <row r="535" ht="15.75" customHeight="1">
      <c r="J535" s="1"/>
      <c r="N535" s="3"/>
    </row>
    <row r="536" ht="15.75" customHeight="1">
      <c r="J536" s="1"/>
      <c r="N536" s="3"/>
    </row>
    <row r="537" ht="15.75" customHeight="1">
      <c r="J537" s="1"/>
      <c r="N537" s="3"/>
    </row>
    <row r="538" ht="15.75" customHeight="1">
      <c r="J538" s="1"/>
      <c r="N538" s="3"/>
    </row>
    <row r="539" ht="15.75" customHeight="1">
      <c r="J539" s="1"/>
      <c r="N539" s="3"/>
    </row>
    <row r="540" ht="15.75" customHeight="1">
      <c r="J540" s="1"/>
      <c r="N540" s="3"/>
    </row>
    <row r="541" ht="15.75" customHeight="1">
      <c r="J541" s="1"/>
      <c r="N541" s="3"/>
    </row>
    <row r="542" ht="15.75" customHeight="1">
      <c r="J542" s="1"/>
      <c r="N542" s="3"/>
    </row>
    <row r="543" ht="15.75" customHeight="1">
      <c r="J543" s="1"/>
      <c r="N543" s="3"/>
    </row>
    <row r="544" ht="15.75" customHeight="1">
      <c r="J544" s="1"/>
      <c r="N544" s="3"/>
    </row>
    <row r="545" ht="15.75" customHeight="1">
      <c r="J545" s="1"/>
      <c r="N545" s="3"/>
    </row>
    <row r="546" ht="15.75" customHeight="1">
      <c r="J546" s="1"/>
      <c r="N546" s="3"/>
    </row>
    <row r="547" ht="15.75" customHeight="1">
      <c r="J547" s="1"/>
      <c r="N547" s="3"/>
    </row>
    <row r="548" ht="15.75" customHeight="1">
      <c r="J548" s="1"/>
      <c r="N548" s="3"/>
    </row>
    <row r="549" ht="15.75" customHeight="1">
      <c r="J549" s="1"/>
      <c r="N549" s="3"/>
    </row>
    <row r="550" ht="15.75" customHeight="1">
      <c r="J550" s="1"/>
      <c r="N550" s="3"/>
    </row>
    <row r="551" ht="15.75" customHeight="1">
      <c r="J551" s="1"/>
      <c r="N551" s="3"/>
    </row>
    <row r="552" ht="15.75" customHeight="1">
      <c r="J552" s="1"/>
      <c r="N552" s="3"/>
    </row>
    <row r="553" ht="15.75" customHeight="1">
      <c r="J553" s="1"/>
      <c r="N553" s="3"/>
    </row>
    <row r="554" ht="15.75" customHeight="1">
      <c r="J554" s="1"/>
      <c r="N554" s="3"/>
    </row>
    <row r="555" ht="15.75" customHeight="1">
      <c r="J555" s="1"/>
      <c r="N555" s="3"/>
    </row>
    <row r="556" ht="15.75" customHeight="1">
      <c r="J556" s="1"/>
      <c r="N556" s="3"/>
    </row>
    <row r="557" ht="15.75" customHeight="1">
      <c r="J557" s="1"/>
      <c r="N557" s="3"/>
    </row>
    <row r="558" ht="15.75" customHeight="1">
      <c r="J558" s="1"/>
      <c r="N558" s="3"/>
    </row>
    <row r="559" ht="15.75" customHeight="1">
      <c r="J559" s="1"/>
      <c r="N559" s="3"/>
    </row>
    <row r="560" ht="15.75" customHeight="1">
      <c r="J560" s="1"/>
      <c r="N560" s="3"/>
    </row>
    <row r="561" ht="15.75" customHeight="1">
      <c r="J561" s="1"/>
      <c r="N561" s="3"/>
    </row>
    <row r="562" ht="15.75" customHeight="1">
      <c r="J562" s="1"/>
      <c r="N562" s="3"/>
    </row>
    <row r="563" ht="15.75" customHeight="1">
      <c r="J563" s="1"/>
      <c r="N563" s="3"/>
    </row>
    <row r="564" ht="15.75" customHeight="1">
      <c r="J564" s="1"/>
      <c r="N564" s="3"/>
    </row>
    <row r="565" ht="15.75" customHeight="1">
      <c r="J565" s="1"/>
      <c r="N565" s="3"/>
    </row>
    <row r="566" ht="15.75" customHeight="1">
      <c r="J566" s="1"/>
      <c r="N566" s="3"/>
    </row>
    <row r="567" ht="15.75" customHeight="1">
      <c r="J567" s="1"/>
      <c r="N567" s="3"/>
    </row>
    <row r="568" ht="15.75" customHeight="1">
      <c r="J568" s="1"/>
      <c r="N568" s="3"/>
    </row>
    <row r="569" ht="15.75" customHeight="1">
      <c r="J569" s="1"/>
      <c r="N569" s="3"/>
    </row>
    <row r="570" ht="15.75" customHeight="1">
      <c r="J570" s="1"/>
      <c r="N570" s="3"/>
    </row>
    <row r="571" ht="15.75" customHeight="1">
      <c r="J571" s="1"/>
      <c r="N571" s="3"/>
    </row>
    <row r="572" ht="15.75" customHeight="1">
      <c r="J572" s="1"/>
      <c r="N572" s="3"/>
    </row>
    <row r="573" ht="15.75" customHeight="1">
      <c r="J573" s="1"/>
      <c r="N573" s="3"/>
    </row>
    <row r="574" ht="15.75" customHeight="1">
      <c r="J574" s="1"/>
      <c r="N574" s="3"/>
    </row>
    <row r="575" ht="15.75" customHeight="1">
      <c r="J575" s="1"/>
      <c r="N575" s="3"/>
    </row>
    <row r="576" ht="15.75" customHeight="1">
      <c r="J576" s="1"/>
      <c r="N576" s="3"/>
    </row>
    <row r="577" ht="15.75" customHeight="1">
      <c r="J577" s="1"/>
      <c r="N577" s="3"/>
    </row>
    <row r="578" ht="15.75" customHeight="1">
      <c r="J578" s="1"/>
      <c r="N578" s="3"/>
    </row>
    <row r="579" ht="15.75" customHeight="1">
      <c r="J579" s="1"/>
      <c r="N579" s="3"/>
    </row>
    <row r="580" ht="15.75" customHeight="1">
      <c r="J580" s="1"/>
      <c r="N580" s="3"/>
    </row>
    <row r="581" ht="15.75" customHeight="1">
      <c r="J581" s="1"/>
      <c r="N581" s="3"/>
    </row>
    <row r="582" ht="15.75" customHeight="1">
      <c r="J582" s="1"/>
      <c r="N582" s="3"/>
    </row>
    <row r="583" ht="15.75" customHeight="1">
      <c r="J583" s="1"/>
      <c r="N583" s="3"/>
    </row>
    <row r="584" ht="15.75" customHeight="1">
      <c r="J584" s="1"/>
      <c r="N584" s="3"/>
    </row>
    <row r="585" ht="15.75" customHeight="1">
      <c r="J585" s="1"/>
      <c r="N585" s="3"/>
    </row>
    <row r="586" ht="15.75" customHeight="1">
      <c r="J586" s="1"/>
      <c r="N586" s="3"/>
    </row>
    <row r="587" ht="15.75" customHeight="1">
      <c r="J587" s="1"/>
      <c r="N587" s="3"/>
    </row>
    <row r="588" ht="15.75" customHeight="1">
      <c r="J588" s="1"/>
      <c r="N588" s="3"/>
    </row>
    <row r="589" ht="15.75" customHeight="1">
      <c r="J589" s="1"/>
      <c r="N589" s="3"/>
    </row>
    <row r="590" ht="15.75" customHeight="1">
      <c r="J590" s="1"/>
      <c r="N590" s="3"/>
    </row>
    <row r="591" ht="15.75" customHeight="1">
      <c r="J591" s="1"/>
      <c r="N591" s="3"/>
    </row>
    <row r="592" ht="15.75" customHeight="1">
      <c r="J592" s="1"/>
      <c r="N592" s="3"/>
    </row>
    <row r="593" ht="15.75" customHeight="1">
      <c r="J593" s="1"/>
      <c r="N593" s="3"/>
    </row>
    <row r="594" ht="15.75" customHeight="1">
      <c r="J594" s="1"/>
      <c r="N594" s="3"/>
    </row>
    <row r="595" ht="15.75" customHeight="1">
      <c r="J595" s="1"/>
      <c r="N595" s="3"/>
    </row>
    <row r="596" ht="15.75" customHeight="1">
      <c r="J596" s="1"/>
      <c r="N596" s="3"/>
    </row>
    <row r="597" ht="15.75" customHeight="1">
      <c r="J597" s="1"/>
      <c r="N597" s="3"/>
    </row>
    <row r="598" ht="15.75" customHeight="1">
      <c r="J598" s="1"/>
      <c r="N598" s="3"/>
    </row>
    <row r="599" ht="15.75" customHeight="1">
      <c r="J599" s="1"/>
      <c r="N599" s="3"/>
    </row>
    <row r="600" ht="15.75" customHeight="1">
      <c r="J600" s="1"/>
      <c r="N600" s="3"/>
    </row>
    <row r="601" ht="15.75" customHeight="1">
      <c r="J601" s="1"/>
      <c r="N601" s="3"/>
    </row>
    <row r="602" ht="15.75" customHeight="1">
      <c r="J602" s="1"/>
      <c r="N602" s="3"/>
    </row>
    <row r="603" ht="15.75" customHeight="1">
      <c r="J603" s="1"/>
      <c r="N603" s="3"/>
    </row>
    <row r="604" ht="15.75" customHeight="1">
      <c r="J604" s="1"/>
      <c r="N604" s="3"/>
    </row>
    <row r="605" ht="15.75" customHeight="1">
      <c r="J605" s="1"/>
      <c r="N605" s="3"/>
    </row>
    <row r="606" ht="15.75" customHeight="1">
      <c r="J606" s="1"/>
      <c r="N606" s="3"/>
    </row>
    <row r="607" ht="15.75" customHeight="1">
      <c r="J607" s="1"/>
      <c r="N607" s="3"/>
    </row>
    <row r="608" ht="15.75" customHeight="1">
      <c r="J608" s="1"/>
      <c r="N608" s="3"/>
    </row>
    <row r="609" ht="15.75" customHeight="1">
      <c r="J609" s="1"/>
      <c r="N609" s="3"/>
    </row>
    <row r="610" ht="15.75" customHeight="1">
      <c r="J610" s="1"/>
      <c r="N610" s="3"/>
    </row>
    <row r="611" ht="15.75" customHeight="1">
      <c r="J611" s="1"/>
      <c r="N611" s="3"/>
    </row>
    <row r="612" ht="15.75" customHeight="1">
      <c r="J612" s="1"/>
      <c r="N612" s="3"/>
    </row>
    <row r="613" ht="15.75" customHeight="1">
      <c r="J613" s="1"/>
      <c r="N613" s="3"/>
    </row>
    <row r="614" ht="15.75" customHeight="1">
      <c r="J614" s="1"/>
      <c r="N614" s="3"/>
    </row>
    <row r="615" ht="15.75" customHeight="1">
      <c r="J615" s="1"/>
      <c r="N615" s="3"/>
    </row>
    <row r="616" ht="15.75" customHeight="1">
      <c r="J616" s="1"/>
      <c r="N616" s="3"/>
    </row>
    <row r="617" ht="15.75" customHeight="1">
      <c r="J617" s="1"/>
      <c r="N617" s="3"/>
    </row>
    <row r="618" ht="15.75" customHeight="1">
      <c r="J618" s="1"/>
      <c r="N618" s="3"/>
    </row>
    <row r="619" ht="15.75" customHeight="1">
      <c r="J619" s="1"/>
      <c r="N619" s="3"/>
    </row>
    <row r="620" ht="15.75" customHeight="1">
      <c r="J620" s="1"/>
      <c r="N620" s="3"/>
    </row>
    <row r="621" ht="15.75" customHeight="1">
      <c r="J621" s="1"/>
      <c r="N621" s="3"/>
    </row>
    <row r="622" ht="15.75" customHeight="1">
      <c r="J622" s="1"/>
      <c r="N622" s="3"/>
    </row>
    <row r="623" ht="15.75" customHeight="1">
      <c r="J623" s="1"/>
      <c r="N623" s="3"/>
    </row>
    <row r="624" ht="15.75" customHeight="1">
      <c r="J624" s="1"/>
      <c r="N624" s="3"/>
    </row>
    <row r="625" ht="15.75" customHeight="1">
      <c r="J625" s="1"/>
      <c r="N625" s="3"/>
    </row>
    <row r="626" ht="15.75" customHeight="1">
      <c r="J626" s="1"/>
      <c r="N626" s="3"/>
    </row>
    <row r="627" ht="15.75" customHeight="1">
      <c r="J627" s="1"/>
      <c r="N627" s="3"/>
    </row>
    <row r="628" ht="15.75" customHeight="1">
      <c r="J628" s="1"/>
      <c r="N628" s="3"/>
    </row>
    <row r="629" ht="15.75" customHeight="1">
      <c r="J629" s="1"/>
      <c r="N629" s="3"/>
    </row>
    <row r="630" ht="15.75" customHeight="1">
      <c r="J630" s="1"/>
      <c r="N630" s="3"/>
    </row>
    <row r="631" ht="15.75" customHeight="1">
      <c r="J631" s="1"/>
      <c r="N631" s="3"/>
    </row>
    <row r="632" ht="15.75" customHeight="1">
      <c r="J632" s="1"/>
      <c r="N632" s="3"/>
    </row>
    <row r="633" ht="15.75" customHeight="1">
      <c r="J633" s="1"/>
      <c r="N633" s="3"/>
    </row>
    <row r="634" ht="15.75" customHeight="1">
      <c r="J634" s="1"/>
      <c r="N634" s="3"/>
    </row>
    <row r="635" ht="15.75" customHeight="1">
      <c r="J635" s="1"/>
      <c r="N635" s="3"/>
    </row>
    <row r="636" ht="15.75" customHeight="1">
      <c r="J636" s="1"/>
      <c r="N636" s="3"/>
    </row>
    <row r="637" ht="15.75" customHeight="1">
      <c r="J637" s="1"/>
      <c r="N637" s="3"/>
    </row>
    <row r="638" ht="15.75" customHeight="1">
      <c r="J638" s="1"/>
      <c r="N638" s="3"/>
    </row>
    <row r="639" ht="15.75" customHeight="1">
      <c r="J639" s="1"/>
      <c r="N639" s="3"/>
    </row>
    <row r="640" ht="15.75" customHeight="1">
      <c r="J640" s="1"/>
      <c r="N640" s="3"/>
    </row>
    <row r="641" ht="15.75" customHeight="1">
      <c r="J641" s="1"/>
      <c r="N641" s="3"/>
    </row>
    <row r="642" ht="15.75" customHeight="1">
      <c r="J642" s="1"/>
      <c r="N642" s="3"/>
    </row>
    <row r="643" ht="15.75" customHeight="1">
      <c r="J643" s="1"/>
      <c r="N643" s="3"/>
    </row>
    <row r="644" ht="15.75" customHeight="1">
      <c r="J644" s="1"/>
      <c r="N644" s="3"/>
    </row>
    <row r="645" ht="15.75" customHeight="1">
      <c r="J645" s="1"/>
      <c r="N645" s="3"/>
    </row>
    <row r="646" ht="15.75" customHeight="1">
      <c r="J646" s="1"/>
      <c r="N646" s="3"/>
    </row>
    <row r="647" ht="15.75" customHeight="1">
      <c r="J647" s="1"/>
      <c r="N647" s="3"/>
    </row>
    <row r="648" ht="15.75" customHeight="1">
      <c r="J648" s="1"/>
      <c r="N648" s="3"/>
    </row>
    <row r="649" ht="15.75" customHeight="1">
      <c r="J649" s="1"/>
      <c r="N649" s="3"/>
    </row>
    <row r="650" ht="15.75" customHeight="1">
      <c r="J650" s="1"/>
      <c r="N650" s="3"/>
    </row>
    <row r="651" ht="15.75" customHeight="1">
      <c r="J651" s="1"/>
      <c r="N651" s="3"/>
    </row>
    <row r="652" ht="15.75" customHeight="1">
      <c r="J652" s="1"/>
      <c r="N652" s="3"/>
    </row>
    <row r="653" ht="15.75" customHeight="1">
      <c r="J653" s="1"/>
      <c r="N653" s="3"/>
    </row>
    <row r="654" ht="15.75" customHeight="1">
      <c r="J654" s="1"/>
      <c r="N654" s="3"/>
    </row>
    <row r="655" ht="15.75" customHeight="1">
      <c r="J655" s="1"/>
      <c r="N655" s="3"/>
    </row>
    <row r="656" ht="15.75" customHeight="1">
      <c r="J656" s="1"/>
      <c r="N656" s="3"/>
    </row>
    <row r="657" ht="15.75" customHeight="1">
      <c r="J657" s="1"/>
      <c r="N657" s="3"/>
    </row>
    <row r="658" ht="15.75" customHeight="1">
      <c r="J658" s="1"/>
      <c r="N658" s="3"/>
    </row>
    <row r="659" ht="15.75" customHeight="1">
      <c r="J659" s="1"/>
      <c r="N659" s="3"/>
    </row>
    <row r="660" ht="15.75" customHeight="1">
      <c r="J660" s="1"/>
      <c r="N660" s="3"/>
    </row>
    <row r="661" ht="15.75" customHeight="1">
      <c r="J661" s="1"/>
      <c r="N661" s="3"/>
    </row>
    <row r="662" ht="15.75" customHeight="1">
      <c r="J662" s="1"/>
      <c r="N662" s="3"/>
    </row>
    <row r="663" ht="15.75" customHeight="1">
      <c r="J663" s="1"/>
      <c r="N663" s="3"/>
    </row>
    <row r="664" ht="15.75" customHeight="1">
      <c r="J664" s="1"/>
      <c r="N664" s="3"/>
    </row>
    <row r="665" ht="15.75" customHeight="1">
      <c r="J665" s="1"/>
      <c r="N665" s="3"/>
    </row>
    <row r="666" ht="15.75" customHeight="1">
      <c r="J666" s="1"/>
      <c r="N666" s="3"/>
    </row>
    <row r="667" ht="15.75" customHeight="1">
      <c r="J667" s="1"/>
      <c r="N667" s="3"/>
    </row>
    <row r="668" ht="15.75" customHeight="1">
      <c r="J668" s="1"/>
      <c r="N668" s="3"/>
    </row>
    <row r="669" ht="15.75" customHeight="1">
      <c r="J669" s="1"/>
      <c r="N669" s="3"/>
    </row>
    <row r="670" ht="15.75" customHeight="1">
      <c r="J670" s="1"/>
      <c r="N670" s="3"/>
    </row>
    <row r="671" ht="15.75" customHeight="1">
      <c r="J671" s="1"/>
      <c r="N671" s="3"/>
    </row>
    <row r="672" ht="15.75" customHeight="1">
      <c r="J672" s="1"/>
      <c r="N672" s="3"/>
    </row>
    <row r="673" ht="15.75" customHeight="1">
      <c r="J673" s="1"/>
      <c r="N673" s="3"/>
    </row>
    <row r="674" ht="15.75" customHeight="1">
      <c r="J674" s="1"/>
      <c r="N674" s="3"/>
    </row>
    <row r="675" ht="15.75" customHeight="1">
      <c r="J675" s="1"/>
      <c r="N675" s="3"/>
    </row>
    <row r="676" ht="15.75" customHeight="1">
      <c r="J676" s="1"/>
      <c r="N676" s="3"/>
    </row>
    <row r="677" ht="15.75" customHeight="1">
      <c r="J677" s="1"/>
      <c r="N677" s="3"/>
    </row>
    <row r="678" ht="15.75" customHeight="1">
      <c r="J678" s="1"/>
      <c r="N678" s="3"/>
    </row>
    <row r="679" ht="15.75" customHeight="1">
      <c r="J679" s="1"/>
      <c r="N679" s="3"/>
    </row>
    <row r="680" ht="15.75" customHeight="1">
      <c r="J680" s="1"/>
      <c r="N680" s="3"/>
    </row>
    <row r="681" ht="15.75" customHeight="1">
      <c r="J681" s="1"/>
      <c r="N681" s="3"/>
    </row>
    <row r="682" ht="15.75" customHeight="1">
      <c r="J682" s="1"/>
      <c r="N682" s="3"/>
    </row>
    <row r="683" ht="15.75" customHeight="1">
      <c r="J683" s="1"/>
      <c r="N683" s="3"/>
    </row>
    <row r="684" ht="15.75" customHeight="1">
      <c r="J684" s="1"/>
      <c r="N684" s="3"/>
    </row>
    <row r="685" ht="15.75" customHeight="1">
      <c r="J685" s="1"/>
      <c r="N685" s="3"/>
    </row>
    <row r="686" ht="15.75" customHeight="1">
      <c r="J686" s="1"/>
      <c r="N686" s="3"/>
    </row>
    <row r="687" ht="15.75" customHeight="1">
      <c r="J687" s="1"/>
      <c r="N687" s="3"/>
    </row>
    <row r="688" ht="15.75" customHeight="1">
      <c r="J688" s="1"/>
      <c r="N688" s="3"/>
    </row>
    <row r="689" ht="15.75" customHeight="1">
      <c r="J689" s="1"/>
      <c r="N689" s="3"/>
    </row>
    <row r="690" ht="15.75" customHeight="1">
      <c r="J690" s="1"/>
      <c r="N690" s="3"/>
    </row>
    <row r="691" ht="15.75" customHeight="1">
      <c r="J691" s="1"/>
      <c r="N691" s="3"/>
    </row>
    <row r="692" ht="15.75" customHeight="1">
      <c r="J692" s="1"/>
      <c r="N692" s="3"/>
    </row>
    <row r="693" ht="15.75" customHeight="1">
      <c r="J693" s="1"/>
      <c r="N693" s="3"/>
    </row>
    <row r="694" ht="15.75" customHeight="1">
      <c r="J694" s="1"/>
      <c r="N694" s="3"/>
    </row>
    <row r="695" ht="15.75" customHeight="1">
      <c r="J695" s="1"/>
      <c r="N695" s="3"/>
    </row>
    <row r="696" ht="15.75" customHeight="1">
      <c r="J696" s="1"/>
      <c r="N696" s="3"/>
    </row>
    <row r="697" ht="15.75" customHeight="1">
      <c r="J697" s="1"/>
      <c r="N697" s="3"/>
    </row>
    <row r="698" ht="15.75" customHeight="1">
      <c r="J698" s="1"/>
      <c r="N698" s="3"/>
    </row>
    <row r="699" ht="15.75" customHeight="1">
      <c r="J699" s="1"/>
      <c r="N699" s="3"/>
    </row>
    <row r="700" ht="15.75" customHeight="1">
      <c r="J700" s="1"/>
      <c r="N700" s="3"/>
    </row>
    <row r="701" ht="15.75" customHeight="1">
      <c r="J701" s="1"/>
      <c r="N701" s="3"/>
    </row>
    <row r="702" ht="15.75" customHeight="1">
      <c r="J702" s="1"/>
      <c r="N702" s="3"/>
    </row>
    <row r="703" ht="15.75" customHeight="1">
      <c r="J703" s="1"/>
      <c r="N703" s="3"/>
    </row>
    <row r="704" ht="15.75" customHeight="1">
      <c r="J704" s="1"/>
      <c r="N704" s="3"/>
    </row>
    <row r="705" ht="15.75" customHeight="1">
      <c r="J705" s="1"/>
      <c r="N705" s="3"/>
    </row>
    <row r="706" ht="15.75" customHeight="1">
      <c r="J706" s="1"/>
      <c r="N706" s="3"/>
    </row>
    <row r="707" ht="15.75" customHeight="1">
      <c r="J707" s="1"/>
      <c r="N707" s="3"/>
    </row>
    <row r="708" ht="15.75" customHeight="1">
      <c r="J708" s="1"/>
      <c r="N708" s="3"/>
    </row>
    <row r="709" ht="15.75" customHeight="1">
      <c r="J709" s="1"/>
      <c r="N709" s="3"/>
    </row>
    <row r="710" ht="15.75" customHeight="1">
      <c r="J710" s="1"/>
      <c r="N710" s="3"/>
    </row>
    <row r="711" ht="15.75" customHeight="1">
      <c r="J711" s="1"/>
      <c r="N711" s="3"/>
    </row>
    <row r="712" ht="15.75" customHeight="1">
      <c r="J712" s="1"/>
      <c r="N712" s="3"/>
    </row>
    <row r="713" ht="15.75" customHeight="1">
      <c r="J713" s="1"/>
      <c r="N713" s="3"/>
    </row>
    <row r="714" ht="15.75" customHeight="1">
      <c r="J714" s="1"/>
      <c r="N714" s="3"/>
    </row>
    <row r="715" ht="15.75" customHeight="1">
      <c r="J715" s="1"/>
      <c r="N715" s="3"/>
    </row>
    <row r="716" ht="15.75" customHeight="1">
      <c r="J716" s="1"/>
      <c r="N716" s="3"/>
    </row>
    <row r="717" ht="15.75" customHeight="1">
      <c r="J717" s="1"/>
      <c r="N717" s="3"/>
    </row>
    <row r="718" ht="15.75" customHeight="1">
      <c r="J718" s="1"/>
      <c r="N718" s="3"/>
    </row>
    <row r="719" ht="15.75" customHeight="1">
      <c r="J719" s="1"/>
      <c r="N719" s="3"/>
    </row>
    <row r="720" ht="15.75" customHeight="1">
      <c r="J720" s="1"/>
      <c r="N720" s="3"/>
    </row>
    <row r="721" ht="15.75" customHeight="1">
      <c r="J721" s="1"/>
      <c r="N721" s="3"/>
    </row>
    <row r="722" ht="15.75" customHeight="1">
      <c r="J722" s="1"/>
      <c r="N722" s="3"/>
    </row>
    <row r="723" ht="15.75" customHeight="1">
      <c r="J723" s="1"/>
      <c r="N723" s="3"/>
    </row>
    <row r="724" ht="15.75" customHeight="1">
      <c r="J724" s="1"/>
      <c r="N724" s="3"/>
    </row>
    <row r="725" ht="15.75" customHeight="1">
      <c r="J725" s="1"/>
      <c r="N725" s="3"/>
    </row>
    <row r="726" ht="15.75" customHeight="1">
      <c r="J726" s="1"/>
      <c r="N726" s="3"/>
    </row>
    <row r="727" ht="15.75" customHeight="1">
      <c r="J727" s="1"/>
      <c r="N727" s="3"/>
    </row>
    <row r="728" ht="15.75" customHeight="1">
      <c r="J728" s="1"/>
      <c r="N728" s="3"/>
    </row>
    <row r="729" ht="15.75" customHeight="1">
      <c r="J729" s="1"/>
      <c r="N729" s="3"/>
    </row>
    <row r="730" ht="15.75" customHeight="1">
      <c r="J730" s="1"/>
      <c r="N730" s="3"/>
    </row>
    <row r="731" ht="15.75" customHeight="1">
      <c r="J731" s="1"/>
      <c r="N731" s="3"/>
    </row>
    <row r="732" ht="15.75" customHeight="1">
      <c r="J732" s="1"/>
      <c r="N732" s="3"/>
    </row>
    <row r="733" ht="15.75" customHeight="1">
      <c r="J733" s="1"/>
      <c r="N733" s="3"/>
    </row>
    <row r="734" ht="15.75" customHeight="1">
      <c r="J734" s="1"/>
      <c r="N734" s="3"/>
    </row>
    <row r="735" ht="15.75" customHeight="1">
      <c r="J735" s="1"/>
      <c r="N735" s="3"/>
    </row>
    <row r="736" ht="15.75" customHeight="1">
      <c r="J736" s="1"/>
      <c r="N736" s="3"/>
    </row>
    <row r="737" ht="15.75" customHeight="1">
      <c r="J737" s="1"/>
      <c r="N737" s="3"/>
    </row>
    <row r="738" ht="15.75" customHeight="1">
      <c r="J738" s="1"/>
      <c r="N738" s="3"/>
    </row>
    <row r="739" ht="15.75" customHeight="1">
      <c r="J739" s="1"/>
      <c r="N739" s="3"/>
    </row>
    <row r="740" ht="15.75" customHeight="1">
      <c r="J740" s="1"/>
      <c r="N740" s="3"/>
    </row>
    <row r="741" ht="15.75" customHeight="1">
      <c r="J741" s="1"/>
      <c r="N741" s="3"/>
    </row>
    <row r="742" ht="15.75" customHeight="1">
      <c r="J742" s="1"/>
      <c r="N742" s="3"/>
    </row>
    <row r="743" ht="15.75" customHeight="1">
      <c r="J743" s="1"/>
      <c r="N743" s="3"/>
    </row>
    <row r="744" ht="15.75" customHeight="1">
      <c r="J744" s="1"/>
      <c r="N744" s="3"/>
    </row>
    <row r="745" ht="15.75" customHeight="1">
      <c r="J745" s="1"/>
      <c r="N745" s="3"/>
    </row>
    <row r="746" ht="15.75" customHeight="1">
      <c r="J746" s="1"/>
      <c r="N746" s="3"/>
    </row>
    <row r="747" ht="15.75" customHeight="1">
      <c r="J747" s="1"/>
      <c r="N747" s="3"/>
    </row>
    <row r="748" ht="15.75" customHeight="1">
      <c r="J748" s="1"/>
      <c r="N748" s="3"/>
    </row>
    <row r="749" ht="15.75" customHeight="1">
      <c r="J749" s="1"/>
      <c r="N749" s="3"/>
    </row>
    <row r="750" ht="15.75" customHeight="1">
      <c r="J750" s="1"/>
      <c r="N750" s="3"/>
    </row>
    <row r="751" ht="15.75" customHeight="1">
      <c r="J751" s="1"/>
      <c r="N751" s="3"/>
    </row>
    <row r="752" ht="15.75" customHeight="1">
      <c r="J752" s="1"/>
      <c r="N752" s="3"/>
    </row>
    <row r="753" ht="15.75" customHeight="1">
      <c r="J753" s="1"/>
      <c r="N753" s="3"/>
    </row>
    <row r="754" ht="15.75" customHeight="1">
      <c r="J754" s="1"/>
      <c r="N754" s="3"/>
    </row>
    <row r="755" ht="15.75" customHeight="1">
      <c r="J755" s="1"/>
      <c r="N755" s="3"/>
    </row>
    <row r="756" ht="15.75" customHeight="1">
      <c r="J756" s="1"/>
      <c r="N756" s="3"/>
    </row>
    <row r="757" ht="15.75" customHeight="1">
      <c r="J757" s="1"/>
      <c r="N757" s="3"/>
    </row>
    <row r="758" ht="15.75" customHeight="1">
      <c r="J758" s="1"/>
      <c r="N758" s="3"/>
    </row>
    <row r="759" ht="15.75" customHeight="1">
      <c r="J759" s="1"/>
      <c r="N759" s="3"/>
    </row>
    <row r="760" ht="15.75" customHeight="1">
      <c r="J760" s="1"/>
      <c r="N760" s="3"/>
    </row>
    <row r="761" ht="15.75" customHeight="1">
      <c r="J761" s="1"/>
      <c r="N761" s="3"/>
    </row>
    <row r="762" ht="15.75" customHeight="1">
      <c r="J762" s="1"/>
      <c r="N762" s="3"/>
    </row>
    <row r="763" ht="15.75" customHeight="1">
      <c r="J763" s="1"/>
      <c r="N763" s="3"/>
    </row>
    <row r="764" ht="15.75" customHeight="1">
      <c r="J764" s="1"/>
      <c r="N764" s="3"/>
    </row>
    <row r="765" ht="15.75" customHeight="1">
      <c r="J765" s="1"/>
      <c r="N765" s="3"/>
    </row>
    <row r="766" ht="15.75" customHeight="1">
      <c r="J766" s="1"/>
      <c r="N766" s="3"/>
    </row>
    <row r="767" ht="15.75" customHeight="1">
      <c r="J767" s="1"/>
      <c r="N767" s="3"/>
    </row>
    <row r="768" ht="15.75" customHeight="1">
      <c r="J768" s="1"/>
      <c r="N768" s="3"/>
    </row>
    <row r="769" ht="15.75" customHeight="1">
      <c r="J769" s="1"/>
      <c r="N769" s="3"/>
    </row>
    <row r="770" ht="15.75" customHeight="1">
      <c r="J770" s="1"/>
      <c r="N770" s="3"/>
    </row>
    <row r="771" ht="15.75" customHeight="1">
      <c r="J771" s="1"/>
      <c r="N771" s="3"/>
    </row>
    <row r="772" ht="15.75" customHeight="1">
      <c r="J772" s="1"/>
      <c r="N772" s="3"/>
    </row>
    <row r="773" ht="15.75" customHeight="1">
      <c r="J773" s="1"/>
      <c r="N773" s="3"/>
    </row>
    <row r="774" ht="15.75" customHeight="1">
      <c r="J774" s="1"/>
      <c r="N774" s="3"/>
    </row>
    <row r="775" ht="15.75" customHeight="1">
      <c r="J775" s="1"/>
      <c r="N775" s="3"/>
    </row>
    <row r="776" ht="15.75" customHeight="1">
      <c r="J776" s="1"/>
      <c r="N776" s="3"/>
    </row>
    <row r="777" ht="15.75" customHeight="1">
      <c r="J777" s="1"/>
      <c r="N777" s="3"/>
    </row>
    <row r="778" ht="15.75" customHeight="1">
      <c r="J778" s="1"/>
      <c r="N778" s="3"/>
    </row>
    <row r="779" ht="15.75" customHeight="1">
      <c r="J779" s="1"/>
      <c r="N779" s="3"/>
    </row>
    <row r="780" ht="15.75" customHeight="1">
      <c r="J780" s="1"/>
      <c r="N780" s="3"/>
    </row>
    <row r="781" ht="15.75" customHeight="1">
      <c r="J781" s="1"/>
      <c r="N781" s="3"/>
    </row>
    <row r="782" ht="15.75" customHeight="1">
      <c r="J782" s="1"/>
      <c r="N782" s="3"/>
    </row>
    <row r="783" ht="15.75" customHeight="1">
      <c r="J783" s="1"/>
      <c r="N783" s="3"/>
    </row>
    <row r="784" ht="15.75" customHeight="1">
      <c r="J784" s="1"/>
      <c r="N784" s="3"/>
    </row>
    <row r="785" ht="15.75" customHeight="1">
      <c r="J785" s="1"/>
      <c r="N785" s="3"/>
    </row>
    <row r="786" ht="15.75" customHeight="1">
      <c r="J786" s="1"/>
      <c r="N786" s="3"/>
    </row>
    <row r="787" ht="15.75" customHeight="1">
      <c r="J787" s="1"/>
      <c r="N787" s="3"/>
    </row>
    <row r="788" ht="15.75" customHeight="1">
      <c r="J788" s="1"/>
      <c r="N788" s="3"/>
    </row>
    <row r="789" ht="15.75" customHeight="1">
      <c r="J789" s="1"/>
      <c r="N789" s="3"/>
    </row>
    <row r="790" ht="15.75" customHeight="1">
      <c r="J790" s="1"/>
      <c r="N790" s="3"/>
    </row>
    <row r="791" ht="15.75" customHeight="1">
      <c r="J791" s="1"/>
      <c r="N791" s="3"/>
    </row>
    <row r="792" ht="15.75" customHeight="1">
      <c r="J792" s="1"/>
      <c r="N792" s="3"/>
    </row>
    <row r="793" ht="15.75" customHeight="1">
      <c r="J793" s="1"/>
      <c r="N793" s="3"/>
    </row>
    <row r="794" ht="15.75" customHeight="1">
      <c r="J794" s="1"/>
      <c r="N794" s="3"/>
    </row>
    <row r="795" ht="15.75" customHeight="1">
      <c r="J795" s="1"/>
      <c r="N795" s="3"/>
    </row>
    <row r="796" ht="15.75" customHeight="1">
      <c r="J796" s="1"/>
      <c r="N796" s="3"/>
    </row>
    <row r="797" ht="15.75" customHeight="1">
      <c r="J797" s="1"/>
      <c r="N797" s="3"/>
    </row>
    <row r="798" ht="15.75" customHeight="1">
      <c r="J798" s="1"/>
      <c r="N798" s="3"/>
    </row>
    <row r="799" ht="15.75" customHeight="1">
      <c r="J799" s="1"/>
      <c r="N799" s="3"/>
    </row>
    <row r="800" ht="15.75" customHeight="1">
      <c r="J800" s="1"/>
      <c r="N800" s="3"/>
    </row>
    <row r="801" ht="15.75" customHeight="1">
      <c r="J801" s="1"/>
      <c r="N801" s="3"/>
    </row>
    <row r="802" ht="15.75" customHeight="1">
      <c r="J802" s="1"/>
      <c r="N802" s="3"/>
    </row>
    <row r="803" ht="15.75" customHeight="1">
      <c r="J803" s="1"/>
      <c r="N803" s="3"/>
    </row>
    <row r="804" ht="15.75" customHeight="1">
      <c r="J804" s="1"/>
      <c r="N804" s="3"/>
    </row>
    <row r="805" ht="15.75" customHeight="1">
      <c r="J805" s="1"/>
      <c r="N805" s="3"/>
    </row>
    <row r="806" ht="15.75" customHeight="1">
      <c r="J806" s="1"/>
      <c r="N806" s="3"/>
    </row>
    <row r="807" ht="15.75" customHeight="1">
      <c r="J807" s="1"/>
      <c r="N807" s="3"/>
    </row>
    <row r="808" ht="15.75" customHeight="1">
      <c r="J808" s="1"/>
      <c r="N808" s="3"/>
    </row>
    <row r="809" ht="15.75" customHeight="1">
      <c r="J809" s="1"/>
      <c r="N809" s="3"/>
    </row>
    <row r="810" ht="15.75" customHeight="1">
      <c r="J810" s="1"/>
      <c r="N810" s="3"/>
    </row>
    <row r="811" ht="15.75" customHeight="1">
      <c r="J811" s="1"/>
      <c r="N811" s="3"/>
    </row>
    <row r="812" ht="15.75" customHeight="1">
      <c r="J812" s="1"/>
      <c r="N812" s="3"/>
    </row>
    <row r="813" ht="15.75" customHeight="1">
      <c r="J813" s="1"/>
      <c r="N813" s="3"/>
    </row>
    <row r="814" ht="15.75" customHeight="1">
      <c r="J814" s="1"/>
      <c r="N814" s="3"/>
    </row>
    <row r="815" ht="15.75" customHeight="1">
      <c r="J815" s="1"/>
      <c r="N815" s="3"/>
    </row>
    <row r="816" ht="15.75" customHeight="1">
      <c r="J816" s="1"/>
      <c r="N816" s="3"/>
    </row>
    <row r="817" ht="15.75" customHeight="1">
      <c r="J817" s="1"/>
      <c r="N817" s="3"/>
    </row>
    <row r="818" ht="15.75" customHeight="1">
      <c r="J818" s="1"/>
      <c r="N818" s="3"/>
    </row>
    <row r="819" ht="15.75" customHeight="1">
      <c r="J819" s="1"/>
      <c r="N819" s="3"/>
    </row>
    <row r="820" ht="15.75" customHeight="1">
      <c r="J820" s="1"/>
      <c r="N820" s="3"/>
    </row>
    <row r="821" ht="15.75" customHeight="1">
      <c r="J821" s="1"/>
      <c r="N821" s="3"/>
    </row>
    <row r="822" ht="15.75" customHeight="1">
      <c r="J822" s="1"/>
      <c r="N822" s="3"/>
    </row>
    <row r="823" ht="15.75" customHeight="1">
      <c r="J823" s="1"/>
      <c r="N823" s="3"/>
    </row>
    <row r="824" ht="15.75" customHeight="1">
      <c r="J824" s="1"/>
      <c r="N824" s="3"/>
    </row>
    <row r="825" ht="15.75" customHeight="1">
      <c r="J825" s="1"/>
      <c r="N825" s="3"/>
    </row>
    <row r="826" ht="15.75" customHeight="1">
      <c r="J826" s="1"/>
      <c r="N826" s="3"/>
    </row>
    <row r="827" ht="15.75" customHeight="1">
      <c r="J827" s="1"/>
      <c r="N827" s="3"/>
    </row>
    <row r="828" ht="15.75" customHeight="1">
      <c r="J828" s="1"/>
      <c r="N828" s="3"/>
    </row>
    <row r="829" ht="15.75" customHeight="1">
      <c r="J829" s="1"/>
      <c r="N829" s="3"/>
    </row>
    <row r="830" ht="15.75" customHeight="1">
      <c r="J830" s="1"/>
      <c r="N830" s="3"/>
    </row>
    <row r="831" ht="15.75" customHeight="1">
      <c r="J831" s="1"/>
      <c r="N831" s="3"/>
    </row>
    <row r="832" ht="15.75" customHeight="1">
      <c r="J832" s="1"/>
      <c r="N832" s="3"/>
    </row>
    <row r="833" ht="15.75" customHeight="1">
      <c r="J833" s="1"/>
      <c r="N833" s="3"/>
    </row>
    <row r="834" ht="15.75" customHeight="1">
      <c r="J834" s="1"/>
      <c r="N834" s="3"/>
    </row>
    <row r="835" ht="15.75" customHeight="1">
      <c r="J835" s="1"/>
      <c r="N835" s="3"/>
    </row>
    <row r="836" ht="15.75" customHeight="1">
      <c r="J836" s="1"/>
      <c r="N836" s="3"/>
    </row>
    <row r="837" ht="15.75" customHeight="1">
      <c r="J837" s="1"/>
      <c r="N837" s="3"/>
    </row>
    <row r="838" ht="15.75" customHeight="1">
      <c r="J838" s="1"/>
      <c r="N838" s="3"/>
    </row>
    <row r="839" ht="15.75" customHeight="1">
      <c r="J839" s="1"/>
      <c r="N839" s="3"/>
    </row>
    <row r="840" ht="15.75" customHeight="1">
      <c r="J840" s="1"/>
      <c r="N840" s="3"/>
    </row>
    <row r="841" ht="15.75" customHeight="1">
      <c r="J841" s="1"/>
      <c r="N841" s="3"/>
    </row>
    <row r="842" ht="15.75" customHeight="1">
      <c r="J842" s="1"/>
      <c r="N842" s="3"/>
    </row>
    <row r="843" ht="15.75" customHeight="1">
      <c r="J843" s="1"/>
      <c r="N843" s="3"/>
    </row>
    <row r="844" ht="15.75" customHeight="1">
      <c r="J844" s="1"/>
      <c r="N844" s="3"/>
    </row>
    <row r="845" ht="15.75" customHeight="1">
      <c r="J845" s="1"/>
      <c r="N845" s="3"/>
    </row>
    <row r="846" ht="15.75" customHeight="1">
      <c r="J846" s="1"/>
      <c r="N846" s="3"/>
    </row>
    <row r="847" ht="15.75" customHeight="1">
      <c r="J847" s="1"/>
      <c r="N847" s="3"/>
    </row>
    <row r="848" ht="15.75" customHeight="1">
      <c r="J848" s="1"/>
      <c r="N848" s="3"/>
    </row>
    <row r="849" ht="15.75" customHeight="1">
      <c r="J849" s="1"/>
      <c r="N849" s="3"/>
    </row>
    <row r="850" ht="15.75" customHeight="1">
      <c r="J850" s="1"/>
      <c r="N850" s="3"/>
    </row>
    <row r="851" ht="15.75" customHeight="1">
      <c r="J851" s="1"/>
      <c r="N851" s="3"/>
    </row>
    <row r="852" ht="15.75" customHeight="1">
      <c r="J852" s="1"/>
      <c r="N852" s="3"/>
    </row>
    <row r="853" ht="15.75" customHeight="1">
      <c r="J853" s="1"/>
      <c r="N853" s="3"/>
    </row>
    <row r="854" ht="15.75" customHeight="1">
      <c r="J854" s="1"/>
      <c r="N854" s="3"/>
    </row>
    <row r="855" ht="15.75" customHeight="1">
      <c r="J855" s="1"/>
      <c r="N855" s="3"/>
    </row>
    <row r="856" ht="15.75" customHeight="1">
      <c r="J856" s="1"/>
      <c r="N856" s="3"/>
    </row>
    <row r="857" ht="15.75" customHeight="1">
      <c r="J857" s="1"/>
      <c r="N857" s="3"/>
    </row>
    <row r="858" ht="15.75" customHeight="1">
      <c r="J858" s="1"/>
      <c r="N858" s="3"/>
    </row>
    <row r="859" ht="15.75" customHeight="1">
      <c r="J859" s="1"/>
      <c r="N859" s="3"/>
    </row>
    <row r="860" ht="15.75" customHeight="1">
      <c r="J860" s="1"/>
      <c r="N860" s="3"/>
    </row>
    <row r="861" ht="15.75" customHeight="1">
      <c r="J861" s="1"/>
      <c r="N861" s="3"/>
    </row>
    <row r="862" ht="15.75" customHeight="1">
      <c r="J862" s="1"/>
      <c r="N862" s="3"/>
    </row>
    <row r="863" ht="15.75" customHeight="1">
      <c r="J863" s="1"/>
      <c r="N863" s="3"/>
    </row>
    <row r="864" ht="15.75" customHeight="1">
      <c r="J864" s="1"/>
      <c r="N864" s="3"/>
    </row>
    <row r="865" ht="15.75" customHeight="1">
      <c r="J865" s="1"/>
      <c r="N865" s="3"/>
    </row>
    <row r="866" ht="15.75" customHeight="1">
      <c r="J866" s="1"/>
      <c r="N866" s="3"/>
    </row>
    <row r="867" ht="15.75" customHeight="1">
      <c r="J867" s="1"/>
      <c r="N867" s="3"/>
    </row>
    <row r="868" ht="15.75" customHeight="1">
      <c r="J868" s="1"/>
      <c r="N868" s="3"/>
    </row>
    <row r="869" ht="15.75" customHeight="1">
      <c r="J869" s="1"/>
      <c r="N869" s="3"/>
    </row>
    <row r="870" ht="15.75" customHeight="1">
      <c r="J870" s="1"/>
      <c r="N870" s="3"/>
    </row>
    <row r="871" ht="15.75" customHeight="1">
      <c r="J871" s="1"/>
      <c r="N871" s="3"/>
    </row>
    <row r="872" ht="15.75" customHeight="1">
      <c r="J872" s="1"/>
      <c r="N872" s="3"/>
    </row>
    <row r="873" ht="15.75" customHeight="1">
      <c r="J873" s="1"/>
      <c r="N873" s="3"/>
    </row>
    <row r="874" ht="15.75" customHeight="1">
      <c r="J874" s="1"/>
      <c r="N874" s="3"/>
    </row>
    <row r="875" ht="15.75" customHeight="1">
      <c r="J875" s="1"/>
      <c r="N875" s="3"/>
    </row>
    <row r="876" ht="15.75" customHeight="1">
      <c r="J876" s="1"/>
      <c r="N876" s="3"/>
    </row>
    <row r="877" ht="15.75" customHeight="1">
      <c r="J877" s="1"/>
      <c r="N877" s="3"/>
    </row>
    <row r="878" ht="15.75" customHeight="1">
      <c r="J878" s="1"/>
      <c r="N878" s="3"/>
    </row>
    <row r="879" ht="15.75" customHeight="1">
      <c r="J879" s="1"/>
      <c r="N879" s="3"/>
    </row>
    <row r="880" ht="15.75" customHeight="1">
      <c r="J880" s="1"/>
      <c r="N880" s="3"/>
    </row>
    <row r="881" ht="15.75" customHeight="1">
      <c r="J881" s="1"/>
      <c r="N881" s="3"/>
    </row>
    <row r="882" ht="15.75" customHeight="1">
      <c r="J882" s="1"/>
      <c r="N882" s="3"/>
    </row>
    <row r="883" ht="15.75" customHeight="1">
      <c r="J883" s="1"/>
      <c r="N883" s="3"/>
    </row>
    <row r="884" ht="15.75" customHeight="1">
      <c r="J884" s="1"/>
      <c r="N884" s="3"/>
    </row>
    <row r="885" ht="15.75" customHeight="1">
      <c r="J885" s="1"/>
      <c r="N885" s="3"/>
    </row>
    <row r="886" ht="15.75" customHeight="1">
      <c r="J886" s="1"/>
      <c r="N886" s="3"/>
    </row>
    <row r="887" ht="15.75" customHeight="1">
      <c r="J887" s="1"/>
      <c r="N887" s="3"/>
    </row>
    <row r="888" ht="15.75" customHeight="1">
      <c r="J888" s="1"/>
      <c r="N888" s="3"/>
    </row>
    <row r="889" ht="15.75" customHeight="1">
      <c r="J889" s="1"/>
      <c r="N889" s="3"/>
    </row>
    <row r="890" ht="15.75" customHeight="1">
      <c r="J890" s="1"/>
      <c r="N890" s="3"/>
    </row>
    <row r="891" ht="15.75" customHeight="1">
      <c r="J891" s="1"/>
      <c r="N891" s="3"/>
    </row>
    <row r="892" ht="15.75" customHeight="1">
      <c r="J892" s="1"/>
      <c r="N892" s="3"/>
    </row>
    <row r="893" ht="15.75" customHeight="1">
      <c r="J893" s="1"/>
      <c r="N893" s="3"/>
    </row>
    <row r="894" ht="15.75" customHeight="1">
      <c r="J894" s="1"/>
      <c r="N894" s="3"/>
    </row>
    <row r="895" ht="15.75" customHeight="1">
      <c r="J895" s="1"/>
      <c r="N895" s="3"/>
    </row>
    <row r="896" ht="15.75" customHeight="1">
      <c r="J896" s="1"/>
      <c r="N896" s="3"/>
    </row>
    <row r="897" ht="15.75" customHeight="1">
      <c r="J897" s="1"/>
      <c r="N897" s="3"/>
    </row>
    <row r="898" ht="15.75" customHeight="1">
      <c r="J898" s="1"/>
      <c r="N898" s="3"/>
    </row>
    <row r="899" ht="15.75" customHeight="1">
      <c r="J899" s="1"/>
      <c r="N899" s="3"/>
    </row>
    <row r="900" ht="15.75" customHeight="1">
      <c r="J900" s="1"/>
      <c r="N900" s="3"/>
    </row>
    <row r="901" ht="15.75" customHeight="1">
      <c r="J901" s="1"/>
      <c r="N901" s="3"/>
    </row>
    <row r="902" ht="15.75" customHeight="1">
      <c r="J902" s="1"/>
      <c r="N902" s="3"/>
    </row>
    <row r="903" ht="15.75" customHeight="1">
      <c r="J903" s="1"/>
      <c r="N903" s="3"/>
    </row>
    <row r="904" ht="15.75" customHeight="1">
      <c r="J904" s="1"/>
      <c r="N904" s="3"/>
    </row>
    <row r="905" ht="15.75" customHeight="1">
      <c r="J905" s="1"/>
      <c r="N905" s="3"/>
    </row>
    <row r="906" ht="15.75" customHeight="1">
      <c r="J906" s="1"/>
      <c r="N906" s="3"/>
    </row>
    <row r="907" ht="15.75" customHeight="1">
      <c r="J907" s="1"/>
      <c r="N907" s="3"/>
    </row>
    <row r="908" ht="15.75" customHeight="1">
      <c r="J908" s="1"/>
      <c r="N908" s="3"/>
    </row>
    <row r="909" ht="15.75" customHeight="1">
      <c r="J909" s="1"/>
      <c r="N909" s="3"/>
    </row>
    <row r="910" ht="15.75" customHeight="1">
      <c r="J910" s="1"/>
      <c r="N910" s="3"/>
    </row>
    <row r="911" ht="15.75" customHeight="1">
      <c r="J911" s="1"/>
      <c r="N911" s="3"/>
    </row>
    <row r="912" ht="15.75" customHeight="1">
      <c r="J912" s="1"/>
      <c r="N912" s="3"/>
    </row>
    <row r="913" ht="15.75" customHeight="1">
      <c r="J913" s="1"/>
      <c r="N913" s="3"/>
    </row>
    <row r="914" ht="15.75" customHeight="1">
      <c r="J914" s="1"/>
      <c r="N914" s="3"/>
    </row>
    <row r="915" ht="15.75" customHeight="1">
      <c r="J915" s="1"/>
      <c r="N915" s="3"/>
    </row>
    <row r="916" ht="15.75" customHeight="1">
      <c r="J916" s="1"/>
      <c r="N916" s="3"/>
    </row>
    <row r="917" ht="15.75" customHeight="1">
      <c r="J917" s="1"/>
      <c r="N917" s="3"/>
    </row>
    <row r="918" ht="15.75" customHeight="1">
      <c r="J918" s="1"/>
      <c r="N918" s="3"/>
    </row>
    <row r="919" ht="15.75" customHeight="1">
      <c r="J919" s="1"/>
      <c r="N919" s="3"/>
    </row>
    <row r="920" ht="15.75" customHeight="1">
      <c r="J920" s="1"/>
      <c r="N920" s="3"/>
    </row>
    <row r="921" ht="15.75" customHeight="1">
      <c r="J921" s="1"/>
      <c r="N921" s="3"/>
    </row>
    <row r="922" ht="15.75" customHeight="1">
      <c r="J922" s="1"/>
      <c r="N922" s="3"/>
    </row>
    <row r="923" ht="15.75" customHeight="1">
      <c r="J923" s="1"/>
      <c r="N923" s="3"/>
    </row>
    <row r="924" ht="15.75" customHeight="1">
      <c r="J924" s="1"/>
      <c r="N924" s="3"/>
    </row>
    <row r="925" ht="15.75" customHeight="1">
      <c r="J925" s="1"/>
      <c r="N925" s="3"/>
    </row>
    <row r="926" ht="15.75" customHeight="1">
      <c r="J926" s="1"/>
      <c r="N926" s="3"/>
    </row>
    <row r="927" ht="15.75" customHeight="1">
      <c r="J927" s="1"/>
      <c r="N927" s="3"/>
    </row>
    <row r="928" ht="15.75" customHeight="1">
      <c r="J928" s="1"/>
      <c r="N928" s="3"/>
    </row>
    <row r="929" ht="15.75" customHeight="1">
      <c r="J929" s="1"/>
      <c r="N929" s="3"/>
    </row>
    <row r="930" ht="15.75" customHeight="1">
      <c r="J930" s="1"/>
      <c r="N930" s="3"/>
    </row>
    <row r="931" ht="15.75" customHeight="1">
      <c r="J931" s="1"/>
      <c r="N931" s="3"/>
    </row>
    <row r="932" ht="15.75" customHeight="1">
      <c r="J932" s="1"/>
      <c r="N932" s="3"/>
    </row>
    <row r="933" ht="15.75" customHeight="1">
      <c r="J933" s="1"/>
      <c r="N933" s="3"/>
    </row>
    <row r="934" ht="15.75" customHeight="1">
      <c r="J934" s="1"/>
      <c r="N934" s="3"/>
    </row>
    <row r="935" ht="15.75" customHeight="1">
      <c r="J935" s="1"/>
      <c r="N935" s="3"/>
    </row>
    <row r="936" ht="15.75" customHeight="1">
      <c r="J936" s="1"/>
      <c r="N936" s="3"/>
    </row>
    <row r="937" ht="15.75" customHeight="1">
      <c r="J937" s="1"/>
      <c r="N937" s="3"/>
    </row>
    <row r="938" ht="15.75" customHeight="1">
      <c r="J938" s="1"/>
      <c r="N938" s="3"/>
    </row>
    <row r="939" ht="15.75" customHeight="1">
      <c r="J939" s="1"/>
      <c r="N939" s="3"/>
    </row>
    <row r="940" ht="15.75" customHeight="1">
      <c r="J940" s="1"/>
      <c r="N940" s="3"/>
    </row>
    <row r="941" ht="15.75" customHeight="1">
      <c r="J941" s="1"/>
      <c r="N941" s="3"/>
    </row>
    <row r="942" ht="15.75" customHeight="1">
      <c r="J942" s="1"/>
      <c r="N942" s="3"/>
    </row>
    <row r="943" ht="15.75" customHeight="1">
      <c r="J943" s="1"/>
      <c r="N943" s="3"/>
    </row>
    <row r="944" ht="15.75" customHeight="1">
      <c r="J944" s="1"/>
      <c r="N944" s="3"/>
    </row>
    <row r="945" ht="15.75" customHeight="1">
      <c r="J945" s="1"/>
      <c r="N945" s="3"/>
    </row>
    <row r="946" ht="15.75" customHeight="1">
      <c r="J946" s="1"/>
      <c r="N946" s="3"/>
    </row>
    <row r="947" ht="15.75" customHeight="1">
      <c r="J947" s="1"/>
      <c r="N947" s="3"/>
    </row>
    <row r="948" ht="15.75" customHeight="1">
      <c r="J948" s="1"/>
      <c r="N948" s="3"/>
    </row>
    <row r="949" ht="15.75" customHeight="1">
      <c r="J949" s="1"/>
      <c r="N949" s="3"/>
    </row>
    <row r="950" ht="15.75" customHeight="1">
      <c r="J950" s="1"/>
      <c r="N950" s="3"/>
    </row>
    <row r="951" ht="15.75" customHeight="1">
      <c r="J951" s="1"/>
      <c r="N951" s="3"/>
    </row>
    <row r="952" ht="15.75" customHeight="1">
      <c r="J952" s="1"/>
      <c r="N952" s="3"/>
    </row>
    <row r="953" ht="15.75" customHeight="1">
      <c r="J953" s="1"/>
      <c r="N953" s="3"/>
    </row>
    <row r="954" ht="15.75" customHeight="1">
      <c r="J954" s="1"/>
      <c r="N954" s="3"/>
    </row>
    <row r="955" ht="15.75" customHeight="1">
      <c r="J955" s="1"/>
      <c r="N955" s="3"/>
    </row>
    <row r="956" ht="15.75" customHeight="1">
      <c r="J956" s="1"/>
      <c r="N956" s="3"/>
    </row>
    <row r="957" ht="15.75" customHeight="1">
      <c r="J957" s="1"/>
      <c r="N957" s="3"/>
    </row>
    <row r="958" ht="15.75" customHeight="1">
      <c r="J958" s="1"/>
      <c r="N958" s="3"/>
    </row>
    <row r="959" ht="15.75" customHeight="1">
      <c r="J959" s="1"/>
      <c r="N959" s="3"/>
    </row>
    <row r="960" ht="15.75" customHeight="1">
      <c r="J960" s="1"/>
      <c r="N960" s="3"/>
    </row>
    <row r="961" ht="15.75" customHeight="1">
      <c r="J961" s="1"/>
      <c r="N961" s="3"/>
    </row>
    <row r="962" ht="15.75" customHeight="1">
      <c r="J962" s="1"/>
      <c r="N962" s="3"/>
    </row>
    <row r="963" ht="15.75" customHeight="1">
      <c r="J963" s="1"/>
      <c r="N963" s="3"/>
    </row>
    <row r="964" ht="15.75" customHeight="1">
      <c r="J964" s="1"/>
      <c r="N964" s="3"/>
    </row>
    <row r="965" ht="15.75" customHeight="1">
      <c r="J965" s="1"/>
      <c r="N965" s="3"/>
    </row>
    <row r="966" ht="15.75" customHeight="1">
      <c r="J966" s="1"/>
      <c r="N966" s="3"/>
    </row>
    <row r="967" ht="15.75" customHeight="1">
      <c r="J967" s="1"/>
      <c r="N967" s="3"/>
    </row>
    <row r="968" ht="15.75" customHeight="1">
      <c r="J968" s="1"/>
      <c r="N968" s="3"/>
    </row>
    <row r="969" ht="15.75" customHeight="1">
      <c r="J969" s="1"/>
      <c r="N969" s="3"/>
    </row>
    <row r="970" ht="15.75" customHeight="1">
      <c r="J970" s="1"/>
      <c r="N970" s="3"/>
    </row>
    <row r="971" ht="15.75" customHeight="1">
      <c r="J971" s="1"/>
      <c r="N971" s="3"/>
    </row>
    <row r="972" ht="15.75" customHeight="1">
      <c r="J972" s="1"/>
      <c r="N972" s="3"/>
    </row>
    <row r="973" ht="15.75" customHeight="1">
      <c r="J973" s="1"/>
      <c r="N973" s="3"/>
    </row>
    <row r="974" ht="15.75" customHeight="1">
      <c r="J974" s="1"/>
      <c r="N974" s="3"/>
    </row>
    <row r="975" ht="15.75" customHeight="1">
      <c r="J975" s="1"/>
      <c r="N975" s="3"/>
    </row>
    <row r="976" ht="15.75" customHeight="1">
      <c r="J976" s="1"/>
      <c r="N976" s="3"/>
    </row>
    <row r="977" ht="15.75" customHeight="1">
      <c r="J977" s="1"/>
      <c r="N977" s="3"/>
    </row>
    <row r="978" ht="15.75" customHeight="1">
      <c r="J978" s="1"/>
      <c r="N978" s="3"/>
    </row>
    <row r="979" ht="15.75" customHeight="1">
      <c r="J979" s="1"/>
      <c r="N979" s="3"/>
    </row>
    <row r="980" ht="15.75" customHeight="1">
      <c r="J980" s="1"/>
      <c r="N980" s="3"/>
    </row>
    <row r="981" ht="15.75" customHeight="1">
      <c r="J981" s="1"/>
      <c r="N981" s="3"/>
    </row>
    <row r="982" ht="15.75" customHeight="1">
      <c r="J982" s="1"/>
      <c r="N982" s="3"/>
    </row>
    <row r="983" ht="15.75" customHeight="1">
      <c r="J983" s="1"/>
      <c r="N983" s="3"/>
    </row>
    <row r="984" ht="15.75" customHeight="1">
      <c r="J984" s="1"/>
      <c r="N984" s="3"/>
    </row>
    <row r="985" ht="15.75" customHeight="1">
      <c r="J985" s="1"/>
      <c r="N985" s="3"/>
    </row>
    <row r="986" ht="15.75" customHeight="1">
      <c r="J986" s="1"/>
      <c r="N986" s="3"/>
    </row>
    <row r="987" ht="15.75" customHeight="1">
      <c r="J987" s="1"/>
      <c r="N987" s="3"/>
    </row>
    <row r="988" ht="15.75" customHeight="1">
      <c r="J988" s="1"/>
      <c r="N988" s="3"/>
    </row>
    <row r="989" ht="15.75" customHeight="1">
      <c r="J989" s="1"/>
      <c r="N989" s="3"/>
    </row>
    <row r="990" ht="15.75" customHeight="1">
      <c r="J990" s="1"/>
      <c r="N990" s="3"/>
    </row>
    <row r="991" ht="15.75" customHeight="1">
      <c r="J991" s="1"/>
      <c r="N991" s="3"/>
    </row>
    <row r="992" ht="15.75" customHeight="1">
      <c r="J992" s="1"/>
      <c r="N992" s="3"/>
    </row>
    <row r="993" ht="15.75" customHeight="1">
      <c r="J993" s="1"/>
      <c r="N993" s="3"/>
    </row>
    <row r="994" ht="15.75" customHeight="1">
      <c r="J994" s="1"/>
      <c r="N994" s="3"/>
    </row>
    <row r="995" ht="15.75" customHeight="1">
      <c r="J995" s="1"/>
      <c r="N995" s="3"/>
    </row>
    <row r="996" ht="15.75" customHeight="1">
      <c r="J996" s="1"/>
      <c r="N996" s="3"/>
    </row>
    <row r="997" ht="15.75" customHeight="1"/>
  </sheetData>
  <mergeCells count="20">
    <mergeCell ref="G6:G8"/>
    <mergeCell ref="H6:H8"/>
    <mergeCell ref="I6:I8"/>
    <mergeCell ref="J6:J8"/>
    <mergeCell ref="H10:H13"/>
    <mergeCell ref="I10:I13"/>
    <mergeCell ref="J10:J13"/>
    <mergeCell ref="I20:I25"/>
    <mergeCell ref="J20:J25"/>
    <mergeCell ref="G27:G28"/>
    <mergeCell ref="H27:H28"/>
    <mergeCell ref="I27:I28"/>
    <mergeCell ref="J27:J28"/>
    <mergeCell ref="G10:G13"/>
    <mergeCell ref="G15:G18"/>
    <mergeCell ref="H15:H18"/>
    <mergeCell ref="I15:I18"/>
    <mergeCell ref="J15:J18"/>
    <mergeCell ref="G20:G25"/>
    <mergeCell ref="H20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5.67"/>
    <col customWidth="1" min="43" max="43" width="12.11"/>
    <col customWidth="1" min="44" max="44" width="15.11"/>
    <col customWidth="1" min="45" max="45" width="14.44"/>
    <col customWidth="1" min="46" max="46" width="34.11"/>
    <col customWidth="1" min="47" max="47" width="14.0"/>
  </cols>
  <sheetData>
    <row r="1" ht="15.75" customHeight="1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>
      <c r="A2" s="91" t="s">
        <v>23</v>
      </c>
      <c r="B2" s="10"/>
      <c r="C2" s="10"/>
      <c r="D2" s="9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ht="15.75" customHeight="1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ht="15.75" customHeight="1">
      <c r="B4" s="97">
        <v>1985.0</v>
      </c>
      <c r="C4" s="97">
        <v>1986.0</v>
      </c>
      <c r="D4" s="97">
        <v>1987.0</v>
      </c>
      <c r="E4" s="97">
        <v>1988.0</v>
      </c>
      <c r="F4" s="97">
        <v>1989.0</v>
      </c>
      <c r="G4" s="97">
        <v>1990.0</v>
      </c>
      <c r="H4" s="97">
        <v>1991.0</v>
      </c>
      <c r="I4" s="97">
        <v>1992.0</v>
      </c>
      <c r="J4" s="97">
        <v>1993.0</v>
      </c>
      <c r="K4" s="97">
        <v>1994.0</v>
      </c>
      <c r="L4" s="97">
        <v>1995.0</v>
      </c>
      <c r="M4" s="97">
        <v>1996.0</v>
      </c>
      <c r="N4" s="97">
        <v>1997.0</v>
      </c>
      <c r="O4" s="97">
        <v>1998.0</v>
      </c>
      <c r="P4" s="97">
        <v>1999.0</v>
      </c>
      <c r="Q4" s="97">
        <v>2000.0</v>
      </c>
      <c r="R4" s="97">
        <v>2001.0</v>
      </c>
      <c r="S4" s="97">
        <v>2002.0</v>
      </c>
      <c r="T4" s="97">
        <v>2003.0</v>
      </c>
      <c r="U4" s="97">
        <v>2004.0</v>
      </c>
      <c r="V4" s="97">
        <v>2005.0</v>
      </c>
      <c r="W4" s="97">
        <v>2006.0</v>
      </c>
      <c r="X4" s="97">
        <v>2007.0</v>
      </c>
      <c r="Y4" s="97">
        <v>2008.0</v>
      </c>
      <c r="Z4" s="97">
        <v>2009.0</v>
      </c>
      <c r="AA4" s="97">
        <v>2010.0</v>
      </c>
      <c r="AB4" s="97">
        <v>2011.0</v>
      </c>
      <c r="AC4" s="97">
        <v>2012.0</v>
      </c>
      <c r="AD4" s="97">
        <v>2013.0</v>
      </c>
      <c r="AE4" s="97">
        <v>2014.0</v>
      </c>
      <c r="AF4" s="97">
        <v>2015.0</v>
      </c>
      <c r="AG4" s="97">
        <v>2016.0</v>
      </c>
      <c r="AH4" s="97">
        <v>2017.0</v>
      </c>
      <c r="AI4" s="97">
        <v>2018.0</v>
      </c>
      <c r="AJ4" s="97">
        <v>2019.0</v>
      </c>
      <c r="AK4" s="97">
        <v>2020.0</v>
      </c>
      <c r="AL4" s="97">
        <v>2021.0</v>
      </c>
      <c r="AM4" s="97">
        <v>2022.0</v>
      </c>
      <c r="AN4" s="97">
        <v>2023.0</v>
      </c>
      <c r="AO4" s="97">
        <v>2024.0</v>
      </c>
      <c r="AP4" s="97">
        <v>2025.0</v>
      </c>
      <c r="AQ4" s="104"/>
    </row>
    <row r="5" ht="15.75" customHeight="1">
      <c r="A5" s="105" t="s">
        <v>9</v>
      </c>
      <c r="B5" s="105">
        <v>9.830962465344764E7</v>
      </c>
      <c r="C5" s="105">
        <v>9.829119970289353E7</v>
      </c>
      <c r="D5" s="105">
        <v>9.803282413080908E7</v>
      </c>
      <c r="E5" s="105">
        <v>9.741633399419717E7</v>
      </c>
      <c r="F5" s="105">
        <v>9.673429609493424E7</v>
      </c>
      <c r="G5" s="105">
        <v>9.602075553620268E7</v>
      </c>
      <c r="H5" s="105">
        <v>9.538664139653036E7</v>
      </c>
      <c r="I5" s="105">
        <v>9.477538890861225E7</v>
      </c>
      <c r="J5" s="105">
        <v>9.417645257508272E7</v>
      </c>
      <c r="K5" s="105">
        <v>9.358683675400157E7</v>
      </c>
      <c r="L5" s="105">
        <v>9.318821372247939E7</v>
      </c>
      <c r="M5" s="105">
        <v>9.287024995103313E7</v>
      </c>
      <c r="N5" s="105">
        <v>9.261974951879136E7</v>
      </c>
      <c r="O5" s="105">
        <v>9.216176792836173E7</v>
      </c>
      <c r="P5" s="105">
        <v>9.200189877019599E7</v>
      </c>
      <c r="Q5" s="105">
        <v>9.175449066401187E7</v>
      </c>
      <c r="R5" s="105">
        <v>9.13385107763196E7</v>
      </c>
      <c r="S5" s="105">
        <v>9.104487690415207E7</v>
      </c>
      <c r="T5" s="105">
        <v>9.072406343135625E7</v>
      </c>
      <c r="U5" s="105">
        <v>9.017491801232263E7</v>
      </c>
      <c r="V5" s="105">
        <v>8.993181010881743E7</v>
      </c>
      <c r="W5" s="105">
        <v>8.970097421946412E7</v>
      </c>
      <c r="X5" s="105">
        <v>8.951261819479924E7</v>
      </c>
      <c r="Y5" s="105">
        <v>8.917078559474699E7</v>
      </c>
      <c r="Z5" s="105">
        <v>8.888081859912081E7</v>
      </c>
      <c r="AA5" s="105">
        <v>8.857469047219534E7</v>
      </c>
      <c r="AB5" s="105">
        <v>8.82427709913751E7</v>
      </c>
      <c r="AC5" s="105">
        <v>8.757918143113123E7</v>
      </c>
      <c r="AD5" s="105">
        <v>8.703772838729462E7</v>
      </c>
      <c r="AE5" s="105">
        <v>8.672307231528385E7</v>
      </c>
      <c r="AF5" s="105">
        <v>8.637779832155411E7</v>
      </c>
      <c r="AG5" s="105">
        <v>8.617035691213754E7</v>
      </c>
      <c r="AH5" s="105">
        <v>8.603704989067684E7</v>
      </c>
      <c r="AI5" s="105">
        <v>8.587117721368697E7</v>
      </c>
      <c r="AJ5" s="105">
        <v>8.553512515110631E7</v>
      </c>
      <c r="AK5" s="105">
        <v>8.504817028264727E7</v>
      </c>
      <c r="AL5" s="105">
        <v>8.444316094944613E7</v>
      </c>
      <c r="AM5" s="107">
        <v>8.344165809985027E7</v>
      </c>
      <c r="AN5" s="107">
        <v>8.228379387992892E7</v>
      </c>
      <c r="AO5" s="107">
        <v>8.148440579223323E7</v>
      </c>
      <c r="AP5" s="107">
        <v>8.027172789125572E7</v>
      </c>
      <c r="AQ5" s="26"/>
      <c r="AR5" s="108">
        <f t="shared" ref="AR5:AR36" si="1">AP5-B5</f>
        <v>-18037896.76</v>
      </c>
      <c r="AS5" s="109">
        <f t="shared" ref="AS5:AS7" si="2">AR5/B5</f>
        <v>-0.1834804764</v>
      </c>
      <c r="AT5" s="110" t="s">
        <v>95</v>
      </c>
      <c r="AU5" s="111">
        <f>AP5/AP36</f>
        <v>0.601179487</v>
      </c>
    </row>
    <row r="6" ht="15.75" customHeight="1">
      <c r="A6" s="112" t="s">
        <v>20</v>
      </c>
      <c r="B6" s="113">
        <v>1.1706493904183416E7</v>
      </c>
      <c r="C6" s="113">
        <v>1.1681394336588992E7</v>
      </c>
      <c r="D6" s="113">
        <v>1.1607968293241648E7</v>
      </c>
      <c r="E6" s="113">
        <v>1.1508221910956435E7</v>
      </c>
      <c r="F6" s="113">
        <v>1.1453363826796083E7</v>
      </c>
      <c r="G6" s="113">
        <v>1.1422934441375082E7</v>
      </c>
      <c r="H6" s="113">
        <v>1.1437093112772752E7</v>
      </c>
      <c r="I6" s="113">
        <v>1.1455121323501866E7</v>
      </c>
      <c r="J6" s="113">
        <v>1.1461461723981474E7</v>
      </c>
      <c r="K6" s="113">
        <v>1.1502937171009537E7</v>
      </c>
      <c r="L6" s="113">
        <v>1.1447942647145769E7</v>
      </c>
      <c r="M6" s="113">
        <v>1.1386417089529673E7</v>
      </c>
      <c r="N6" s="113">
        <v>1.1320349541402448E7</v>
      </c>
      <c r="O6" s="113">
        <v>1.1239770152205575E7</v>
      </c>
      <c r="P6" s="113">
        <v>1.1177393585533371E7</v>
      </c>
      <c r="Q6" s="113">
        <v>1.1170965043976994E7</v>
      </c>
      <c r="R6" s="113">
        <v>1.1166344925785609E7</v>
      </c>
      <c r="S6" s="113">
        <v>1.1179203873414142E7</v>
      </c>
      <c r="T6" s="113">
        <v>1.1168725438939743E7</v>
      </c>
      <c r="U6" s="113">
        <v>1.1140815358767314E7</v>
      </c>
      <c r="V6" s="113">
        <v>1.112154594303229E7</v>
      </c>
      <c r="W6" s="113">
        <v>1.1114509136831844E7</v>
      </c>
      <c r="X6" s="113">
        <v>1.1114226703556791E7</v>
      </c>
      <c r="Y6" s="113">
        <v>1.1100506814097567E7</v>
      </c>
      <c r="Z6" s="113">
        <v>1.1077567432715576E7</v>
      </c>
      <c r="AA6" s="113">
        <v>1.1086359361394096E7</v>
      </c>
      <c r="AB6" s="113">
        <v>1.1090792805630196E7</v>
      </c>
      <c r="AC6" s="113">
        <v>1.1093238348759988E7</v>
      </c>
      <c r="AD6" s="113">
        <v>1.1091370751672443E7</v>
      </c>
      <c r="AE6" s="113">
        <v>1.108335140307704E7</v>
      </c>
      <c r="AF6" s="113">
        <v>1.1074709002667189E7</v>
      </c>
      <c r="AG6" s="113">
        <v>1.111122103323275E7</v>
      </c>
      <c r="AH6" s="113">
        <v>1.1138204802335566E7</v>
      </c>
      <c r="AI6" s="113">
        <v>1.115894514230594E7</v>
      </c>
      <c r="AJ6" s="113">
        <v>1.1150429420868343E7</v>
      </c>
      <c r="AK6" s="113">
        <v>1.109402888433473E7</v>
      </c>
      <c r="AL6" s="113">
        <v>1.1040277339132328E7</v>
      </c>
      <c r="AM6" s="113">
        <v>1.1014235983684657E7</v>
      </c>
      <c r="AN6" s="113">
        <v>1.0914351500008771E7</v>
      </c>
      <c r="AO6" s="113">
        <v>1.0848432606179846E7</v>
      </c>
      <c r="AP6" s="113">
        <v>1.0794247709054664E7</v>
      </c>
      <c r="AQ6" s="113"/>
      <c r="AR6" s="108">
        <f t="shared" si="1"/>
        <v>-912246.1951</v>
      </c>
      <c r="AS6" s="109">
        <f t="shared" si="2"/>
        <v>-0.07792650836</v>
      </c>
      <c r="AT6" s="1" t="s">
        <v>96</v>
      </c>
      <c r="AU6" s="111">
        <f>(AP5+AP12)/AP36</f>
        <v>0.6228097</v>
      </c>
    </row>
    <row r="7" ht="15.75" customHeight="1">
      <c r="A7" s="114" t="s">
        <v>27</v>
      </c>
      <c r="B7" s="113">
        <v>8.655472248925279E7</v>
      </c>
      <c r="C7" s="113">
        <v>8.656066886678065E7</v>
      </c>
      <c r="D7" s="113">
        <v>8.637587108701366E7</v>
      </c>
      <c r="E7" s="113">
        <v>8.585872041337563E7</v>
      </c>
      <c r="F7" s="113">
        <v>8.52311735040903E7</v>
      </c>
      <c r="G7" s="113">
        <v>8.454761264259169E7</v>
      </c>
      <c r="H7" s="113">
        <v>8.389921976751527E7</v>
      </c>
      <c r="I7" s="113">
        <v>8.327010267216808E7</v>
      </c>
      <c r="J7" s="113">
        <v>8.266466281748556E7</v>
      </c>
      <c r="K7" s="113">
        <v>8.203286644588047E7</v>
      </c>
      <c r="L7" s="113">
        <v>8.168852242569838E7</v>
      </c>
      <c r="M7" s="113">
        <v>8.143090763810608E7</v>
      </c>
      <c r="N7" s="113">
        <v>8.124675356676728E7</v>
      </c>
      <c r="O7" s="113">
        <v>8.086911402346535E7</v>
      </c>
      <c r="P7" s="113">
        <v>8.077155010582091E7</v>
      </c>
      <c r="Q7" s="113">
        <v>8.052975320865034E7</v>
      </c>
      <c r="R7" s="113">
        <v>8.011818278821409E7</v>
      </c>
      <c r="S7" s="113">
        <v>7.981148719358103E7</v>
      </c>
      <c r="T7" s="113">
        <v>7.950097869257249E7</v>
      </c>
      <c r="U7" s="113">
        <v>7.897959516513246E7</v>
      </c>
      <c r="V7" s="113">
        <v>7.875558653763676E7</v>
      </c>
      <c r="W7" s="113">
        <v>7.853153751446238E7</v>
      </c>
      <c r="X7" s="113">
        <v>7.834329083359346E7</v>
      </c>
      <c r="Y7" s="113">
        <v>7.801511101927869E7</v>
      </c>
      <c r="Z7" s="113">
        <v>7.774784251221259E7</v>
      </c>
      <c r="AA7" s="113">
        <v>7.743269224779373E7</v>
      </c>
      <c r="AB7" s="113">
        <v>7.709611399771726E7</v>
      </c>
      <c r="AC7" s="113">
        <v>7.643003882819825E7</v>
      </c>
      <c r="AD7" s="113">
        <v>7.588992955754574E7</v>
      </c>
      <c r="AE7" s="113">
        <v>7.558332809382129E7</v>
      </c>
      <c r="AF7" s="113">
        <v>7.524701413749705E7</v>
      </c>
      <c r="AG7" s="113">
        <v>7.500347791041428E7</v>
      </c>
      <c r="AH7" s="113">
        <v>7.484353351742837E7</v>
      </c>
      <c r="AI7" s="113">
        <v>7.465688804460527E7</v>
      </c>
      <c r="AJ7" s="113">
        <v>7.432920130635107E7</v>
      </c>
      <c r="AK7" s="113">
        <v>7.389844435829447E7</v>
      </c>
      <c r="AL7" s="113">
        <v>7.334659539782579E7</v>
      </c>
      <c r="AM7" s="113">
        <v>7.237174952934116E7</v>
      </c>
      <c r="AN7" s="113">
        <v>7.131323082823834E7</v>
      </c>
      <c r="AO7" s="113">
        <v>7.057990530791289E7</v>
      </c>
      <c r="AP7" s="113">
        <v>6.942034542402254E7</v>
      </c>
      <c r="AQ7" s="113"/>
      <c r="AR7" s="108">
        <f t="shared" si="1"/>
        <v>-17134377.07</v>
      </c>
      <c r="AS7" s="109">
        <f t="shared" si="2"/>
        <v>-0.1979600485</v>
      </c>
      <c r="AT7" s="10" t="s">
        <v>97</v>
      </c>
      <c r="AU7" s="10">
        <f>AR5</f>
        <v>-18037896.76</v>
      </c>
    </row>
    <row r="8" ht="15.75" customHeight="1">
      <c r="A8" s="115" t="s">
        <v>31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08">
        <f t="shared" si="1"/>
        <v>0</v>
      </c>
      <c r="AS8" s="109" t="s">
        <v>88</v>
      </c>
      <c r="AT8" s="10" t="s">
        <v>98</v>
      </c>
      <c r="AU8" s="116">
        <f>AR5+AR12</f>
        <v>-18833178.47</v>
      </c>
    </row>
    <row r="9" ht="15.75" customHeight="1">
      <c r="A9" s="115" t="s">
        <v>36</v>
      </c>
      <c r="B9" s="113">
        <v>48343.55966629655</v>
      </c>
      <c r="C9" s="113">
        <v>49071.8881716186</v>
      </c>
      <c r="D9" s="113">
        <v>48937.404744213905</v>
      </c>
      <c r="E9" s="113">
        <v>49350.55394106396</v>
      </c>
      <c r="F9" s="113">
        <v>49716.311933880555</v>
      </c>
      <c r="G9" s="113">
        <v>50163.32982407219</v>
      </c>
      <c r="H9" s="113">
        <v>50275.82914652749</v>
      </c>
      <c r="I9" s="113">
        <v>50094.96000176448</v>
      </c>
      <c r="J9" s="113">
        <v>50241.346770166274</v>
      </c>
      <c r="K9" s="113">
        <v>50926.24383364319</v>
      </c>
      <c r="L9" s="113">
        <v>51636.681924811455</v>
      </c>
      <c r="M9" s="113">
        <v>52813.166704523275</v>
      </c>
      <c r="N9" s="113">
        <v>52539.604991132364</v>
      </c>
      <c r="O9" s="113">
        <v>52779.61798620101</v>
      </c>
      <c r="P9" s="113">
        <v>52848.540351581934</v>
      </c>
      <c r="Q9" s="113">
        <v>53674.24090680632</v>
      </c>
      <c r="R9" s="113">
        <v>53889.432833789826</v>
      </c>
      <c r="S9" s="113">
        <v>54092.207708728805</v>
      </c>
      <c r="T9" s="113">
        <v>54261.04254345723</v>
      </c>
      <c r="U9" s="113">
        <v>54409.4098912358</v>
      </c>
      <c r="V9" s="113">
        <v>54577.8591481757</v>
      </c>
      <c r="W9" s="113">
        <v>54827.35390579948</v>
      </c>
      <c r="X9" s="113">
        <v>54999.19743177002</v>
      </c>
      <c r="Y9" s="113">
        <v>55066.301189668244</v>
      </c>
      <c r="Z9" s="113">
        <v>55307.0160612382</v>
      </c>
      <c r="AA9" s="113">
        <v>55538.56088058622</v>
      </c>
      <c r="AB9" s="113">
        <v>55763.08470448123</v>
      </c>
      <c r="AC9" s="113">
        <v>55799.58970118491</v>
      </c>
      <c r="AD9" s="113">
        <v>56322.87886759821</v>
      </c>
      <c r="AE9" s="113">
        <v>56280.497079390465</v>
      </c>
      <c r="AF9" s="113">
        <v>55960.10063317474</v>
      </c>
      <c r="AG9" s="113">
        <v>55534.787179878804</v>
      </c>
      <c r="AH9" s="113">
        <v>55187.588467378824</v>
      </c>
      <c r="AI9" s="113">
        <v>55221.736117757224</v>
      </c>
      <c r="AJ9" s="113">
        <v>55372.48990288871</v>
      </c>
      <c r="AK9" s="113">
        <v>55577.33147094283</v>
      </c>
      <c r="AL9" s="113">
        <v>56168.05931573643</v>
      </c>
      <c r="AM9" s="113">
        <v>55553.412633405715</v>
      </c>
      <c r="AN9" s="113">
        <v>56092.11042421441</v>
      </c>
      <c r="AO9" s="113">
        <v>55945.053710981505</v>
      </c>
      <c r="AP9" s="113">
        <v>57010.41988603682</v>
      </c>
      <c r="AQ9" s="113"/>
      <c r="AR9" s="108">
        <f t="shared" si="1"/>
        <v>8666.86022</v>
      </c>
      <c r="AS9" s="109">
        <f>AR9/B9</f>
        <v>0.1792764182</v>
      </c>
      <c r="AT9" s="6" t="s">
        <v>99</v>
      </c>
      <c r="AU9" s="1">
        <f>AU8/(B5+B12)</f>
        <v>-0.1846515807</v>
      </c>
    </row>
    <row r="10" ht="15.75" customHeight="1">
      <c r="A10" s="115" t="s">
        <v>37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08">
        <f t="shared" si="1"/>
        <v>0</v>
      </c>
      <c r="AS10" s="109" t="s">
        <v>88</v>
      </c>
      <c r="AT10" s="10" t="s">
        <v>100</v>
      </c>
      <c r="AU10" s="117">
        <f>AR20/B20</f>
        <v>0.6241678118</v>
      </c>
    </row>
    <row r="11" ht="15.75" customHeight="1">
      <c r="A11" s="115" t="s">
        <v>39</v>
      </c>
      <c r="B11" s="113">
        <v>64.70034514160159</v>
      </c>
      <c r="C11" s="113">
        <v>64.61135227050785</v>
      </c>
      <c r="D11" s="113">
        <v>47.34580956420901</v>
      </c>
      <c r="E11" s="113">
        <v>41.11592404174801</v>
      </c>
      <c r="F11" s="113">
        <v>42.45211398925778</v>
      </c>
      <c r="G11" s="113">
        <v>45.12241184692381</v>
      </c>
      <c r="H11" s="113">
        <v>52.68709580688468</v>
      </c>
      <c r="I11" s="113">
        <v>69.95294054565446</v>
      </c>
      <c r="J11" s="113">
        <v>86.68684552612316</v>
      </c>
      <c r="K11" s="113">
        <v>106.8932779174807</v>
      </c>
      <c r="L11" s="113">
        <v>111.9677104370119</v>
      </c>
      <c r="M11" s="113">
        <v>112.0566928466798</v>
      </c>
      <c r="N11" s="113">
        <v>106.8056305053714</v>
      </c>
      <c r="O11" s="113">
        <v>104.1347046081545</v>
      </c>
      <c r="P11" s="113">
        <v>106.5384901306155</v>
      </c>
      <c r="Q11" s="113">
        <v>98.17047772827169</v>
      </c>
      <c r="R11" s="113">
        <v>93.6294861083987</v>
      </c>
      <c r="S11" s="113">
        <v>93.62944815673853</v>
      </c>
      <c r="T11" s="113">
        <v>98.2573005676272</v>
      </c>
      <c r="U11" s="113">
        <v>98.0785316284182</v>
      </c>
      <c r="V11" s="113">
        <v>99.76900019531266</v>
      </c>
      <c r="W11" s="113">
        <v>100.2142640991212</v>
      </c>
      <c r="X11" s="113">
        <v>101.4602172180176</v>
      </c>
      <c r="Y11" s="113">
        <v>101.4601810729981</v>
      </c>
      <c r="Z11" s="113">
        <v>101.638131414795</v>
      </c>
      <c r="AA11" s="113">
        <v>100.3021269348145</v>
      </c>
      <c r="AB11" s="113">
        <v>101.1033231567383</v>
      </c>
      <c r="AC11" s="113">
        <v>104.6644717956544</v>
      </c>
      <c r="AD11" s="113">
        <v>105.1992088378907</v>
      </c>
      <c r="AE11" s="113">
        <v>112.3213061462403</v>
      </c>
      <c r="AF11" s="113">
        <v>115.0807566894532</v>
      </c>
      <c r="AG11" s="113">
        <v>123.1813106384278</v>
      </c>
      <c r="AH11" s="113">
        <v>123.9824455383301</v>
      </c>
      <c r="AI11" s="113">
        <v>122.290658013916</v>
      </c>
      <c r="AJ11" s="113">
        <v>121.9339840209961</v>
      </c>
      <c r="AK11" s="113">
        <v>119.7085471374512</v>
      </c>
      <c r="AL11" s="113">
        <v>120.1531722717286</v>
      </c>
      <c r="AM11" s="113">
        <v>119.1741910461426</v>
      </c>
      <c r="AN11" s="113">
        <v>119.44125758667</v>
      </c>
      <c r="AO11" s="113">
        <v>122.8244295104981</v>
      </c>
      <c r="AP11" s="113">
        <v>124.3382924804688</v>
      </c>
      <c r="AQ11" s="113"/>
      <c r="AR11" s="108">
        <f t="shared" si="1"/>
        <v>59.63794734</v>
      </c>
      <c r="AS11" s="109">
        <f t="shared" ref="AS11:AS13" si="3">AR11/B11</f>
        <v>0.9217562473</v>
      </c>
      <c r="AT11" s="10"/>
      <c r="AU11" s="1"/>
    </row>
    <row r="12" ht="15.75" customHeight="1">
      <c r="A12" s="105" t="s">
        <v>10</v>
      </c>
      <c r="B12" s="105">
        <v>3683428.446467965</v>
      </c>
      <c r="C12" s="105">
        <v>3480589.7600753587</v>
      </c>
      <c r="D12" s="105">
        <v>3351823.4210376907</v>
      </c>
      <c r="E12" s="105">
        <v>3319509.266271572</v>
      </c>
      <c r="F12" s="105">
        <v>3275544.564804693</v>
      </c>
      <c r="G12" s="105">
        <v>3246836.626504109</v>
      </c>
      <c r="H12" s="105">
        <v>3212550.1588810203</v>
      </c>
      <c r="I12" s="105">
        <v>3173637.4109477503</v>
      </c>
      <c r="J12" s="105">
        <v>3150495.314111302</v>
      </c>
      <c r="K12" s="105">
        <v>3122295.5582215493</v>
      </c>
      <c r="L12" s="105">
        <v>3094876.3229468213</v>
      </c>
      <c r="M12" s="105">
        <v>3061857.415071454</v>
      </c>
      <c r="N12" s="105">
        <v>3057675.123045855</v>
      </c>
      <c r="O12" s="105">
        <v>3073749.0672433763</v>
      </c>
      <c r="P12" s="105">
        <v>3091628.0388602684</v>
      </c>
      <c r="Q12" s="105">
        <v>3137753.7236975767</v>
      </c>
      <c r="R12" s="105">
        <v>3166692.4195965915</v>
      </c>
      <c r="S12" s="105">
        <v>3173982.6502620396</v>
      </c>
      <c r="T12" s="105">
        <v>3163314.4287294857</v>
      </c>
      <c r="U12" s="105">
        <v>3163613.1817746027</v>
      </c>
      <c r="V12" s="105">
        <v>3151883.2638774957</v>
      </c>
      <c r="W12" s="105">
        <v>3154623.7515246854</v>
      </c>
      <c r="X12" s="105">
        <v>3138766.425678488</v>
      </c>
      <c r="Y12" s="105">
        <v>3112753.814678685</v>
      </c>
      <c r="Z12" s="105">
        <v>3090631.3389632762</v>
      </c>
      <c r="AA12" s="105">
        <v>3060674.392224549</v>
      </c>
      <c r="AB12" s="105">
        <v>3031314.5802106475</v>
      </c>
      <c r="AC12" s="105">
        <v>3016393.360801766</v>
      </c>
      <c r="AD12" s="105">
        <v>3012034.1629154743</v>
      </c>
      <c r="AE12" s="105">
        <v>2999508.5683073713</v>
      </c>
      <c r="AF12" s="105">
        <v>2995863.874663259</v>
      </c>
      <c r="AG12" s="105">
        <v>3009896.5216150726</v>
      </c>
      <c r="AH12" s="105">
        <v>3016382.9324548272</v>
      </c>
      <c r="AI12" s="105">
        <v>3028158.4808978923</v>
      </c>
      <c r="AJ12" s="105">
        <v>3043189.3152463287</v>
      </c>
      <c r="AK12" s="105">
        <v>3045706.164650742</v>
      </c>
      <c r="AL12" s="105">
        <v>2999994.506956682</v>
      </c>
      <c r="AM12" s="107">
        <v>2960477.2214388815</v>
      </c>
      <c r="AN12" s="107">
        <v>2904823.8830549647</v>
      </c>
      <c r="AO12" s="107">
        <v>2878481.871333023</v>
      </c>
      <c r="AP12" s="107">
        <v>2888146.7370836088</v>
      </c>
      <c r="AQ12" s="26"/>
      <c r="AR12" s="108">
        <f t="shared" si="1"/>
        <v>-795281.7094</v>
      </c>
      <c r="AS12" s="109">
        <f t="shared" si="3"/>
        <v>-0.215908011</v>
      </c>
      <c r="AT12" s="110"/>
    </row>
    <row r="13" ht="15.75" customHeight="1">
      <c r="A13" s="26" t="s">
        <v>40</v>
      </c>
      <c r="B13" s="113">
        <v>398398.8668098686</v>
      </c>
      <c r="C13" s="113">
        <v>391965.8057423816</v>
      </c>
      <c r="D13" s="113">
        <v>386325.3670603078</v>
      </c>
      <c r="E13" s="113">
        <v>380302.7935254077</v>
      </c>
      <c r="F13" s="113">
        <v>374478.73978793825</v>
      </c>
      <c r="G13" s="113">
        <v>368210.36913047434</v>
      </c>
      <c r="H13" s="113">
        <v>366618.81814876717</v>
      </c>
      <c r="I13" s="113">
        <v>372941.8069846317</v>
      </c>
      <c r="J13" s="113">
        <v>376454.5505189278</v>
      </c>
      <c r="K13" s="113">
        <v>379502.03184196085</v>
      </c>
      <c r="L13" s="113">
        <v>378943.2477664905</v>
      </c>
      <c r="M13" s="113">
        <v>375210.2752029053</v>
      </c>
      <c r="N13" s="113">
        <v>373830.8814616093</v>
      </c>
      <c r="O13" s="113">
        <v>376622.01816344244</v>
      </c>
      <c r="P13" s="113">
        <v>380444.09562255366</v>
      </c>
      <c r="Q13" s="113">
        <v>393008.1844489647</v>
      </c>
      <c r="R13" s="113">
        <v>398241.3501685262</v>
      </c>
      <c r="S13" s="113">
        <v>397509.65395951166</v>
      </c>
      <c r="T13" s="113">
        <v>396823.44765755744</v>
      </c>
      <c r="U13" s="113">
        <v>395169.67506923334</v>
      </c>
      <c r="V13" s="113">
        <v>400847.28436378384</v>
      </c>
      <c r="W13" s="113">
        <v>402802.7281076502</v>
      </c>
      <c r="X13" s="113">
        <v>402442.00606625644</v>
      </c>
      <c r="Y13" s="113">
        <v>399460.95125787635</v>
      </c>
      <c r="Z13" s="113">
        <v>398721.32157868263</v>
      </c>
      <c r="AA13" s="113">
        <v>397841.0640447159</v>
      </c>
      <c r="AB13" s="113">
        <v>395375.4134073577</v>
      </c>
      <c r="AC13" s="113">
        <v>392439.91125782713</v>
      </c>
      <c r="AD13" s="113">
        <v>393238.23124035256</v>
      </c>
      <c r="AE13" s="113">
        <v>393444.7316235987</v>
      </c>
      <c r="AF13" s="113">
        <v>391527.89322530007</v>
      </c>
      <c r="AG13" s="113">
        <v>391518.072671901</v>
      </c>
      <c r="AH13" s="113">
        <v>390133.3963838397</v>
      </c>
      <c r="AI13" s="113">
        <v>386430.54561311705</v>
      </c>
      <c r="AJ13" s="113">
        <v>384696.3093821964</v>
      </c>
      <c r="AK13" s="113">
        <v>385711.8025286637</v>
      </c>
      <c r="AL13" s="113">
        <v>387700.5625912486</v>
      </c>
      <c r="AM13" s="113">
        <v>388654.46056411305</v>
      </c>
      <c r="AN13" s="113">
        <v>389377.01131348993</v>
      </c>
      <c r="AO13" s="113">
        <v>390988.0915695268</v>
      </c>
      <c r="AP13" s="113">
        <v>387205.73472279264</v>
      </c>
      <c r="AQ13" s="113"/>
      <c r="AR13" s="108">
        <f t="shared" si="1"/>
        <v>-11193.13209</v>
      </c>
      <c r="AS13" s="109">
        <f t="shared" si="3"/>
        <v>-0.02809529097</v>
      </c>
    </row>
    <row r="14" ht="15.75" customHeight="1">
      <c r="A14" s="26" t="s">
        <v>42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08">
        <f t="shared" si="1"/>
        <v>0</v>
      </c>
      <c r="AS14" s="109" t="s">
        <v>88</v>
      </c>
    </row>
    <row r="15" ht="15.75" customHeight="1">
      <c r="A15" s="26" t="s">
        <v>43</v>
      </c>
      <c r="B15" s="113">
        <v>2480276.9375156867</v>
      </c>
      <c r="C15" s="113">
        <v>2274207.197042566</v>
      </c>
      <c r="D15" s="113">
        <v>2132693.711457664</v>
      </c>
      <c r="E15" s="113">
        <v>2098059.1839364585</v>
      </c>
      <c r="F15" s="113">
        <v>2052349.6413979714</v>
      </c>
      <c r="G15" s="113">
        <v>2029409.3906018392</v>
      </c>
      <c r="H15" s="113">
        <v>1992942.697917813</v>
      </c>
      <c r="I15" s="113">
        <v>1940563.8189777478</v>
      </c>
      <c r="J15" s="113">
        <v>1911910.0862013735</v>
      </c>
      <c r="K15" s="113">
        <v>1879181.2625551112</v>
      </c>
      <c r="L15" s="113">
        <v>1849676.8312335345</v>
      </c>
      <c r="M15" s="113">
        <v>1817981.5635195908</v>
      </c>
      <c r="N15" s="113">
        <v>1808719.25704544</v>
      </c>
      <c r="O15" s="113">
        <v>1813735.7161320643</v>
      </c>
      <c r="P15" s="113">
        <v>1831698.9081206447</v>
      </c>
      <c r="Q15" s="113">
        <v>1867091.7280850734</v>
      </c>
      <c r="R15" s="113">
        <v>1883343.0558142387</v>
      </c>
      <c r="S15" s="113">
        <v>1881932.5701315172</v>
      </c>
      <c r="T15" s="113">
        <v>1875258.6466672672</v>
      </c>
      <c r="U15" s="113">
        <v>1859115.531766996</v>
      </c>
      <c r="V15" s="113">
        <v>1843738.6977325196</v>
      </c>
      <c r="W15" s="113">
        <v>1841643.6904058706</v>
      </c>
      <c r="X15" s="113">
        <v>1831819.380296155</v>
      </c>
      <c r="Y15" s="113">
        <v>1806271.6444142356</v>
      </c>
      <c r="Z15" s="113">
        <v>1783134.4257434367</v>
      </c>
      <c r="AA15" s="113">
        <v>1757346.766091347</v>
      </c>
      <c r="AB15" s="113">
        <v>1736191.6580031118</v>
      </c>
      <c r="AC15" s="113">
        <v>1715466.7183894375</v>
      </c>
      <c r="AD15" s="113">
        <v>1712805.1185202596</v>
      </c>
      <c r="AE15" s="113">
        <v>1717112.8252224962</v>
      </c>
      <c r="AF15" s="113">
        <v>1707573.8865815108</v>
      </c>
      <c r="AG15" s="113">
        <v>1709045.4501466719</v>
      </c>
      <c r="AH15" s="113">
        <v>1703621.6271429162</v>
      </c>
      <c r="AI15" s="113">
        <v>1703257.58335556</v>
      </c>
      <c r="AJ15" s="113">
        <v>1692169.28937288</v>
      </c>
      <c r="AK15" s="113">
        <v>1669783.674532342</v>
      </c>
      <c r="AL15" s="113">
        <v>1624170.0024462813</v>
      </c>
      <c r="AM15" s="113">
        <v>1567769.9119168746</v>
      </c>
      <c r="AN15" s="113">
        <v>1501276.5731908437</v>
      </c>
      <c r="AO15" s="113">
        <v>1461879.213325266</v>
      </c>
      <c r="AP15" s="113">
        <v>1432294.7175039607</v>
      </c>
      <c r="AQ15" s="113"/>
      <c r="AR15" s="108">
        <f t="shared" si="1"/>
        <v>-1047982.22</v>
      </c>
      <c r="AS15" s="109">
        <f t="shared" ref="AS15:AS28" si="4">AR15/B15</f>
        <v>-0.422526293</v>
      </c>
    </row>
    <row r="16" ht="15.75" customHeight="1">
      <c r="A16" s="26" t="s">
        <v>46</v>
      </c>
      <c r="B16" s="113">
        <v>370790.99615080486</v>
      </c>
      <c r="C16" s="113">
        <v>390648.4243646446</v>
      </c>
      <c r="D16" s="113">
        <v>410311.29106428905</v>
      </c>
      <c r="E16" s="113">
        <v>418977.8986060829</v>
      </c>
      <c r="F16" s="113">
        <v>426261.51772833127</v>
      </c>
      <c r="G16" s="113">
        <v>426762.21145084413</v>
      </c>
      <c r="H16" s="113">
        <v>430635.00839397736</v>
      </c>
      <c r="I16" s="113">
        <v>438509.0482208159</v>
      </c>
      <c r="J16" s="113">
        <v>440730.8948090087</v>
      </c>
      <c r="K16" s="113">
        <v>443041.42859639745</v>
      </c>
      <c r="L16" s="113">
        <v>446973.08828587923</v>
      </c>
      <c r="M16" s="113">
        <v>450622.56998929154</v>
      </c>
      <c r="N16" s="113">
        <v>457200.7083930744</v>
      </c>
      <c r="O16" s="113">
        <v>464338.07370276627</v>
      </c>
      <c r="P16" s="113">
        <v>457565.7759398384</v>
      </c>
      <c r="Q16" s="113">
        <v>454166.3059927333</v>
      </c>
      <c r="R16" s="113">
        <v>461241.0063156048</v>
      </c>
      <c r="S16" s="113">
        <v>470334.23972179426</v>
      </c>
      <c r="T16" s="113">
        <v>467458.66871253686</v>
      </c>
      <c r="U16" s="113">
        <v>484727.76012496016</v>
      </c>
      <c r="V16" s="113">
        <v>482360.29121014924</v>
      </c>
      <c r="W16" s="113">
        <v>485829.8915590189</v>
      </c>
      <c r="X16" s="113">
        <v>480714.2105286644</v>
      </c>
      <c r="Y16" s="113">
        <v>483314.25235383486</v>
      </c>
      <c r="Z16" s="113">
        <v>484919.5922797701</v>
      </c>
      <c r="AA16" s="113">
        <v>482747.18696331116</v>
      </c>
      <c r="AB16" s="113">
        <v>478499.11245717393</v>
      </c>
      <c r="AC16" s="113">
        <v>487939.90292570705</v>
      </c>
      <c r="AD16" s="113">
        <v>484980.6763267946</v>
      </c>
      <c r="AE16" s="113">
        <v>466176.8073942075</v>
      </c>
      <c r="AF16" s="113">
        <v>473776.4785850693</v>
      </c>
      <c r="AG16" s="113">
        <v>487050.10591447045</v>
      </c>
      <c r="AH16" s="113">
        <v>499426.9423922817</v>
      </c>
      <c r="AI16" s="113">
        <v>515181.1063090692</v>
      </c>
      <c r="AJ16" s="113">
        <v>542645.4491059448</v>
      </c>
      <c r="AK16" s="113">
        <v>566418.4005883402</v>
      </c>
      <c r="AL16" s="113">
        <v>564619.6441159127</v>
      </c>
      <c r="AM16" s="113">
        <v>580145.2223662512</v>
      </c>
      <c r="AN16" s="113">
        <v>588020.3178478315</v>
      </c>
      <c r="AO16" s="113">
        <v>596135.1251632554</v>
      </c>
      <c r="AP16" s="113">
        <v>629110.7381951921</v>
      </c>
      <c r="AQ16" s="113"/>
      <c r="AR16" s="108">
        <f t="shared" si="1"/>
        <v>258319.742</v>
      </c>
      <c r="AS16" s="109">
        <f t="shared" si="4"/>
        <v>0.6966721003</v>
      </c>
    </row>
    <row r="17" ht="15.75" customHeight="1">
      <c r="A17" s="112" t="s">
        <v>48</v>
      </c>
      <c r="B17" s="113">
        <v>15525.857102587797</v>
      </c>
      <c r="C17" s="113">
        <v>15490.624090582189</v>
      </c>
      <c r="D17" s="113">
        <v>15418.44362197257</v>
      </c>
      <c r="E17" s="113">
        <v>15813.285227496228</v>
      </c>
      <c r="F17" s="113">
        <v>15418.888710143989</v>
      </c>
      <c r="G17" s="113">
        <v>14987.063267529229</v>
      </c>
      <c r="H17" s="113">
        <v>14700.12940443718</v>
      </c>
      <c r="I17" s="113">
        <v>14435.699706603911</v>
      </c>
      <c r="J17" s="113">
        <v>14179.27091882321</v>
      </c>
      <c r="K17" s="113">
        <v>13899.208236541675</v>
      </c>
      <c r="L17" s="113">
        <v>14078.565700109815</v>
      </c>
      <c r="M17" s="113">
        <v>13759.00566105338</v>
      </c>
      <c r="N17" s="113">
        <v>13905.275055596827</v>
      </c>
      <c r="O17" s="113">
        <v>14741.681811767556</v>
      </c>
      <c r="P17" s="113">
        <v>15365.173862341228</v>
      </c>
      <c r="Q17" s="113">
        <v>15915.003652825795</v>
      </c>
      <c r="R17" s="113">
        <v>15705.10444980456</v>
      </c>
      <c r="S17" s="113">
        <v>15116.335039282225</v>
      </c>
      <c r="T17" s="113">
        <v>14741.598417279081</v>
      </c>
      <c r="U17" s="113">
        <v>15062.871309466547</v>
      </c>
      <c r="V17" s="113">
        <v>15266.236706567348</v>
      </c>
      <c r="W17" s="113">
        <v>15270.38547147829</v>
      </c>
      <c r="X17" s="113">
        <v>15061.055533215278</v>
      </c>
      <c r="Y17" s="113">
        <v>14771.396494757046</v>
      </c>
      <c r="Z17" s="113">
        <v>14692.456085052489</v>
      </c>
      <c r="AA17" s="113">
        <v>14462.956712457228</v>
      </c>
      <c r="AB17" s="113">
        <v>14175.499255432176</v>
      </c>
      <c r="AC17" s="113">
        <v>13811.26704689939</v>
      </c>
      <c r="AD17" s="113">
        <v>13824.61833785404</v>
      </c>
      <c r="AE17" s="113">
        <v>13714.9079231934</v>
      </c>
      <c r="AF17" s="113">
        <v>13525.356500927763</v>
      </c>
      <c r="AG17" s="113">
        <v>13432.127640557925</v>
      </c>
      <c r="AH17" s="113">
        <v>13429.327279138222</v>
      </c>
      <c r="AI17" s="113">
        <v>13423.690305865455</v>
      </c>
      <c r="AJ17" s="113">
        <v>13242.392688623062</v>
      </c>
      <c r="AK17" s="113">
        <v>13045.274171557608</v>
      </c>
      <c r="AL17" s="113">
        <v>12942.554997442618</v>
      </c>
      <c r="AM17" s="113">
        <v>12477.861101092461</v>
      </c>
      <c r="AN17" s="113">
        <v>12167.253665118415</v>
      </c>
      <c r="AO17" s="113">
        <v>11746.106223516881</v>
      </c>
      <c r="AP17" s="113">
        <v>10862.01945166017</v>
      </c>
      <c r="AQ17" s="113"/>
      <c r="AR17" s="108">
        <f t="shared" si="1"/>
        <v>-4663.837651</v>
      </c>
      <c r="AS17" s="109">
        <f t="shared" si="4"/>
        <v>-0.3003916383</v>
      </c>
    </row>
    <row r="18" ht="15.75" customHeight="1">
      <c r="A18" s="26" t="s">
        <v>50</v>
      </c>
      <c r="B18" s="113">
        <v>403524.5597167822</v>
      </c>
      <c r="C18" s="113">
        <v>392453.11758724734</v>
      </c>
      <c r="D18" s="113">
        <v>391321.27294391254</v>
      </c>
      <c r="E18" s="113">
        <v>391103.05675747443</v>
      </c>
      <c r="F18" s="113">
        <v>392081.9267603311</v>
      </c>
      <c r="G18" s="113">
        <v>392398.2737515116</v>
      </c>
      <c r="H18" s="113">
        <v>392442.4345177406</v>
      </c>
      <c r="I18" s="113">
        <v>392318.39018763206</v>
      </c>
      <c r="J18" s="113">
        <v>392181.052162351</v>
      </c>
      <c r="K18" s="113">
        <v>391595.537516178</v>
      </c>
      <c r="L18" s="113">
        <v>390447.66649797134</v>
      </c>
      <c r="M18" s="113">
        <v>390330.7223798623</v>
      </c>
      <c r="N18" s="113">
        <v>390457.52177992975</v>
      </c>
      <c r="O18" s="113">
        <v>390564.8177072002</v>
      </c>
      <c r="P18" s="113">
        <v>391286.009483085</v>
      </c>
      <c r="Q18" s="113">
        <v>391816.50465404463</v>
      </c>
      <c r="R18" s="113">
        <v>392139.7658735149</v>
      </c>
      <c r="S18" s="113">
        <v>393054.72488008224</v>
      </c>
      <c r="T18" s="113">
        <v>393123.952899662</v>
      </c>
      <c r="U18" s="113">
        <v>393620.6930093789</v>
      </c>
      <c r="V18" s="113">
        <v>393754.4446469156</v>
      </c>
      <c r="W18" s="113">
        <v>393316.1465824622</v>
      </c>
      <c r="X18" s="113">
        <v>392550.4174238012</v>
      </c>
      <c r="Y18" s="113">
        <v>391701.5482180151</v>
      </c>
      <c r="Z18" s="113">
        <v>391795.60266378574</v>
      </c>
      <c r="AA18" s="113">
        <v>391409.38738256594</v>
      </c>
      <c r="AB18" s="113">
        <v>390971.3068219035</v>
      </c>
      <c r="AC18" s="113">
        <v>391354.09328587423</v>
      </c>
      <c r="AD18" s="113">
        <v>392439.78356107575</v>
      </c>
      <c r="AE18" s="113">
        <v>394213.71611868055</v>
      </c>
      <c r="AF18" s="113">
        <v>394479.556326713</v>
      </c>
      <c r="AG18" s="113">
        <v>393714.28274882</v>
      </c>
      <c r="AH18" s="113">
        <v>394379.3169174421</v>
      </c>
      <c r="AI18" s="113">
        <v>394115.1652530986</v>
      </c>
      <c r="AJ18" s="113">
        <v>394622.9681220992</v>
      </c>
      <c r="AK18" s="113">
        <v>395418.6200387433</v>
      </c>
      <c r="AL18" s="113">
        <v>395476.5471962934</v>
      </c>
      <c r="AM18" s="113">
        <v>396402.8491148481</v>
      </c>
      <c r="AN18" s="113">
        <v>398759.1014220748</v>
      </c>
      <c r="AO18" s="113">
        <v>402622.1038343187</v>
      </c>
      <c r="AP18" s="113">
        <v>413804.0476835625</v>
      </c>
      <c r="AQ18" s="113"/>
      <c r="AR18" s="108">
        <f t="shared" si="1"/>
        <v>10279.48797</v>
      </c>
      <c r="AS18" s="109">
        <f t="shared" si="4"/>
        <v>0.02547425608</v>
      </c>
    </row>
    <row r="19" ht="15.75" customHeight="1">
      <c r="A19" s="26" t="s">
        <v>51</v>
      </c>
      <c r="B19" s="113">
        <v>14911.229172235118</v>
      </c>
      <c r="C19" s="113">
        <v>15824.591247936998</v>
      </c>
      <c r="D19" s="113">
        <v>15753.334889544727</v>
      </c>
      <c r="E19" s="113">
        <v>15253.048218652417</v>
      </c>
      <c r="F19" s="113">
        <v>14953.850419976869</v>
      </c>
      <c r="G19" s="113">
        <v>15069.318301910458</v>
      </c>
      <c r="H19" s="113">
        <v>15211.070498285</v>
      </c>
      <c r="I19" s="113">
        <v>14868.64687031869</v>
      </c>
      <c r="J19" s="113">
        <v>15039.45950081796</v>
      </c>
      <c r="K19" s="113">
        <v>15076.089475360153</v>
      </c>
      <c r="L19" s="113">
        <v>14756.923462835766</v>
      </c>
      <c r="M19" s="113">
        <v>13953.278318750095</v>
      </c>
      <c r="N19" s="113">
        <v>13561.479310205184</v>
      </c>
      <c r="O19" s="113">
        <v>13746.75972613536</v>
      </c>
      <c r="P19" s="113">
        <v>15268.075831805514</v>
      </c>
      <c r="Q19" s="113">
        <v>15755.996863934466</v>
      </c>
      <c r="R19" s="113">
        <v>16022.13697490241</v>
      </c>
      <c r="S19" s="113">
        <v>16035.126529852458</v>
      </c>
      <c r="T19" s="113">
        <v>15908.114375183284</v>
      </c>
      <c r="U19" s="113">
        <v>15916.650494568017</v>
      </c>
      <c r="V19" s="113">
        <v>15916.309217559967</v>
      </c>
      <c r="W19" s="113">
        <v>15760.909398205687</v>
      </c>
      <c r="X19" s="113">
        <v>16179.355830395667</v>
      </c>
      <c r="Y19" s="113">
        <v>17234.021939966005</v>
      </c>
      <c r="Z19" s="113">
        <v>17367.940612548984</v>
      </c>
      <c r="AA19" s="113">
        <v>16867.03103015153</v>
      </c>
      <c r="AB19" s="113">
        <v>16101.590265667917</v>
      </c>
      <c r="AC19" s="113">
        <v>15381.467896020633</v>
      </c>
      <c r="AD19" s="113">
        <v>14745.734929138347</v>
      </c>
      <c r="AE19" s="113">
        <v>14845.580025195422</v>
      </c>
      <c r="AF19" s="113">
        <v>14980.703443737908</v>
      </c>
      <c r="AG19" s="113">
        <v>15136.48249265151</v>
      </c>
      <c r="AH19" s="113">
        <v>15392.322339209117</v>
      </c>
      <c r="AI19" s="113">
        <v>15750.390061181752</v>
      </c>
      <c r="AJ19" s="113">
        <v>15812.906574585042</v>
      </c>
      <c r="AK19" s="113">
        <v>15328.39279109503</v>
      </c>
      <c r="AL19" s="113">
        <v>15085.195609503291</v>
      </c>
      <c r="AM19" s="113">
        <v>15026.916375702027</v>
      </c>
      <c r="AN19" s="113">
        <v>15223.625615606778</v>
      </c>
      <c r="AO19" s="113">
        <v>15111.231217138804</v>
      </c>
      <c r="AP19" s="113">
        <v>14869.479526440591</v>
      </c>
      <c r="AQ19" s="113"/>
      <c r="AR19" s="108">
        <f t="shared" si="1"/>
        <v>-41.74964579</v>
      </c>
      <c r="AS19" s="109">
        <f t="shared" si="4"/>
        <v>-0.002799879561</v>
      </c>
    </row>
    <row r="20" ht="15.75" customHeight="1">
      <c r="A20" s="107" t="s">
        <v>11</v>
      </c>
      <c r="B20" s="105">
        <v>2.9544951188870247E7</v>
      </c>
      <c r="C20" s="105">
        <v>2.9783660769744664E7</v>
      </c>
      <c r="D20" s="105">
        <v>3.024472153060083E7</v>
      </c>
      <c r="E20" s="105">
        <v>3.087119571916824E7</v>
      </c>
      <c r="F20" s="105">
        <v>3.153796773020531E7</v>
      </c>
      <c r="G20" s="105">
        <v>3.225629939287596E7</v>
      </c>
      <c r="H20" s="105">
        <v>3.2935135520747554E7</v>
      </c>
      <c r="I20" s="105">
        <v>3.358194364884851E7</v>
      </c>
      <c r="J20" s="105">
        <v>3.426889530047526E7</v>
      </c>
      <c r="K20" s="105">
        <v>3.486241284260245E7</v>
      </c>
      <c r="L20" s="105">
        <v>3.533060666512795E7</v>
      </c>
      <c r="M20" s="105">
        <v>3.5680207231297016E7</v>
      </c>
      <c r="N20" s="105">
        <v>3.5869531837119296E7</v>
      </c>
      <c r="O20" s="105">
        <v>3.640644802675116E7</v>
      </c>
      <c r="P20" s="105">
        <v>3.6526990043295436E7</v>
      </c>
      <c r="Q20" s="105">
        <v>3.675521444725246E7</v>
      </c>
      <c r="R20" s="105">
        <v>3.7189999654344045E7</v>
      </c>
      <c r="S20" s="105">
        <v>3.736488661100593E7</v>
      </c>
      <c r="T20" s="105">
        <v>3.769775412213761E7</v>
      </c>
      <c r="U20" s="105">
        <v>3.797741594604751E7</v>
      </c>
      <c r="V20" s="105">
        <v>3.8292333238388866E7</v>
      </c>
      <c r="W20" s="105">
        <v>3.851102430046536E7</v>
      </c>
      <c r="X20" s="105">
        <v>3.8707394893367514E7</v>
      </c>
      <c r="Y20" s="105">
        <v>3.905603871269538E7</v>
      </c>
      <c r="Z20" s="105">
        <v>3.931338406459823E7</v>
      </c>
      <c r="AA20" s="105">
        <v>3.970707409903119E7</v>
      </c>
      <c r="AB20" s="105">
        <v>4.008586015592921E7</v>
      </c>
      <c r="AC20" s="105">
        <v>4.085390662299172E7</v>
      </c>
      <c r="AD20" s="105">
        <v>4.154221606599438E7</v>
      </c>
      <c r="AE20" s="105">
        <v>4.189102081640793E7</v>
      </c>
      <c r="AF20" s="105">
        <v>4.233457552670681E7</v>
      </c>
      <c r="AG20" s="105">
        <v>4.250761251619397E7</v>
      </c>
      <c r="AH20" s="105">
        <v>4.262511071094509E7</v>
      </c>
      <c r="AI20" s="105">
        <v>4.269038049688875E7</v>
      </c>
      <c r="AJ20" s="105">
        <v>4.2948130868913986E7</v>
      </c>
      <c r="AK20" s="105">
        <v>4.326139322441258E7</v>
      </c>
      <c r="AL20" s="105">
        <v>4.3947650079195894E7</v>
      </c>
      <c r="AM20" s="107">
        <v>4.483820708162735E7</v>
      </c>
      <c r="AN20" s="107">
        <v>4.600346584500835E7</v>
      </c>
      <c r="AO20" s="107">
        <v>4.6797843580961585E7</v>
      </c>
      <c r="AP20" s="107">
        <v>4.798595872232352E7</v>
      </c>
      <c r="AQ20" s="26"/>
      <c r="AR20" s="108">
        <f t="shared" si="1"/>
        <v>18441007.53</v>
      </c>
      <c r="AS20" s="109">
        <f t="shared" si="4"/>
        <v>0.6241678118</v>
      </c>
      <c r="AT20" s="110"/>
    </row>
    <row r="21" ht="15.75" customHeight="1">
      <c r="A21" s="112" t="s">
        <v>53</v>
      </c>
      <c r="B21" s="113">
        <v>2.2192673942492764E7</v>
      </c>
      <c r="C21" s="113">
        <v>2.4302763720341735E7</v>
      </c>
      <c r="D21" s="113">
        <v>2.5547380065695155E7</v>
      </c>
      <c r="E21" s="113">
        <v>2.6403677254897814E7</v>
      </c>
      <c r="F21" s="113">
        <v>2.7193614248944916E7</v>
      </c>
      <c r="G21" s="113">
        <v>2.7978911981177192E7</v>
      </c>
      <c r="H21" s="113">
        <v>2.8605654620978773E7</v>
      </c>
      <c r="I21" s="113">
        <v>2.91267635831775E7</v>
      </c>
      <c r="J21" s="113">
        <v>2.9631311200921025E7</v>
      </c>
      <c r="K21" s="113">
        <v>2.9774722898239136E7</v>
      </c>
      <c r="L21" s="113">
        <v>2.9981973912674963E7</v>
      </c>
      <c r="M21" s="113">
        <v>3.0310339340448268E7</v>
      </c>
      <c r="N21" s="113">
        <v>3.0627210651821375E7</v>
      </c>
      <c r="O21" s="113">
        <v>3.125763328052138E7</v>
      </c>
      <c r="P21" s="113">
        <v>3.1453556107476857E7</v>
      </c>
      <c r="Q21" s="113">
        <v>3.1596834635113817E7</v>
      </c>
      <c r="R21" s="113">
        <v>3.1805721418088302E7</v>
      </c>
      <c r="S21" s="113">
        <v>3.1822680599163197E7</v>
      </c>
      <c r="T21" s="113">
        <v>3.202492785727893E7</v>
      </c>
      <c r="U21" s="113">
        <v>3.2064531802758515E7</v>
      </c>
      <c r="V21" s="113">
        <v>3.2212386936659943E7</v>
      </c>
      <c r="W21" s="113">
        <v>3.2243977494088046E7</v>
      </c>
      <c r="X21" s="113">
        <v>3.230843107428029E7</v>
      </c>
      <c r="Y21" s="113">
        <v>3.2468492012100805E7</v>
      </c>
      <c r="Z21" s="113">
        <v>3.2603711768502366E7</v>
      </c>
      <c r="AA21" s="113">
        <v>3.279476466994085E7</v>
      </c>
      <c r="AB21" s="113">
        <v>3.2969986282146778E7</v>
      </c>
      <c r="AC21" s="113">
        <v>3.347624332026857E7</v>
      </c>
      <c r="AD21" s="113">
        <v>3.392493131356828E7</v>
      </c>
      <c r="AE21" s="113">
        <v>3.410442351237586E7</v>
      </c>
      <c r="AF21" s="113">
        <v>3.42256996903135E7</v>
      </c>
      <c r="AG21" s="113">
        <v>3.4198514828168154E7</v>
      </c>
      <c r="AH21" s="113">
        <v>3.403934140262076E7</v>
      </c>
      <c r="AI21" s="113">
        <v>3.392567167825618E7</v>
      </c>
      <c r="AJ21" s="113">
        <v>3.396076250781655E7</v>
      </c>
      <c r="AK21" s="113">
        <v>3.400060924961352E7</v>
      </c>
      <c r="AL21" s="113">
        <v>3.436952110884224E7</v>
      </c>
      <c r="AM21" s="113">
        <v>3.496057890325001E7</v>
      </c>
      <c r="AN21" s="113">
        <v>3.55227252593772E7</v>
      </c>
      <c r="AO21" s="113">
        <v>3.583003284110922E7</v>
      </c>
      <c r="AP21" s="113">
        <v>3.640507103607666E7</v>
      </c>
      <c r="AQ21" s="113"/>
      <c r="AR21" s="108">
        <f t="shared" si="1"/>
        <v>14212397.09</v>
      </c>
      <c r="AS21" s="109">
        <f t="shared" si="4"/>
        <v>0.640409404</v>
      </c>
      <c r="AT21" s="10"/>
      <c r="AU21" s="6"/>
    </row>
    <row r="22" ht="15.75" customHeight="1">
      <c r="A22" s="26" t="s">
        <v>54</v>
      </c>
      <c r="B22" s="113">
        <v>380243.29361670517</v>
      </c>
      <c r="C22" s="113">
        <v>383318.2500727481</v>
      </c>
      <c r="D22" s="113">
        <v>444313.42280349</v>
      </c>
      <c r="E22" s="113">
        <v>496298.32503192994</v>
      </c>
      <c r="F22" s="113">
        <v>619911.1284633359</v>
      </c>
      <c r="G22" s="113">
        <v>687550.7070148884</v>
      </c>
      <c r="H22" s="113">
        <v>782770.3807329766</v>
      </c>
      <c r="I22" s="113">
        <v>863033.3414916494</v>
      </c>
      <c r="J22" s="113">
        <v>952089.2387597087</v>
      </c>
      <c r="K22" s="113">
        <v>1046495.0775787248</v>
      </c>
      <c r="L22" s="113">
        <v>1132931.1106514477</v>
      </c>
      <c r="M22" s="113">
        <v>1233608.5096685837</v>
      </c>
      <c r="N22" s="113">
        <v>1310203.0976491019</v>
      </c>
      <c r="O22" s="113">
        <v>1424315.298800329</v>
      </c>
      <c r="P22" s="113">
        <v>1627928.7834878343</v>
      </c>
      <c r="Q22" s="113">
        <v>1782159.6056365857</v>
      </c>
      <c r="R22" s="113">
        <v>1965400.8470470014</v>
      </c>
      <c r="S22" s="113">
        <v>2064336.9121132933</v>
      </c>
      <c r="T22" s="113">
        <v>2141000.9608973307</v>
      </c>
      <c r="U22" s="113">
        <v>2405463.213383786</v>
      </c>
      <c r="V22" s="113">
        <v>2565631.2429640647</v>
      </c>
      <c r="W22" s="113">
        <v>2773879.609551448</v>
      </c>
      <c r="X22" s="113">
        <v>2933249.943150036</v>
      </c>
      <c r="Y22" s="113">
        <v>3091135.788121287</v>
      </c>
      <c r="Z22" s="113">
        <v>3251747.24919848</v>
      </c>
      <c r="AA22" s="113">
        <v>3441609.8486077553</v>
      </c>
      <c r="AB22" s="113">
        <v>3601470.14565556</v>
      </c>
      <c r="AC22" s="113">
        <v>3837138.5676270653</v>
      </c>
      <c r="AD22" s="113">
        <v>4034521.515728643</v>
      </c>
      <c r="AE22" s="113">
        <v>4214431.8433114365</v>
      </c>
      <c r="AF22" s="113">
        <v>4483247.090701311</v>
      </c>
      <c r="AG22" s="113">
        <v>4644273.945436106</v>
      </c>
      <c r="AH22" s="113">
        <v>4839610.964194567</v>
      </c>
      <c r="AI22" s="113">
        <v>4878092.226303945</v>
      </c>
      <c r="AJ22" s="113">
        <v>4932300.380754629</v>
      </c>
      <c r="AK22" s="113">
        <v>5052130.395335481</v>
      </c>
      <c r="AL22" s="113">
        <v>5137272.521678112</v>
      </c>
      <c r="AM22" s="113">
        <v>5282509.955071794</v>
      </c>
      <c r="AN22" s="113">
        <v>5458770.464832393</v>
      </c>
      <c r="AO22" s="113">
        <v>5642251.756885238</v>
      </c>
      <c r="AP22" s="113">
        <v>5725493.146077452</v>
      </c>
      <c r="AQ22" s="113"/>
      <c r="AR22" s="108">
        <f t="shared" si="1"/>
        <v>5345249.852</v>
      </c>
      <c r="AS22" s="109">
        <f t="shared" si="4"/>
        <v>14.05744675</v>
      </c>
    </row>
    <row r="23" ht="15.75" customHeight="1">
      <c r="A23" s="26" t="s">
        <v>55</v>
      </c>
      <c r="B23" s="113">
        <v>234417.95271375543</v>
      </c>
      <c r="C23" s="113">
        <v>203482.87283609365</v>
      </c>
      <c r="D23" s="113">
        <v>220416.218233535</v>
      </c>
      <c r="E23" s="113">
        <v>276394.9739697751</v>
      </c>
      <c r="F23" s="113">
        <v>288096.1613577519</v>
      </c>
      <c r="G23" s="113">
        <v>318667.7370293878</v>
      </c>
      <c r="H23" s="113">
        <v>382229.10378930235</v>
      </c>
      <c r="I23" s="113">
        <v>420027.1602575781</v>
      </c>
      <c r="J23" s="113">
        <v>435973.8981686731</v>
      </c>
      <c r="K23" s="113">
        <v>446657.6556174938</v>
      </c>
      <c r="L23" s="113">
        <v>451889.8026026622</v>
      </c>
      <c r="M23" s="113">
        <v>433411.32700141444</v>
      </c>
      <c r="N23" s="113">
        <v>437016.4585316954</v>
      </c>
      <c r="O23" s="113">
        <v>430683.0722567549</v>
      </c>
      <c r="P23" s="113">
        <v>427087.1754887641</v>
      </c>
      <c r="Q23" s="113">
        <v>424638.37706407957</v>
      </c>
      <c r="R23" s="113">
        <v>423991.74142026104</v>
      </c>
      <c r="S23" s="113">
        <v>426929.2176877419</v>
      </c>
      <c r="T23" s="113">
        <v>429039.4932171788</v>
      </c>
      <c r="U23" s="113">
        <v>438258.59603992105</v>
      </c>
      <c r="V23" s="113">
        <v>453894.289601395</v>
      </c>
      <c r="W23" s="113">
        <v>476365.93435694714</v>
      </c>
      <c r="X23" s="113">
        <v>497406.006401003</v>
      </c>
      <c r="Y23" s="113">
        <v>516871.63156945974</v>
      </c>
      <c r="Z23" s="113">
        <v>558311.9292019625</v>
      </c>
      <c r="AA23" s="113">
        <v>603904.6138633013</v>
      </c>
      <c r="AB23" s="113">
        <v>644621.428435833</v>
      </c>
      <c r="AC23" s="113">
        <v>679901.7605821444</v>
      </c>
      <c r="AD23" s="113">
        <v>736357.2292978276</v>
      </c>
      <c r="AE23" s="113">
        <v>757008.1174572877</v>
      </c>
      <c r="AF23" s="113">
        <v>765549.2439775196</v>
      </c>
      <c r="AG23" s="113">
        <v>773857.2746662332</v>
      </c>
      <c r="AH23" s="113">
        <v>785066.7539932779</v>
      </c>
      <c r="AI23" s="113">
        <v>794071.0895110891</v>
      </c>
      <c r="AJ23" s="113">
        <v>813643.3142454708</v>
      </c>
      <c r="AK23" s="113">
        <v>826848.6723079608</v>
      </c>
      <c r="AL23" s="113">
        <v>833540.9744652605</v>
      </c>
      <c r="AM23" s="113">
        <v>843038.4635853451</v>
      </c>
      <c r="AN23" s="113">
        <v>847463.1152716755</v>
      </c>
      <c r="AO23" s="113">
        <v>848491.8774613139</v>
      </c>
      <c r="AP23" s="113">
        <v>847823.1417721952</v>
      </c>
      <c r="AQ23" s="113"/>
      <c r="AR23" s="108">
        <f t="shared" si="1"/>
        <v>613405.1891</v>
      </c>
      <c r="AS23" s="109">
        <f t="shared" si="4"/>
        <v>2.616715921</v>
      </c>
      <c r="AT23" s="10"/>
    </row>
    <row r="24" ht="15.75" customHeight="1">
      <c r="A24" s="112" t="s">
        <v>56</v>
      </c>
      <c r="B24" s="113">
        <v>6737616.000047024</v>
      </c>
      <c r="C24" s="113">
        <v>4894095.92649409</v>
      </c>
      <c r="D24" s="113">
        <v>4032611.8238686514</v>
      </c>
      <c r="E24" s="113">
        <v>3694825.16526872</v>
      </c>
      <c r="F24" s="113">
        <v>3436346.1914393045</v>
      </c>
      <c r="G24" s="113">
        <v>3271168.96765449</v>
      </c>
      <c r="H24" s="113">
        <v>3164481.4152465016</v>
      </c>
      <c r="I24" s="113">
        <v>3172119.5639217864</v>
      </c>
      <c r="J24" s="113">
        <v>3249520.9626258584</v>
      </c>
      <c r="K24" s="113">
        <v>3594537.2111670934</v>
      </c>
      <c r="L24" s="113">
        <v>3763811.839198873</v>
      </c>
      <c r="M24" s="113">
        <v>3702848.054178748</v>
      </c>
      <c r="N24" s="113">
        <v>3495101.629117124</v>
      </c>
      <c r="O24" s="113">
        <v>3293816.375172692</v>
      </c>
      <c r="P24" s="113">
        <v>3018417.976841982</v>
      </c>
      <c r="Q24" s="113">
        <v>2951581.829437981</v>
      </c>
      <c r="R24" s="113">
        <v>2994885.6477884776</v>
      </c>
      <c r="S24" s="113">
        <v>3050939.8820416993</v>
      </c>
      <c r="T24" s="113">
        <v>3102785.810744177</v>
      </c>
      <c r="U24" s="113">
        <v>3069162.3338652854</v>
      </c>
      <c r="V24" s="113">
        <v>3060420.7691634656</v>
      </c>
      <c r="W24" s="113">
        <v>3016801.2624689187</v>
      </c>
      <c r="X24" s="113">
        <v>2968307.8695361875</v>
      </c>
      <c r="Y24" s="113">
        <v>2979539.280903832</v>
      </c>
      <c r="Z24" s="113">
        <v>2899613.117695428</v>
      </c>
      <c r="AA24" s="113">
        <v>2866794.9666192764</v>
      </c>
      <c r="AB24" s="113">
        <v>2869782.2996910354</v>
      </c>
      <c r="AC24" s="113">
        <v>2860622.9745139377</v>
      </c>
      <c r="AD24" s="113">
        <v>2846406.0073996307</v>
      </c>
      <c r="AE24" s="113">
        <v>2815157.34326334</v>
      </c>
      <c r="AF24" s="113">
        <v>2860079.5017144745</v>
      </c>
      <c r="AG24" s="113">
        <v>2890966.467923475</v>
      </c>
      <c r="AH24" s="113">
        <v>2961091.590136484</v>
      </c>
      <c r="AI24" s="113">
        <v>3092545.5028175428</v>
      </c>
      <c r="AJ24" s="113">
        <v>3241424.6660973327</v>
      </c>
      <c r="AK24" s="113">
        <v>3381804.9071556195</v>
      </c>
      <c r="AL24" s="113">
        <v>3607315.474210282</v>
      </c>
      <c r="AM24" s="113">
        <v>3752079.759720197</v>
      </c>
      <c r="AN24" s="113">
        <v>4174507.0055270833</v>
      </c>
      <c r="AO24" s="113">
        <v>4477067.105505812</v>
      </c>
      <c r="AP24" s="113">
        <v>5007571.3983972175</v>
      </c>
      <c r="AQ24" s="113"/>
      <c r="AR24" s="108">
        <f t="shared" si="1"/>
        <v>-1730044.602</v>
      </c>
      <c r="AS24" s="109">
        <f t="shared" si="4"/>
        <v>-0.2567739986</v>
      </c>
    </row>
    <row r="25" ht="15.75" customHeight="1">
      <c r="A25" s="107" t="s">
        <v>12</v>
      </c>
      <c r="B25" s="105">
        <v>668547.3968036473</v>
      </c>
      <c r="C25" s="105">
        <v>633527.8658853781</v>
      </c>
      <c r="D25" s="105">
        <v>625241.3205614344</v>
      </c>
      <c r="E25" s="105">
        <v>633883.3575324609</v>
      </c>
      <c r="F25" s="105">
        <v>645876.1650496359</v>
      </c>
      <c r="G25" s="105">
        <v>659632.5924931974</v>
      </c>
      <c r="H25" s="105">
        <v>672607.1953858493</v>
      </c>
      <c r="I25" s="105">
        <v>686471.8731820728</v>
      </c>
      <c r="J25" s="105">
        <v>694047.6762572238</v>
      </c>
      <c r="K25" s="105">
        <v>701617.035757005</v>
      </c>
      <c r="L25" s="105">
        <v>722334.8454658908</v>
      </c>
      <c r="M25" s="105">
        <v>736557.5942153659</v>
      </c>
      <c r="N25" s="105">
        <v>743386.3796811494</v>
      </c>
      <c r="O25" s="105">
        <v>758662.431629355</v>
      </c>
      <c r="P25" s="105">
        <v>773265.252600516</v>
      </c>
      <c r="Q25" s="105">
        <v>787127.9158168545</v>
      </c>
      <c r="R25" s="105">
        <v>793147.1257626273</v>
      </c>
      <c r="S25" s="105">
        <v>799988.4837576337</v>
      </c>
      <c r="T25" s="105">
        <v>799733.7477453165</v>
      </c>
      <c r="U25" s="105">
        <v>793436.8587133633</v>
      </c>
      <c r="V25" s="105">
        <v>798070.4524648576</v>
      </c>
      <c r="W25" s="105">
        <v>805621.6679939171</v>
      </c>
      <c r="X25" s="105">
        <v>810387.5572735069</v>
      </c>
      <c r="Y25" s="105">
        <v>821827.6917770721</v>
      </c>
      <c r="Z25" s="105">
        <v>836610.5802643279</v>
      </c>
      <c r="AA25" s="105">
        <v>852407.4999212367</v>
      </c>
      <c r="AB25" s="105">
        <v>868904.7767889795</v>
      </c>
      <c r="AC25" s="105">
        <v>884647.3934635653</v>
      </c>
      <c r="AD25" s="105">
        <v>910306.0976829249</v>
      </c>
      <c r="AE25" s="105">
        <v>931629.2941820851</v>
      </c>
      <c r="AF25" s="105">
        <v>950480.9331942289</v>
      </c>
      <c r="AG25" s="105">
        <v>972471.7086086562</v>
      </c>
      <c r="AH25" s="105">
        <v>981611.4743467615</v>
      </c>
      <c r="AI25" s="105">
        <v>995678.4965787379</v>
      </c>
      <c r="AJ25" s="105">
        <v>1007988.0770947826</v>
      </c>
      <c r="AK25" s="105">
        <v>1013024.9269397657</v>
      </c>
      <c r="AL25" s="105">
        <v>1026060.0181561438</v>
      </c>
      <c r="AM25" s="107">
        <v>1039816.2521619848</v>
      </c>
      <c r="AN25" s="107">
        <v>1072589.262112748</v>
      </c>
      <c r="AO25" s="107">
        <v>1120466.996915921</v>
      </c>
      <c r="AP25" s="107">
        <v>1154181.6283401398</v>
      </c>
      <c r="AQ25" s="26"/>
      <c r="AR25" s="108">
        <f t="shared" si="1"/>
        <v>485634.2315</v>
      </c>
      <c r="AS25" s="109">
        <f t="shared" si="4"/>
        <v>0.7264020978</v>
      </c>
      <c r="AT25" s="110"/>
    </row>
    <row r="26" ht="15.75" customHeight="1">
      <c r="A26" s="112" t="s">
        <v>57</v>
      </c>
      <c r="B26" s="113">
        <v>155349.74901611052</v>
      </c>
      <c r="C26" s="113">
        <v>153277.12082018156</v>
      </c>
      <c r="D26" s="113">
        <v>160140.6493994968</v>
      </c>
      <c r="E26" s="113">
        <v>162083.64733104597</v>
      </c>
      <c r="F26" s="113">
        <v>162253.51492338607</v>
      </c>
      <c r="G26" s="113">
        <v>161826.3027422151</v>
      </c>
      <c r="H26" s="113">
        <v>161861.22737884286</v>
      </c>
      <c r="I26" s="113">
        <v>164835.64587579243</v>
      </c>
      <c r="J26" s="113">
        <v>164990.6553007667</v>
      </c>
      <c r="K26" s="113">
        <v>165939.72958932372</v>
      </c>
      <c r="L26" s="113">
        <v>173428.6409298442</v>
      </c>
      <c r="M26" s="113">
        <v>178797.5468406359</v>
      </c>
      <c r="N26" s="113">
        <v>176592.99489769142</v>
      </c>
      <c r="O26" s="113">
        <v>177698.0912262375</v>
      </c>
      <c r="P26" s="113">
        <v>178630.13045068766</v>
      </c>
      <c r="Q26" s="113">
        <v>177890.7217214029</v>
      </c>
      <c r="R26" s="113">
        <v>176177.04910646356</v>
      </c>
      <c r="S26" s="113">
        <v>176996.75431855366</v>
      </c>
      <c r="T26" s="113">
        <v>174543.59698209714</v>
      </c>
      <c r="U26" s="113">
        <v>171016.24988845587</v>
      </c>
      <c r="V26" s="113">
        <v>167380.64915917028</v>
      </c>
      <c r="W26" s="113">
        <v>168019.56304147674</v>
      </c>
      <c r="X26" s="113">
        <v>164340.7502803866</v>
      </c>
      <c r="Y26" s="113">
        <v>157794.1786156895</v>
      </c>
      <c r="Z26" s="113">
        <v>158030.67593882838</v>
      </c>
      <c r="AA26" s="113">
        <v>161169.5372137668</v>
      </c>
      <c r="AB26" s="113">
        <v>168724.03692754888</v>
      </c>
      <c r="AC26" s="113">
        <v>177632.46910716925</v>
      </c>
      <c r="AD26" s="113">
        <v>185018.52260645005</v>
      </c>
      <c r="AE26" s="113">
        <v>188067.44235053027</v>
      </c>
      <c r="AF26" s="113">
        <v>186746.77348972013</v>
      </c>
      <c r="AG26" s="113">
        <v>187680.46365572867</v>
      </c>
      <c r="AH26" s="113">
        <v>184784.34592165923</v>
      </c>
      <c r="AI26" s="113">
        <v>185046.60695420334</v>
      </c>
      <c r="AJ26" s="113">
        <v>179449.2543169775</v>
      </c>
      <c r="AK26" s="113">
        <v>176265.40692491253</v>
      </c>
      <c r="AL26" s="113">
        <v>171064.92331824827</v>
      </c>
      <c r="AM26" s="113">
        <v>166178.2589444323</v>
      </c>
      <c r="AN26" s="113">
        <v>163585.67654181874</v>
      </c>
      <c r="AO26" s="113">
        <v>164365.64515260997</v>
      </c>
      <c r="AP26" s="113">
        <v>162925.1185713538</v>
      </c>
      <c r="AQ26" s="113"/>
      <c r="AR26" s="108">
        <f t="shared" si="1"/>
        <v>7575.369555</v>
      </c>
      <c r="AS26" s="109">
        <f t="shared" si="4"/>
        <v>0.04876332021</v>
      </c>
    </row>
    <row r="27" ht="15.75" customHeight="1">
      <c r="A27" s="112" t="s">
        <v>59</v>
      </c>
      <c r="B27" s="113">
        <v>234159.29439816833</v>
      </c>
      <c r="C27" s="113">
        <v>249163.13120347817</v>
      </c>
      <c r="D27" s="113">
        <v>256817.1854524102</v>
      </c>
      <c r="E27" s="113">
        <v>268410.5915919732</v>
      </c>
      <c r="F27" s="113">
        <v>278636.53626950015</v>
      </c>
      <c r="G27" s="113">
        <v>289576.44921634474</v>
      </c>
      <c r="H27" s="113">
        <v>303246.9123894828</v>
      </c>
      <c r="I27" s="113">
        <v>314479.73300490604</v>
      </c>
      <c r="J27" s="113">
        <v>326001.757266393</v>
      </c>
      <c r="K27" s="113">
        <v>337531.9616765367</v>
      </c>
      <c r="L27" s="113">
        <v>349209.6900867235</v>
      </c>
      <c r="M27" s="113">
        <v>358611.166898711</v>
      </c>
      <c r="N27" s="113">
        <v>368454.25525346526</v>
      </c>
      <c r="O27" s="113">
        <v>379314.5758680957</v>
      </c>
      <c r="P27" s="113">
        <v>390331.6859959951</v>
      </c>
      <c r="Q27" s="113">
        <v>400582.62267451675</v>
      </c>
      <c r="R27" s="113">
        <v>410246.24110123224</v>
      </c>
      <c r="S27" s="113">
        <v>419264.6807071466</v>
      </c>
      <c r="T27" s="113">
        <v>427965.572415844</v>
      </c>
      <c r="U27" s="113">
        <v>435752.25085786055</v>
      </c>
      <c r="V27" s="113">
        <v>443576.775956658</v>
      </c>
      <c r="W27" s="113">
        <v>450799.6048675163</v>
      </c>
      <c r="X27" s="113">
        <v>458856.0889768733</v>
      </c>
      <c r="Y27" s="113">
        <v>467976.7099630492</v>
      </c>
      <c r="Z27" s="113">
        <v>477607.7217544363</v>
      </c>
      <c r="AA27" s="113">
        <v>488753.11729299877</v>
      </c>
      <c r="AB27" s="113">
        <v>499872.8075470628</v>
      </c>
      <c r="AC27" s="113">
        <v>512065.5086514159</v>
      </c>
      <c r="AD27" s="113">
        <v>524251.03483444615</v>
      </c>
      <c r="AE27" s="113">
        <v>536884.2891359734</v>
      </c>
      <c r="AF27" s="113">
        <v>547260.6840031906</v>
      </c>
      <c r="AG27" s="113">
        <v>557726.6050202252</v>
      </c>
      <c r="AH27" s="113">
        <v>567195.60009102</v>
      </c>
      <c r="AI27" s="113">
        <v>576490.3816877666</v>
      </c>
      <c r="AJ27" s="113">
        <v>584932.254011094</v>
      </c>
      <c r="AK27" s="113">
        <v>593828.9400682404</v>
      </c>
      <c r="AL27" s="113">
        <v>602119.538244243</v>
      </c>
      <c r="AM27" s="113">
        <v>610140.4493723009</v>
      </c>
      <c r="AN27" s="113">
        <v>619334.9686662905</v>
      </c>
      <c r="AO27" s="113">
        <v>634335.1393569879</v>
      </c>
      <c r="AP27" s="113">
        <v>652721.2258839407</v>
      </c>
      <c r="AQ27" s="113"/>
      <c r="AR27" s="108">
        <f t="shared" si="1"/>
        <v>418561.9315</v>
      </c>
      <c r="AS27" s="109">
        <f t="shared" si="4"/>
        <v>1.787509364</v>
      </c>
    </row>
    <row r="28" ht="15.75" customHeight="1">
      <c r="A28" s="26" t="s">
        <v>61</v>
      </c>
      <c r="B28" s="113">
        <v>2013.5582635559033</v>
      </c>
      <c r="C28" s="113">
        <v>2968.6111559570068</v>
      </c>
      <c r="D28" s="113">
        <v>3421.780639514106</v>
      </c>
      <c r="E28" s="113">
        <v>3779.029885772622</v>
      </c>
      <c r="F28" s="113">
        <v>4277.02764734491</v>
      </c>
      <c r="G28" s="113">
        <v>4570.763382373022</v>
      </c>
      <c r="H28" s="113">
        <v>4763.238552093533</v>
      </c>
      <c r="I28" s="113">
        <v>5092.896428326491</v>
      </c>
      <c r="J28" s="113">
        <v>5433.116265838713</v>
      </c>
      <c r="K28" s="113">
        <v>5789.3984360718905</v>
      </c>
      <c r="L28" s="113">
        <v>5957.403945398056</v>
      </c>
      <c r="M28" s="113">
        <v>6024.539014489855</v>
      </c>
      <c r="N28" s="113">
        <v>6289.533313104377</v>
      </c>
      <c r="O28" s="113">
        <v>6845.781472277972</v>
      </c>
      <c r="P28" s="113">
        <v>6917.072710919332</v>
      </c>
      <c r="Q28" s="113">
        <v>6950.931124572887</v>
      </c>
      <c r="R28" s="113">
        <v>7020.099546679828</v>
      </c>
      <c r="S28" s="113">
        <v>7144.240195062399</v>
      </c>
      <c r="T28" s="113">
        <v>7362.965414941553</v>
      </c>
      <c r="U28" s="113">
        <v>7600.5586930787795</v>
      </c>
      <c r="V28" s="113">
        <v>7677.371825183273</v>
      </c>
      <c r="W28" s="113">
        <v>7632.284901275806</v>
      </c>
      <c r="X28" s="113">
        <v>7744.254427478218</v>
      </c>
      <c r="Y28" s="113">
        <v>7910.006149572965</v>
      </c>
      <c r="Z28" s="113">
        <v>8048.722008209444</v>
      </c>
      <c r="AA28" s="113">
        <v>8233.52972500633</v>
      </c>
      <c r="AB28" s="113">
        <v>8546.457996344227</v>
      </c>
      <c r="AC28" s="113">
        <v>9171.47161324487</v>
      </c>
      <c r="AD28" s="113">
        <v>9558.771944903803</v>
      </c>
      <c r="AE28" s="113">
        <v>9651.963926074468</v>
      </c>
      <c r="AF28" s="113">
        <v>10035.887546832539</v>
      </c>
      <c r="AG28" s="113">
        <v>10494.80034235258</v>
      </c>
      <c r="AH28" s="113">
        <v>10729.024844452195</v>
      </c>
      <c r="AI28" s="113">
        <v>10773.849729846486</v>
      </c>
      <c r="AJ28" s="113">
        <v>10822.706824518076</v>
      </c>
      <c r="AK28" s="113">
        <v>11027.859069885484</v>
      </c>
      <c r="AL28" s="113">
        <v>11226.244429413076</v>
      </c>
      <c r="AM28" s="113">
        <v>11638.029210681387</v>
      </c>
      <c r="AN28" s="113">
        <v>12199.13002152124</v>
      </c>
      <c r="AO28" s="113">
        <v>12933.285730023437</v>
      </c>
      <c r="AP28" s="113">
        <v>13694.627141784922</v>
      </c>
      <c r="AQ28" s="113"/>
      <c r="AR28" s="108">
        <f t="shared" si="1"/>
        <v>11681.06888</v>
      </c>
      <c r="AS28" s="109">
        <f t="shared" si="4"/>
        <v>5.80120729</v>
      </c>
    </row>
    <row r="29" ht="15.75" customHeight="1">
      <c r="A29" s="26" t="s">
        <v>101</v>
      </c>
      <c r="B29" s="113">
        <v>0.0</v>
      </c>
      <c r="C29" s="113">
        <v>0.0</v>
      </c>
      <c r="D29" s="113">
        <v>0.0</v>
      </c>
      <c r="E29" s="113">
        <v>0.0</v>
      </c>
      <c r="F29" s="113">
        <v>0.0</v>
      </c>
      <c r="G29" s="113">
        <v>0.0</v>
      </c>
      <c r="H29" s="113">
        <v>0.0</v>
      </c>
      <c r="I29" s="113">
        <v>0.0</v>
      </c>
      <c r="J29" s="113">
        <v>0.0</v>
      </c>
      <c r="K29" s="113">
        <v>0.0</v>
      </c>
      <c r="L29" s="113">
        <v>0.0</v>
      </c>
      <c r="M29" s="113">
        <v>0.0</v>
      </c>
      <c r="N29" s="113">
        <v>0.0</v>
      </c>
      <c r="O29" s="113">
        <v>0.0</v>
      </c>
      <c r="P29" s="113">
        <v>0.0</v>
      </c>
      <c r="Q29" s="113">
        <v>0.0</v>
      </c>
      <c r="R29" s="113">
        <v>0.0</v>
      </c>
      <c r="S29" s="113">
        <v>0.0</v>
      </c>
      <c r="T29" s="113">
        <v>0.0</v>
      </c>
      <c r="U29" s="113">
        <v>0.0</v>
      </c>
      <c r="V29" s="113">
        <v>0.0</v>
      </c>
      <c r="W29" s="113">
        <v>0.0</v>
      </c>
      <c r="X29" s="113">
        <v>0.0</v>
      </c>
      <c r="Y29" s="113">
        <v>0.0</v>
      </c>
      <c r="Z29" s="113">
        <v>0.0</v>
      </c>
      <c r="AA29" s="113">
        <v>0.0</v>
      </c>
      <c r="AB29" s="113">
        <v>0.0</v>
      </c>
      <c r="AC29" s="113">
        <v>0.0</v>
      </c>
      <c r="AD29" s="113">
        <v>0.0</v>
      </c>
      <c r="AE29" s="113">
        <v>0.0</v>
      </c>
      <c r="AF29" s="113">
        <v>0.0</v>
      </c>
      <c r="AG29" s="113">
        <v>1116.8190179321257</v>
      </c>
      <c r="AH29" s="113">
        <v>2193.5472482666105</v>
      </c>
      <c r="AI29" s="113">
        <v>3794.377262689234</v>
      </c>
      <c r="AJ29" s="113">
        <v>5505.127356048583</v>
      </c>
      <c r="AK29" s="113">
        <v>6254.222308746352</v>
      </c>
      <c r="AL29" s="113">
        <v>9120.93158962408</v>
      </c>
      <c r="AM29" s="113">
        <v>16234.880133862458</v>
      </c>
      <c r="AN29" s="113">
        <v>23957.11413650531</v>
      </c>
      <c r="AO29" s="113">
        <v>32280.025517999395</v>
      </c>
      <c r="AP29" s="113">
        <v>36419.48552308982</v>
      </c>
      <c r="AQ29" s="113"/>
      <c r="AR29" s="108">
        <f t="shared" si="1"/>
        <v>36419.48552</v>
      </c>
      <c r="AS29" s="109" t="s">
        <v>88</v>
      </c>
    </row>
    <row r="30" ht="15.75" customHeight="1">
      <c r="A30" s="26" t="s">
        <v>102</v>
      </c>
      <c r="B30" s="113">
        <v>0.0</v>
      </c>
      <c r="C30" s="113">
        <v>0.0</v>
      </c>
      <c r="D30" s="113">
        <v>0.0</v>
      </c>
      <c r="E30" s="113">
        <v>0.0</v>
      </c>
      <c r="F30" s="113">
        <v>0.0</v>
      </c>
      <c r="G30" s="113">
        <v>0.0</v>
      </c>
      <c r="H30" s="113">
        <v>0.0</v>
      </c>
      <c r="I30" s="113">
        <v>0.0</v>
      </c>
      <c r="J30" s="113">
        <v>0.0</v>
      </c>
      <c r="K30" s="113">
        <v>0.0</v>
      </c>
      <c r="L30" s="113">
        <v>0.0</v>
      </c>
      <c r="M30" s="113">
        <v>0.0</v>
      </c>
      <c r="N30" s="113">
        <v>0.0</v>
      </c>
      <c r="O30" s="113">
        <v>0.0</v>
      </c>
      <c r="P30" s="113">
        <v>0.0</v>
      </c>
      <c r="Q30" s="113">
        <v>0.0</v>
      </c>
      <c r="R30" s="113">
        <v>0.0</v>
      </c>
      <c r="S30" s="113">
        <v>0.0</v>
      </c>
      <c r="T30" s="113">
        <v>0.0</v>
      </c>
      <c r="U30" s="113">
        <v>0.0</v>
      </c>
      <c r="V30" s="113">
        <v>0.0</v>
      </c>
      <c r="W30" s="113">
        <v>0.0</v>
      </c>
      <c r="X30" s="113">
        <v>0.0</v>
      </c>
      <c r="Y30" s="113">
        <v>0.0</v>
      </c>
      <c r="Z30" s="113">
        <v>0.0</v>
      </c>
      <c r="AA30" s="113">
        <v>0.0</v>
      </c>
      <c r="AB30" s="113">
        <v>0.0</v>
      </c>
      <c r="AC30" s="113">
        <v>0.0</v>
      </c>
      <c r="AD30" s="113">
        <v>0.0</v>
      </c>
      <c r="AE30" s="113">
        <v>0.0</v>
      </c>
      <c r="AF30" s="113">
        <v>0.0</v>
      </c>
      <c r="AG30" s="113">
        <v>4683.710296765131</v>
      </c>
      <c r="AH30" s="113">
        <v>6720.701074353019</v>
      </c>
      <c r="AI30" s="113">
        <v>8023.152866558831</v>
      </c>
      <c r="AJ30" s="113">
        <v>13172.000210424812</v>
      </c>
      <c r="AK30" s="113">
        <v>15551.530077825942</v>
      </c>
      <c r="AL30" s="113">
        <v>18175.43875160524</v>
      </c>
      <c r="AM30" s="113">
        <v>21029.78372398075</v>
      </c>
      <c r="AN30" s="113">
        <v>23323.318103790323</v>
      </c>
      <c r="AO30" s="113">
        <v>25109.03572221073</v>
      </c>
      <c r="AP30" s="113">
        <v>26186.051918914818</v>
      </c>
      <c r="AQ30" s="113"/>
      <c r="AR30" s="108">
        <f t="shared" si="1"/>
        <v>26186.05192</v>
      </c>
      <c r="AS30" s="109" t="s">
        <v>88</v>
      </c>
    </row>
    <row r="31" ht="15.75" customHeight="1">
      <c r="A31" s="112" t="s">
        <v>90</v>
      </c>
      <c r="B31" s="113">
        <v>277024.7951258125</v>
      </c>
      <c r="C31" s="113">
        <v>228119.0027057614</v>
      </c>
      <c r="D31" s="113">
        <v>204861.70507001333</v>
      </c>
      <c r="E31" s="113">
        <v>199610.08872366924</v>
      </c>
      <c r="F31" s="113">
        <v>200709.08620940478</v>
      </c>
      <c r="G31" s="113">
        <v>203659.07715226454</v>
      </c>
      <c r="H31" s="113">
        <v>202735.81706543022</v>
      </c>
      <c r="I31" s="113">
        <v>202063.59787304778</v>
      </c>
      <c r="J31" s="113">
        <v>197622.14742422546</v>
      </c>
      <c r="K31" s="113">
        <v>192355.9460550726</v>
      </c>
      <c r="L31" s="113">
        <v>193739.1105039251</v>
      </c>
      <c r="M31" s="113">
        <v>193124.34146152914</v>
      </c>
      <c r="N31" s="113">
        <v>192049.59621688825</v>
      </c>
      <c r="O31" s="113">
        <v>194803.98306274382</v>
      </c>
      <c r="P31" s="113">
        <v>197386.3634429139</v>
      </c>
      <c r="Q31" s="113">
        <v>201703.64029636193</v>
      </c>
      <c r="R31" s="113">
        <v>199703.7360082517</v>
      </c>
      <c r="S31" s="113">
        <v>196582.80853687107</v>
      </c>
      <c r="T31" s="113">
        <v>189861.61293243387</v>
      </c>
      <c r="U31" s="113">
        <v>179067.79927396806</v>
      </c>
      <c r="V31" s="113">
        <v>179435.655523846</v>
      </c>
      <c r="W31" s="113">
        <v>179170.21518364828</v>
      </c>
      <c r="X31" s="113">
        <v>179446.46358876888</v>
      </c>
      <c r="Y31" s="113">
        <v>188146.7970487604</v>
      </c>
      <c r="Z31" s="113">
        <v>192923.46056285372</v>
      </c>
      <c r="AA31" s="113">
        <v>194251.3156894648</v>
      </c>
      <c r="AB31" s="113">
        <v>191761.4743180236</v>
      </c>
      <c r="AC31" s="113">
        <v>185777.94409173532</v>
      </c>
      <c r="AD31" s="113">
        <v>191477.76829712506</v>
      </c>
      <c r="AE31" s="113">
        <v>197025.59876950688</v>
      </c>
      <c r="AF31" s="113">
        <v>206437.58815448554</v>
      </c>
      <c r="AG31" s="113">
        <v>210769.31027565242</v>
      </c>
      <c r="AH31" s="113">
        <v>209988.25516701036</v>
      </c>
      <c r="AI31" s="113">
        <v>211550.1280776733</v>
      </c>
      <c r="AJ31" s="113">
        <v>214106.73437571977</v>
      </c>
      <c r="AK31" s="113">
        <v>210096.96849015498</v>
      </c>
      <c r="AL31" s="113">
        <v>214352.94182301022</v>
      </c>
      <c r="AM31" s="113">
        <v>214594.8507767271</v>
      </c>
      <c r="AN31" s="113">
        <v>230189.05464282204</v>
      </c>
      <c r="AO31" s="113">
        <v>251443.86543608957</v>
      </c>
      <c r="AP31" s="113">
        <v>262235.1193010558</v>
      </c>
      <c r="AQ31" s="113"/>
      <c r="AR31" s="108">
        <f t="shared" si="1"/>
        <v>-14789.67582</v>
      </c>
      <c r="AS31" s="109">
        <f t="shared" ref="AS31:AS34" si="5">AR31/B31</f>
        <v>-0.05338755261</v>
      </c>
    </row>
    <row r="32" ht="15.75" customHeight="1">
      <c r="A32" s="107" t="s">
        <v>13</v>
      </c>
      <c r="B32" s="105">
        <v>1317178.966849765</v>
      </c>
      <c r="C32" s="105">
        <v>1334752.5538428104</v>
      </c>
      <c r="D32" s="105">
        <v>1269120.2494319906</v>
      </c>
      <c r="E32" s="105">
        <v>1282808.3152713215</v>
      </c>
      <c r="F32" s="105">
        <v>1330046.097447452</v>
      </c>
      <c r="G32" s="105">
        <v>1340206.504368362</v>
      </c>
      <c r="H32" s="105">
        <v>1316796.3808972498</v>
      </c>
      <c r="I32" s="105">
        <v>1306288.810852018</v>
      </c>
      <c r="J32" s="105">
        <v>1233839.78651706</v>
      </c>
      <c r="K32" s="105">
        <v>1250568.4618620055</v>
      </c>
      <c r="L32" s="105">
        <v>1187699.0964233282</v>
      </c>
      <c r="M32" s="105">
        <v>1174858.4608271008</v>
      </c>
      <c r="N32" s="105">
        <v>1233387.793805428</v>
      </c>
      <c r="O32" s="105">
        <v>1123103.1984586208</v>
      </c>
      <c r="P32" s="105">
        <v>1129948.547490044</v>
      </c>
      <c r="Q32" s="105">
        <v>1089143.9016655067</v>
      </c>
      <c r="R32" s="105">
        <v>1035380.676420291</v>
      </c>
      <c r="S32" s="105">
        <v>1139996.0032661455</v>
      </c>
      <c r="T32" s="105">
        <v>1138864.9224755506</v>
      </c>
      <c r="U32" s="105">
        <v>1414346.6535866244</v>
      </c>
      <c r="V32" s="105">
        <v>1349633.5888936727</v>
      </c>
      <c r="W32" s="105">
        <v>1351486.712994928</v>
      </c>
      <c r="X32" s="105">
        <v>1354563.5813244428</v>
      </c>
      <c r="Y32" s="105">
        <v>1362324.8385466204</v>
      </c>
      <c r="Z32" s="105">
        <v>1402286.0694964752</v>
      </c>
      <c r="AA32" s="105">
        <v>1328884.1890726245</v>
      </c>
      <c r="AB32" s="105">
        <v>1294880.1481408004</v>
      </c>
      <c r="AC32" s="105">
        <v>1189601.8440560752</v>
      </c>
      <c r="AD32" s="105">
        <v>1021445.9385579773</v>
      </c>
      <c r="AE32" s="105">
        <v>978499.6582632927</v>
      </c>
      <c r="AF32" s="105">
        <v>865011.9963247518</v>
      </c>
      <c r="AG32" s="105">
        <v>863392.9938900588</v>
      </c>
      <c r="AH32" s="105">
        <v>863575.6440215792</v>
      </c>
      <c r="AI32" s="105">
        <v>938335.9643900747</v>
      </c>
      <c r="AJ32" s="105">
        <v>989297.2400843098</v>
      </c>
      <c r="AK32" s="105">
        <v>1155436.0537921994</v>
      </c>
      <c r="AL32" s="105">
        <v>1106865.0986903708</v>
      </c>
      <c r="AM32" s="107">
        <v>1243571.997367051</v>
      </c>
      <c r="AN32" s="107">
        <v>1259057.7823392225</v>
      </c>
      <c r="AO32" s="107">
        <v>1242532.4110038844</v>
      </c>
      <c r="AP32" s="107">
        <v>1223715.6734411672</v>
      </c>
      <c r="AQ32" s="26"/>
      <c r="AR32" s="108">
        <f t="shared" si="1"/>
        <v>-93463.29341</v>
      </c>
      <c r="AS32" s="109">
        <f t="shared" si="5"/>
        <v>-0.07095717117</v>
      </c>
    </row>
    <row r="33" ht="15.75" customHeight="1">
      <c r="A33" s="118" t="s">
        <v>91</v>
      </c>
      <c r="B33" s="113">
        <v>1298165.2800620694</v>
      </c>
      <c r="C33" s="113">
        <v>1313909.098764984</v>
      </c>
      <c r="D33" s="113">
        <v>1245548.8568361767</v>
      </c>
      <c r="E33" s="113">
        <v>1257601.7821293043</v>
      </c>
      <c r="F33" s="113">
        <v>1304114.862266506</v>
      </c>
      <c r="G33" s="113">
        <v>1313607.34119698</v>
      </c>
      <c r="H33" s="113">
        <v>1289766.7988276866</v>
      </c>
      <c r="I33" s="113">
        <v>1279167.123395956</v>
      </c>
      <c r="J33" s="113">
        <v>1207210.791357641</v>
      </c>
      <c r="K33" s="113">
        <v>1224177.0965795517</v>
      </c>
      <c r="L33" s="113">
        <v>1160907.2190017877</v>
      </c>
      <c r="M33" s="113">
        <v>1148460.2875399902</v>
      </c>
      <c r="N33" s="113">
        <v>1207035.6623142401</v>
      </c>
      <c r="O33" s="113">
        <v>1096773.8432995558</v>
      </c>
      <c r="P33" s="113">
        <v>1103485.4852772069</v>
      </c>
      <c r="Q33" s="113">
        <v>1061043.6660652494</v>
      </c>
      <c r="R33" s="113">
        <v>1004686.5161820991</v>
      </c>
      <c r="S33" s="113">
        <v>1108050.7876246278</v>
      </c>
      <c r="T33" s="113">
        <v>1105112.619799115</v>
      </c>
      <c r="U33" s="113">
        <v>1380064.170314449</v>
      </c>
      <c r="V33" s="113">
        <v>1315177.666721015</v>
      </c>
      <c r="W33" s="113">
        <v>1316539.2009645733</v>
      </c>
      <c r="X33" s="113">
        <v>1319249.4348495454</v>
      </c>
      <c r="Y33" s="113">
        <v>1325341.3143290535</v>
      </c>
      <c r="Z33" s="113">
        <v>1363134.8159562515</v>
      </c>
      <c r="AA33" s="113">
        <v>1287922.0611652504</v>
      </c>
      <c r="AB33" s="113">
        <v>1252956.0702559545</v>
      </c>
      <c r="AC33" s="113">
        <v>1147390.83754007</v>
      </c>
      <c r="AD33" s="113">
        <v>979102.1498301317</v>
      </c>
      <c r="AE33" s="113">
        <v>936345.1802006755</v>
      </c>
      <c r="AF33" s="113">
        <v>822526.5746727971</v>
      </c>
      <c r="AG33" s="113">
        <v>819605.6363830995</v>
      </c>
      <c r="AH33" s="113">
        <v>819108.2226288657</v>
      </c>
      <c r="AI33" s="113">
        <v>893202.5459867533</v>
      </c>
      <c r="AJ33" s="113">
        <v>943600.6076277473</v>
      </c>
      <c r="AK33" s="113">
        <v>1109445.6731283981</v>
      </c>
      <c r="AL33" s="113">
        <v>1060647.4418706798</v>
      </c>
      <c r="AM33" s="113">
        <v>1197319.4936036712</v>
      </c>
      <c r="AN33" s="113">
        <v>1211956.398943695</v>
      </c>
      <c r="AO33" s="113">
        <v>1195239.4133705336</v>
      </c>
      <c r="AP33" s="113">
        <v>1174171.412365983</v>
      </c>
      <c r="AQ33" s="113"/>
      <c r="AR33" s="108">
        <f t="shared" si="1"/>
        <v>-123993.8677</v>
      </c>
      <c r="AS33" s="109">
        <f t="shared" si="5"/>
        <v>-0.09551470032</v>
      </c>
    </row>
    <row r="34" ht="15.75" customHeight="1">
      <c r="A34" s="118" t="s">
        <v>92</v>
      </c>
      <c r="B34" s="113">
        <v>19013.686787695617</v>
      </c>
      <c r="C34" s="113">
        <v>20843.45507782651</v>
      </c>
      <c r="D34" s="113">
        <v>23571.392595813868</v>
      </c>
      <c r="E34" s="113">
        <v>25206.53314201713</v>
      </c>
      <c r="F34" s="113">
        <v>25931.235180945743</v>
      </c>
      <c r="G34" s="113">
        <v>26599.163171381944</v>
      </c>
      <c r="H34" s="113">
        <v>27029.582069563265</v>
      </c>
      <c r="I34" s="113">
        <v>27121.687456061954</v>
      </c>
      <c r="J34" s="113">
        <v>26628.995159418795</v>
      </c>
      <c r="K34" s="113">
        <v>26391.36528245391</v>
      </c>
      <c r="L34" s="113">
        <v>26791.877421540394</v>
      </c>
      <c r="M34" s="113">
        <v>26398.173287110745</v>
      </c>
      <c r="N34" s="113">
        <v>26352.131491187913</v>
      </c>
      <c r="O34" s="113">
        <v>26329.35515906509</v>
      </c>
      <c r="P34" s="113">
        <v>26463.062212837114</v>
      </c>
      <c r="Q34" s="113">
        <v>28100.23560025737</v>
      </c>
      <c r="R34" s="113">
        <v>30694.160238191875</v>
      </c>
      <c r="S34" s="113">
        <v>31945.215641517705</v>
      </c>
      <c r="T34" s="113">
        <v>33752.30267643565</v>
      </c>
      <c r="U34" s="113">
        <v>34282.4832721756</v>
      </c>
      <c r="V34" s="113">
        <v>34455.92217265773</v>
      </c>
      <c r="W34" s="113">
        <v>34947.512030354585</v>
      </c>
      <c r="X34" s="113">
        <v>35314.14647489731</v>
      </c>
      <c r="Y34" s="113">
        <v>36983.52421756692</v>
      </c>
      <c r="Z34" s="113">
        <v>39151.25354022369</v>
      </c>
      <c r="AA34" s="113">
        <v>40962.12790737411</v>
      </c>
      <c r="AB34" s="113">
        <v>41924.077884845945</v>
      </c>
      <c r="AC34" s="113">
        <v>42211.00651600514</v>
      </c>
      <c r="AD34" s="113">
        <v>42343.788727845655</v>
      </c>
      <c r="AE34" s="113">
        <v>42154.47806261719</v>
      </c>
      <c r="AF34" s="113">
        <v>42485.421651954624</v>
      </c>
      <c r="AG34" s="113">
        <v>43787.35750695939</v>
      </c>
      <c r="AH34" s="113">
        <v>44467.42139271343</v>
      </c>
      <c r="AI34" s="113">
        <v>45133.41840332144</v>
      </c>
      <c r="AJ34" s="113">
        <v>45696.63245656242</v>
      </c>
      <c r="AK34" s="113">
        <v>45990.3806638013</v>
      </c>
      <c r="AL34" s="113">
        <v>46217.65681969091</v>
      </c>
      <c r="AM34" s="113">
        <v>46252.50376337985</v>
      </c>
      <c r="AN34" s="113">
        <v>47101.38339552742</v>
      </c>
      <c r="AO34" s="113">
        <v>47292.99763335079</v>
      </c>
      <c r="AP34" s="113">
        <v>49544.261075184215</v>
      </c>
      <c r="AQ34" s="113"/>
      <c r="AR34" s="108">
        <f t="shared" si="1"/>
        <v>30530.57429</v>
      </c>
      <c r="AS34" s="109">
        <f t="shared" si="5"/>
        <v>1.605715642</v>
      </c>
    </row>
    <row r="35" ht="15.75" customHeight="1">
      <c r="A35" s="105" t="s">
        <v>93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26"/>
      <c r="AR35" s="108">
        <f t="shared" si="1"/>
        <v>0</v>
      </c>
      <c r="AS35" s="109" t="s">
        <v>88</v>
      </c>
    </row>
    <row r="36" ht="15.75" customHeight="1">
      <c r="A36" s="119" t="s">
        <v>94</v>
      </c>
      <c r="B36" s="120">
        <f t="shared" ref="B36:AP36" si="6">SUM(B5,B12,B20,B25,B32,B35)</f>
        <v>133523730.7</v>
      </c>
      <c r="C36" s="120">
        <f t="shared" si="6"/>
        <v>133523730.7</v>
      </c>
      <c r="D36" s="120">
        <f t="shared" si="6"/>
        <v>133523730.7</v>
      </c>
      <c r="E36" s="120">
        <f t="shared" si="6"/>
        <v>133523730.7</v>
      </c>
      <c r="F36" s="120">
        <f t="shared" si="6"/>
        <v>133523730.7</v>
      </c>
      <c r="G36" s="120">
        <f t="shared" si="6"/>
        <v>133523730.7</v>
      </c>
      <c r="H36" s="120">
        <f t="shared" si="6"/>
        <v>133523730.7</v>
      </c>
      <c r="I36" s="120">
        <f t="shared" si="6"/>
        <v>133523730.7</v>
      </c>
      <c r="J36" s="120">
        <f t="shared" si="6"/>
        <v>133523730.7</v>
      </c>
      <c r="K36" s="120">
        <f t="shared" si="6"/>
        <v>133523730.7</v>
      </c>
      <c r="L36" s="120">
        <f t="shared" si="6"/>
        <v>133523730.7</v>
      </c>
      <c r="M36" s="120">
        <f t="shared" si="6"/>
        <v>133523730.7</v>
      </c>
      <c r="N36" s="120">
        <f t="shared" si="6"/>
        <v>133523730.7</v>
      </c>
      <c r="O36" s="120">
        <f t="shared" si="6"/>
        <v>133523730.7</v>
      </c>
      <c r="P36" s="120">
        <f t="shared" si="6"/>
        <v>133523730.7</v>
      </c>
      <c r="Q36" s="120">
        <f t="shared" si="6"/>
        <v>133523730.7</v>
      </c>
      <c r="R36" s="120">
        <f t="shared" si="6"/>
        <v>133523730.7</v>
      </c>
      <c r="S36" s="120">
        <f t="shared" si="6"/>
        <v>133523730.7</v>
      </c>
      <c r="T36" s="120">
        <f t="shared" si="6"/>
        <v>133523730.7</v>
      </c>
      <c r="U36" s="120">
        <f t="shared" si="6"/>
        <v>133523730.7</v>
      </c>
      <c r="V36" s="120">
        <f t="shared" si="6"/>
        <v>133523730.7</v>
      </c>
      <c r="W36" s="120">
        <f t="shared" si="6"/>
        <v>133523730.7</v>
      </c>
      <c r="X36" s="120">
        <f t="shared" si="6"/>
        <v>133523730.7</v>
      </c>
      <c r="Y36" s="120">
        <f t="shared" si="6"/>
        <v>133523730.7</v>
      </c>
      <c r="Z36" s="120">
        <f t="shared" si="6"/>
        <v>133523730.7</v>
      </c>
      <c r="AA36" s="120">
        <f t="shared" si="6"/>
        <v>133523730.7</v>
      </c>
      <c r="AB36" s="120">
        <f t="shared" si="6"/>
        <v>133523730.7</v>
      </c>
      <c r="AC36" s="120">
        <f t="shared" si="6"/>
        <v>133523730.7</v>
      </c>
      <c r="AD36" s="120">
        <f t="shared" si="6"/>
        <v>133523730.7</v>
      </c>
      <c r="AE36" s="120">
        <f t="shared" si="6"/>
        <v>133523730.7</v>
      </c>
      <c r="AF36" s="120">
        <f t="shared" si="6"/>
        <v>133523730.7</v>
      </c>
      <c r="AG36" s="120">
        <f t="shared" si="6"/>
        <v>133523730.7</v>
      </c>
      <c r="AH36" s="120">
        <f t="shared" si="6"/>
        <v>133523730.7</v>
      </c>
      <c r="AI36" s="120">
        <f t="shared" si="6"/>
        <v>133523730.7</v>
      </c>
      <c r="AJ36" s="120">
        <f t="shared" si="6"/>
        <v>133523730.7</v>
      </c>
      <c r="AK36" s="120">
        <f t="shared" si="6"/>
        <v>133523730.7</v>
      </c>
      <c r="AL36" s="120">
        <f t="shared" si="6"/>
        <v>133523730.7</v>
      </c>
      <c r="AM36" s="120">
        <f t="shared" si="6"/>
        <v>133523730.7</v>
      </c>
      <c r="AN36" s="120">
        <f t="shared" si="6"/>
        <v>133523730.7</v>
      </c>
      <c r="AO36" s="120">
        <f t="shared" si="6"/>
        <v>133523730.7</v>
      </c>
      <c r="AP36" s="120">
        <f t="shared" si="6"/>
        <v>133523730.7</v>
      </c>
      <c r="AR36" s="108">
        <f t="shared" si="1"/>
        <v>0.000004902482033</v>
      </c>
      <c r="AS36" s="109">
        <f>AR36/B36</f>
        <v>0</v>
      </c>
    </row>
    <row r="37" ht="15.75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ht="15.75" customHeight="1">
      <c r="B38" s="121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R38" s="10"/>
    </row>
    <row r="39" ht="15.75" customHeight="1">
      <c r="B39" s="123"/>
      <c r="C39" s="122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</row>
    <row r="40" ht="15.75" customHeight="1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R40" s="10"/>
    </row>
    <row r="41" ht="15.75" customHeight="1">
      <c r="B41" s="97">
        <v>1985.0</v>
      </c>
      <c r="C41" s="97">
        <v>1986.0</v>
      </c>
      <c r="D41" s="97">
        <v>1987.0</v>
      </c>
      <c r="E41" s="97">
        <v>1988.0</v>
      </c>
      <c r="F41" s="97">
        <v>1989.0</v>
      </c>
      <c r="G41" s="97">
        <v>1990.0</v>
      </c>
      <c r="H41" s="97">
        <v>1991.0</v>
      </c>
      <c r="I41" s="97">
        <v>1992.0</v>
      </c>
      <c r="J41" s="97">
        <v>1993.0</v>
      </c>
      <c r="K41" s="97">
        <v>1994.0</v>
      </c>
      <c r="L41" s="97">
        <v>1995.0</v>
      </c>
      <c r="M41" s="97">
        <v>1996.0</v>
      </c>
      <c r="N41" s="97">
        <v>1997.0</v>
      </c>
      <c r="O41" s="97">
        <v>1998.0</v>
      </c>
      <c r="P41" s="97">
        <v>1999.0</v>
      </c>
      <c r="Q41" s="97">
        <v>2000.0</v>
      </c>
      <c r="R41" s="97">
        <v>2001.0</v>
      </c>
      <c r="S41" s="97">
        <v>2002.0</v>
      </c>
      <c r="T41" s="97">
        <v>2003.0</v>
      </c>
      <c r="U41" s="97">
        <v>2004.0</v>
      </c>
      <c r="V41" s="97">
        <v>2005.0</v>
      </c>
      <c r="W41" s="97">
        <v>2006.0</v>
      </c>
      <c r="X41" s="97">
        <v>2007.0</v>
      </c>
      <c r="Y41" s="97">
        <v>2008.0</v>
      </c>
      <c r="Z41" s="97">
        <v>2009.0</v>
      </c>
      <c r="AA41" s="97">
        <v>2010.0</v>
      </c>
      <c r="AB41" s="97">
        <v>2011.0</v>
      </c>
      <c r="AC41" s="97">
        <v>2012.0</v>
      </c>
      <c r="AD41" s="97">
        <v>2013.0</v>
      </c>
      <c r="AE41" s="97">
        <v>2014.0</v>
      </c>
      <c r="AF41" s="97">
        <v>2015.0</v>
      </c>
      <c r="AG41" s="97">
        <v>2016.0</v>
      </c>
      <c r="AH41" s="97">
        <v>2017.0</v>
      </c>
      <c r="AI41" s="97">
        <v>2018.0</v>
      </c>
      <c r="AJ41" s="97">
        <v>2019.0</v>
      </c>
      <c r="AK41" s="97">
        <v>2020.0</v>
      </c>
      <c r="AL41" s="97">
        <v>2021.0</v>
      </c>
      <c r="AM41" s="97">
        <v>2022.0</v>
      </c>
      <c r="AN41" s="97">
        <v>2023.0</v>
      </c>
      <c r="AO41" s="97">
        <v>2024.0</v>
      </c>
      <c r="AP41" s="97">
        <v>2025.0</v>
      </c>
    </row>
    <row r="42" ht="15.75" customHeight="1">
      <c r="A42" s="6" t="s">
        <v>103</v>
      </c>
      <c r="B42" s="10">
        <f t="shared" ref="B42:AP42" si="7">B5</f>
        <v>98309624.65</v>
      </c>
      <c r="C42" s="10">
        <f t="shared" si="7"/>
        <v>98291199.7</v>
      </c>
      <c r="D42" s="10">
        <f t="shared" si="7"/>
        <v>98032824.13</v>
      </c>
      <c r="E42" s="10">
        <f t="shared" si="7"/>
        <v>97416333.99</v>
      </c>
      <c r="F42" s="10">
        <f t="shared" si="7"/>
        <v>96734296.09</v>
      </c>
      <c r="G42" s="10">
        <f t="shared" si="7"/>
        <v>96020755.54</v>
      </c>
      <c r="H42" s="10">
        <f t="shared" si="7"/>
        <v>95386641.4</v>
      </c>
      <c r="I42" s="10">
        <f t="shared" si="7"/>
        <v>94775388.91</v>
      </c>
      <c r="J42" s="10">
        <f t="shared" si="7"/>
        <v>94176452.58</v>
      </c>
      <c r="K42" s="10">
        <f t="shared" si="7"/>
        <v>93586836.75</v>
      </c>
      <c r="L42" s="10">
        <f t="shared" si="7"/>
        <v>93188213.72</v>
      </c>
      <c r="M42" s="10">
        <f t="shared" si="7"/>
        <v>92870249.95</v>
      </c>
      <c r="N42" s="10">
        <f t="shared" si="7"/>
        <v>92619749.52</v>
      </c>
      <c r="O42" s="10">
        <f t="shared" si="7"/>
        <v>92161767.93</v>
      </c>
      <c r="P42" s="10">
        <f t="shared" si="7"/>
        <v>92001898.77</v>
      </c>
      <c r="Q42" s="10">
        <f t="shared" si="7"/>
        <v>91754490.66</v>
      </c>
      <c r="R42" s="10">
        <f t="shared" si="7"/>
        <v>91338510.78</v>
      </c>
      <c r="S42" s="10">
        <f t="shared" si="7"/>
        <v>91044876.9</v>
      </c>
      <c r="T42" s="10">
        <f t="shared" si="7"/>
        <v>90724063.43</v>
      </c>
      <c r="U42" s="10">
        <f t="shared" si="7"/>
        <v>90174918.01</v>
      </c>
      <c r="V42" s="10">
        <f t="shared" si="7"/>
        <v>89931810.11</v>
      </c>
      <c r="W42" s="10">
        <f t="shared" si="7"/>
        <v>89700974.22</v>
      </c>
      <c r="X42" s="10">
        <f t="shared" si="7"/>
        <v>89512618.19</v>
      </c>
      <c r="Y42" s="10">
        <f t="shared" si="7"/>
        <v>89170785.59</v>
      </c>
      <c r="Z42" s="10">
        <f t="shared" si="7"/>
        <v>88880818.6</v>
      </c>
      <c r="AA42" s="10">
        <f t="shared" si="7"/>
        <v>88574690.47</v>
      </c>
      <c r="AB42" s="10">
        <f t="shared" si="7"/>
        <v>88242770.99</v>
      </c>
      <c r="AC42" s="10">
        <f t="shared" si="7"/>
        <v>87579181.43</v>
      </c>
      <c r="AD42" s="10">
        <f t="shared" si="7"/>
        <v>87037728.39</v>
      </c>
      <c r="AE42" s="10">
        <f t="shared" si="7"/>
        <v>86723072.32</v>
      </c>
      <c r="AF42" s="10">
        <f t="shared" si="7"/>
        <v>86377798.32</v>
      </c>
      <c r="AG42" s="10">
        <f t="shared" si="7"/>
        <v>86170356.91</v>
      </c>
      <c r="AH42" s="10">
        <f t="shared" si="7"/>
        <v>86037049.89</v>
      </c>
      <c r="AI42" s="10">
        <f t="shared" si="7"/>
        <v>85871177.21</v>
      </c>
      <c r="AJ42" s="10">
        <f t="shared" si="7"/>
        <v>85535125.15</v>
      </c>
      <c r="AK42" s="10">
        <f t="shared" si="7"/>
        <v>85048170.28</v>
      </c>
      <c r="AL42" s="10">
        <f t="shared" si="7"/>
        <v>84443160.95</v>
      </c>
      <c r="AM42" s="10">
        <f t="shared" si="7"/>
        <v>83441658.1</v>
      </c>
      <c r="AN42" s="10">
        <f t="shared" si="7"/>
        <v>82283793.88</v>
      </c>
      <c r="AO42" s="10">
        <f t="shared" si="7"/>
        <v>81484405.79</v>
      </c>
      <c r="AP42" s="10">
        <f t="shared" si="7"/>
        <v>80271727.89</v>
      </c>
    </row>
    <row r="43" ht="15.75" customHeight="1">
      <c r="A43" s="10" t="s">
        <v>104</v>
      </c>
      <c r="B43" s="10">
        <f t="shared" ref="B43:AP43" si="8">B12</f>
        <v>3683428.446</v>
      </c>
      <c r="C43" s="10">
        <f t="shared" si="8"/>
        <v>3480589.76</v>
      </c>
      <c r="D43" s="10">
        <f t="shared" si="8"/>
        <v>3351823.421</v>
      </c>
      <c r="E43" s="10">
        <f t="shared" si="8"/>
        <v>3319509.266</v>
      </c>
      <c r="F43" s="10">
        <f t="shared" si="8"/>
        <v>3275544.565</v>
      </c>
      <c r="G43" s="10">
        <f t="shared" si="8"/>
        <v>3246836.627</v>
      </c>
      <c r="H43" s="10">
        <f t="shared" si="8"/>
        <v>3212550.159</v>
      </c>
      <c r="I43" s="10">
        <f t="shared" si="8"/>
        <v>3173637.411</v>
      </c>
      <c r="J43" s="10">
        <f t="shared" si="8"/>
        <v>3150495.314</v>
      </c>
      <c r="K43" s="10">
        <f t="shared" si="8"/>
        <v>3122295.558</v>
      </c>
      <c r="L43" s="10">
        <f t="shared" si="8"/>
        <v>3094876.323</v>
      </c>
      <c r="M43" s="10">
        <f t="shared" si="8"/>
        <v>3061857.415</v>
      </c>
      <c r="N43" s="10">
        <f t="shared" si="8"/>
        <v>3057675.123</v>
      </c>
      <c r="O43" s="10">
        <f t="shared" si="8"/>
        <v>3073749.067</v>
      </c>
      <c r="P43" s="10">
        <f t="shared" si="8"/>
        <v>3091628.039</v>
      </c>
      <c r="Q43" s="10">
        <f t="shared" si="8"/>
        <v>3137753.724</v>
      </c>
      <c r="R43" s="10">
        <f t="shared" si="8"/>
        <v>3166692.42</v>
      </c>
      <c r="S43" s="10">
        <f t="shared" si="8"/>
        <v>3173982.65</v>
      </c>
      <c r="T43" s="10">
        <f t="shared" si="8"/>
        <v>3163314.429</v>
      </c>
      <c r="U43" s="10">
        <f t="shared" si="8"/>
        <v>3163613.182</v>
      </c>
      <c r="V43" s="10">
        <f t="shared" si="8"/>
        <v>3151883.264</v>
      </c>
      <c r="W43" s="10">
        <f t="shared" si="8"/>
        <v>3154623.752</v>
      </c>
      <c r="X43" s="10">
        <f t="shared" si="8"/>
        <v>3138766.426</v>
      </c>
      <c r="Y43" s="10">
        <f t="shared" si="8"/>
        <v>3112753.815</v>
      </c>
      <c r="Z43" s="10">
        <f t="shared" si="8"/>
        <v>3090631.339</v>
      </c>
      <c r="AA43" s="10">
        <f t="shared" si="8"/>
        <v>3060674.392</v>
      </c>
      <c r="AB43" s="10">
        <f t="shared" si="8"/>
        <v>3031314.58</v>
      </c>
      <c r="AC43" s="10">
        <f t="shared" si="8"/>
        <v>3016393.361</v>
      </c>
      <c r="AD43" s="10">
        <f t="shared" si="8"/>
        <v>3012034.163</v>
      </c>
      <c r="AE43" s="10">
        <f t="shared" si="8"/>
        <v>2999508.568</v>
      </c>
      <c r="AF43" s="10">
        <f t="shared" si="8"/>
        <v>2995863.875</v>
      </c>
      <c r="AG43" s="10">
        <f t="shared" si="8"/>
        <v>3009896.522</v>
      </c>
      <c r="AH43" s="10">
        <f t="shared" si="8"/>
        <v>3016382.932</v>
      </c>
      <c r="AI43" s="10">
        <f t="shared" si="8"/>
        <v>3028158.481</v>
      </c>
      <c r="AJ43" s="10">
        <f t="shared" si="8"/>
        <v>3043189.315</v>
      </c>
      <c r="AK43" s="10">
        <f t="shared" si="8"/>
        <v>3045706.165</v>
      </c>
      <c r="AL43" s="10">
        <f t="shared" si="8"/>
        <v>2999994.507</v>
      </c>
      <c r="AM43" s="10">
        <f t="shared" si="8"/>
        <v>2960477.221</v>
      </c>
      <c r="AN43" s="10">
        <f t="shared" si="8"/>
        <v>2904823.883</v>
      </c>
      <c r="AO43" s="10">
        <f t="shared" si="8"/>
        <v>2878481.871</v>
      </c>
      <c r="AP43" s="10">
        <f t="shared" si="8"/>
        <v>2888146.737</v>
      </c>
    </row>
    <row r="44" ht="15.75" customHeight="1">
      <c r="A44" s="10" t="s">
        <v>105</v>
      </c>
      <c r="B44" s="10">
        <f t="shared" ref="B44:AP44" si="9">B20</f>
        <v>29544951.19</v>
      </c>
      <c r="C44" s="10">
        <f t="shared" si="9"/>
        <v>29783660.77</v>
      </c>
      <c r="D44" s="10">
        <f t="shared" si="9"/>
        <v>30244721.53</v>
      </c>
      <c r="E44" s="10">
        <f t="shared" si="9"/>
        <v>30871195.72</v>
      </c>
      <c r="F44" s="10">
        <f t="shared" si="9"/>
        <v>31537967.73</v>
      </c>
      <c r="G44" s="10">
        <f t="shared" si="9"/>
        <v>32256299.39</v>
      </c>
      <c r="H44" s="10">
        <f t="shared" si="9"/>
        <v>32935135.52</v>
      </c>
      <c r="I44" s="10">
        <f t="shared" si="9"/>
        <v>33581943.65</v>
      </c>
      <c r="J44" s="10">
        <f t="shared" si="9"/>
        <v>34268895.3</v>
      </c>
      <c r="K44" s="10">
        <f t="shared" si="9"/>
        <v>34862412.84</v>
      </c>
      <c r="L44" s="10">
        <f t="shared" si="9"/>
        <v>35330606.67</v>
      </c>
      <c r="M44" s="10">
        <f t="shared" si="9"/>
        <v>35680207.23</v>
      </c>
      <c r="N44" s="10">
        <f t="shared" si="9"/>
        <v>35869531.84</v>
      </c>
      <c r="O44" s="10">
        <f t="shared" si="9"/>
        <v>36406448.03</v>
      </c>
      <c r="P44" s="10">
        <f t="shared" si="9"/>
        <v>36526990.04</v>
      </c>
      <c r="Q44" s="10">
        <f t="shared" si="9"/>
        <v>36755214.45</v>
      </c>
      <c r="R44" s="10">
        <f t="shared" si="9"/>
        <v>37189999.65</v>
      </c>
      <c r="S44" s="10">
        <f t="shared" si="9"/>
        <v>37364886.61</v>
      </c>
      <c r="T44" s="10">
        <f t="shared" si="9"/>
        <v>37697754.12</v>
      </c>
      <c r="U44" s="10">
        <f t="shared" si="9"/>
        <v>37977415.95</v>
      </c>
      <c r="V44" s="10">
        <f t="shared" si="9"/>
        <v>38292333.24</v>
      </c>
      <c r="W44" s="10">
        <f t="shared" si="9"/>
        <v>38511024.3</v>
      </c>
      <c r="X44" s="10">
        <f t="shared" si="9"/>
        <v>38707394.89</v>
      </c>
      <c r="Y44" s="10">
        <f t="shared" si="9"/>
        <v>39056038.71</v>
      </c>
      <c r="Z44" s="10">
        <f t="shared" si="9"/>
        <v>39313384.06</v>
      </c>
      <c r="AA44" s="10">
        <f t="shared" si="9"/>
        <v>39707074.1</v>
      </c>
      <c r="AB44" s="10">
        <f t="shared" si="9"/>
        <v>40085860.16</v>
      </c>
      <c r="AC44" s="10">
        <f t="shared" si="9"/>
        <v>40853906.62</v>
      </c>
      <c r="AD44" s="10">
        <f t="shared" si="9"/>
        <v>41542216.07</v>
      </c>
      <c r="AE44" s="10">
        <f t="shared" si="9"/>
        <v>41891020.82</v>
      </c>
      <c r="AF44" s="10">
        <f t="shared" si="9"/>
        <v>42334575.53</v>
      </c>
      <c r="AG44" s="10">
        <f t="shared" si="9"/>
        <v>42507612.52</v>
      </c>
      <c r="AH44" s="10">
        <f t="shared" si="9"/>
        <v>42625110.71</v>
      </c>
      <c r="AI44" s="10">
        <f t="shared" si="9"/>
        <v>42690380.5</v>
      </c>
      <c r="AJ44" s="10">
        <f t="shared" si="9"/>
        <v>42948130.87</v>
      </c>
      <c r="AK44" s="10">
        <f t="shared" si="9"/>
        <v>43261393.22</v>
      </c>
      <c r="AL44" s="10">
        <f t="shared" si="9"/>
        <v>43947650.08</v>
      </c>
      <c r="AM44" s="10">
        <f t="shared" si="9"/>
        <v>44838207.08</v>
      </c>
      <c r="AN44" s="10">
        <f t="shared" si="9"/>
        <v>46003465.85</v>
      </c>
      <c r="AO44" s="10">
        <f t="shared" si="9"/>
        <v>46797843.58</v>
      </c>
      <c r="AP44" s="10">
        <f t="shared" si="9"/>
        <v>47985958.72</v>
      </c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ht="15.75" customHeight="1">
      <c r="A46" s="124" t="s">
        <v>106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ht="15.75" customHeight="1">
      <c r="A47" s="125" t="s">
        <v>24</v>
      </c>
      <c r="B47" s="126">
        <f t="shared" ref="B47:AP47" si="10">B42/1000000</f>
        <v>98.30962465</v>
      </c>
      <c r="C47" s="126">
        <f t="shared" si="10"/>
        <v>98.2911997</v>
      </c>
      <c r="D47" s="126">
        <f t="shared" si="10"/>
        <v>98.03282413</v>
      </c>
      <c r="E47" s="126">
        <f t="shared" si="10"/>
        <v>97.41633399</v>
      </c>
      <c r="F47" s="126">
        <f t="shared" si="10"/>
        <v>96.73429609</v>
      </c>
      <c r="G47" s="126">
        <f t="shared" si="10"/>
        <v>96.02075554</v>
      </c>
      <c r="H47" s="126">
        <f t="shared" si="10"/>
        <v>95.3866414</v>
      </c>
      <c r="I47" s="126">
        <f t="shared" si="10"/>
        <v>94.77538891</v>
      </c>
      <c r="J47" s="126">
        <f t="shared" si="10"/>
        <v>94.17645258</v>
      </c>
      <c r="K47" s="126">
        <f t="shared" si="10"/>
        <v>93.58683675</v>
      </c>
      <c r="L47" s="126">
        <f t="shared" si="10"/>
        <v>93.18821372</v>
      </c>
      <c r="M47" s="126">
        <f t="shared" si="10"/>
        <v>92.87024995</v>
      </c>
      <c r="N47" s="126">
        <f t="shared" si="10"/>
        <v>92.61974952</v>
      </c>
      <c r="O47" s="126">
        <f t="shared" si="10"/>
        <v>92.16176793</v>
      </c>
      <c r="P47" s="126">
        <f t="shared" si="10"/>
        <v>92.00189877</v>
      </c>
      <c r="Q47" s="126">
        <f t="shared" si="10"/>
        <v>91.75449066</v>
      </c>
      <c r="R47" s="126">
        <f t="shared" si="10"/>
        <v>91.33851078</v>
      </c>
      <c r="S47" s="126">
        <f t="shared" si="10"/>
        <v>91.0448769</v>
      </c>
      <c r="T47" s="126">
        <f t="shared" si="10"/>
        <v>90.72406343</v>
      </c>
      <c r="U47" s="126">
        <f t="shared" si="10"/>
        <v>90.17491801</v>
      </c>
      <c r="V47" s="126">
        <f t="shared" si="10"/>
        <v>89.93181011</v>
      </c>
      <c r="W47" s="126">
        <f t="shared" si="10"/>
        <v>89.70097422</v>
      </c>
      <c r="X47" s="126">
        <f t="shared" si="10"/>
        <v>89.51261819</v>
      </c>
      <c r="Y47" s="126">
        <f t="shared" si="10"/>
        <v>89.17078559</v>
      </c>
      <c r="Z47" s="126">
        <f t="shared" si="10"/>
        <v>88.8808186</v>
      </c>
      <c r="AA47" s="126">
        <f t="shared" si="10"/>
        <v>88.57469047</v>
      </c>
      <c r="AB47" s="126">
        <f t="shared" si="10"/>
        <v>88.24277099</v>
      </c>
      <c r="AC47" s="126">
        <f t="shared" si="10"/>
        <v>87.57918143</v>
      </c>
      <c r="AD47" s="126">
        <f t="shared" si="10"/>
        <v>87.03772839</v>
      </c>
      <c r="AE47" s="126">
        <f t="shared" si="10"/>
        <v>86.72307232</v>
      </c>
      <c r="AF47" s="126">
        <f t="shared" si="10"/>
        <v>86.37779832</v>
      </c>
      <c r="AG47" s="126">
        <f t="shared" si="10"/>
        <v>86.17035691</v>
      </c>
      <c r="AH47" s="126">
        <f t="shared" si="10"/>
        <v>86.03704989</v>
      </c>
      <c r="AI47" s="126">
        <f t="shared" si="10"/>
        <v>85.87117721</v>
      </c>
      <c r="AJ47" s="126">
        <f t="shared" si="10"/>
        <v>85.53512515</v>
      </c>
      <c r="AK47" s="126">
        <f t="shared" si="10"/>
        <v>85.04817028</v>
      </c>
      <c r="AL47" s="126">
        <f t="shared" si="10"/>
        <v>84.44316095</v>
      </c>
      <c r="AM47" s="126">
        <f t="shared" si="10"/>
        <v>83.4416581</v>
      </c>
      <c r="AN47" s="126">
        <f t="shared" si="10"/>
        <v>82.28379388</v>
      </c>
      <c r="AO47" s="126">
        <f t="shared" si="10"/>
        <v>81.48440579</v>
      </c>
      <c r="AP47" s="126">
        <f t="shared" si="10"/>
        <v>80.27172789</v>
      </c>
      <c r="AQ47" s="127"/>
      <c r="AR47" s="128"/>
      <c r="AS47" s="127"/>
      <c r="AT47" s="127"/>
    </row>
    <row r="48" ht="15.75" customHeight="1">
      <c r="A48" s="125" t="s">
        <v>62</v>
      </c>
      <c r="B48" s="126">
        <f t="shared" ref="B48:AP48" si="11">B43/1000000</f>
        <v>3.683428446</v>
      </c>
      <c r="C48" s="126">
        <f t="shared" si="11"/>
        <v>3.48058976</v>
      </c>
      <c r="D48" s="126">
        <f t="shared" si="11"/>
        <v>3.351823421</v>
      </c>
      <c r="E48" s="126">
        <f t="shared" si="11"/>
        <v>3.319509266</v>
      </c>
      <c r="F48" s="126">
        <f t="shared" si="11"/>
        <v>3.275544565</v>
      </c>
      <c r="G48" s="126">
        <f t="shared" si="11"/>
        <v>3.246836627</v>
      </c>
      <c r="H48" s="126">
        <f t="shared" si="11"/>
        <v>3.212550159</v>
      </c>
      <c r="I48" s="126">
        <f t="shared" si="11"/>
        <v>3.173637411</v>
      </c>
      <c r="J48" s="126">
        <f t="shared" si="11"/>
        <v>3.150495314</v>
      </c>
      <c r="K48" s="126">
        <f t="shared" si="11"/>
        <v>3.122295558</v>
      </c>
      <c r="L48" s="126">
        <f t="shared" si="11"/>
        <v>3.094876323</v>
      </c>
      <c r="M48" s="126">
        <f t="shared" si="11"/>
        <v>3.061857415</v>
      </c>
      <c r="N48" s="126">
        <f t="shared" si="11"/>
        <v>3.057675123</v>
      </c>
      <c r="O48" s="126">
        <f t="shared" si="11"/>
        <v>3.073749067</v>
      </c>
      <c r="P48" s="126">
        <f t="shared" si="11"/>
        <v>3.091628039</v>
      </c>
      <c r="Q48" s="126">
        <f t="shared" si="11"/>
        <v>3.137753724</v>
      </c>
      <c r="R48" s="126">
        <f t="shared" si="11"/>
        <v>3.16669242</v>
      </c>
      <c r="S48" s="126">
        <f t="shared" si="11"/>
        <v>3.17398265</v>
      </c>
      <c r="T48" s="126">
        <f t="shared" si="11"/>
        <v>3.163314429</v>
      </c>
      <c r="U48" s="126">
        <f t="shared" si="11"/>
        <v>3.163613182</v>
      </c>
      <c r="V48" s="126">
        <f t="shared" si="11"/>
        <v>3.151883264</v>
      </c>
      <c r="W48" s="126">
        <f t="shared" si="11"/>
        <v>3.154623752</v>
      </c>
      <c r="X48" s="126">
        <f t="shared" si="11"/>
        <v>3.138766426</v>
      </c>
      <c r="Y48" s="126">
        <f t="shared" si="11"/>
        <v>3.112753815</v>
      </c>
      <c r="Z48" s="126">
        <f t="shared" si="11"/>
        <v>3.090631339</v>
      </c>
      <c r="AA48" s="126">
        <f t="shared" si="11"/>
        <v>3.060674392</v>
      </c>
      <c r="AB48" s="126">
        <f t="shared" si="11"/>
        <v>3.03131458</v>
      </c>
      <c r="AC48" s="126">
        <f t="shared" si="11"/>
        <v>3.016393361</v>
      </c>
      <c r="AD48" s="126">
        <f t="shared" si="11"/>
        <v>3.012034163</v>
      </c>
      <c r="AE48" s="126">
        <f t="shared" si="11"/>
        <v>2.999508568</v>
      </c>
      <c r="AF48" s="126">
        <f t="shared" si="11"/>
        <v>2.995863875</v>
      </c>
      <c r="AG48" s="126">
        <f t="shared" si="11"/>
        <v>3.009896522</v>
      </c>
      <c r="AH48" s="126">
        <f t="shared" si="11"/>
        <v>3.016382932</v>
      </c>
      <c r="AI48" s="126">
        <f t="shared" si="11"/>
        <v>3.028158481</v>
      </c>
      <c r="AJ48" s="126">
        <f t="shared" si="11"/>
        <v>3.043189315</v>
      </c>
      <c r="AK48" s="126">
        <f t="shared" si="11"/>
        <v>3.045706165</v>
      </c>
      <c r="AL48" s="126">
        <f t="shared" si="11"/>
        <v>2.999994507</v>
      </c>
      <c r="AM48" s="126">
        <f t="shared" si="11"/>
        <v>2.960477221</v>
      </c>
      <c r="AN48" s="126">
        <f t="shared" si="11"/>
        <v>2.904823883</v>
      </c>
      <c r="AO48" s="126">
        <f t="shared" si="11"/>
        <v>2.878481871</v>
      </c>
      <c r="AP48" s="126">
        <f t="shared" si="11"/>
        <v>2.888146737</v>
      </c>
      <c r="AQ48" s="127"/>
      <c r="AR48" s="127"/>
      <c r="AS48" s="127"/>
      <c r="AT48" s="127"/>
    </row>
    <row r="49" ht="15.75" customHeight="1">
      <c r="A49" s="125" t="s">
        <v>73</v>
      </c>
      <c r="B49" s="126">
        <f t="shared" ref="B49:AP49" si="12">B44/1000000</f>
        <v>29.54495119</v>
      </c>
      <c r="C49" s="126">
        <f t="shared" si="12"/>
        <v>29.78366077</v>
      </c>
      <c r="D49" s="126">
        <f t="shared" si="12"/>
        <v>30.24472153</v>
      </c>
      <c r="E49" s="126">
        <f t="shared" si="12"/>
        <v>30.87119572</v>
      </c>
      <c r="F49" s="126">
        <f t="shared" si="12"/>
        <v>31.53796773</v>
      </c>
      <c r="G49" s="126">
        <f t="shared" si="12"/>
        <v>32.25629939</v>
      </c>
      <c r="H49" s="126">
        <f t="shared" si="12"/>
        <v>32.93513552</v>
      </c>
      <c r="I49" s="126">
        <f t="shared" si="12"/>
        <v>33.58194365</v>
      </c>
      <c r="J49" s="126">
        <f t="shared" si="12"/>
        <v>34.2688953</v>
      </c>
      <c r="K49" s="126">
        <f t="shared" si="12"/>
        <v>34.86241284</v>
      </c>
      <c r="L49" s="126">
        <f t="shared" si="12"/>
        <v>35.33060667</v>
      </c>
      <c r="M49" s="126">
        <f t="shared" si="12"/>
        <v>35.68020723</v>
      </c>
      <c r="N49" s="126">
        <f t="shared" si="12"/>
        <v>35.86953184</v>
      </c>
      <c r="O49" s="126">
        <f t="shared" si="12"/>
        <v>36.40644803</v>
      </c>
      <c r="P49" s="126">
        <f t="shared" si="12"/>
        <v>36.52699004</v>
      </c>
      <c r="Q49" s="126">
        <f t="shared" si="12"/>
        <v>36.75521445</v>
      </c>
      <c r="R49" s="126">
        <f t="shared" si="12"/>
        <v>37.18999965</v>
      </c>
      <c r="S49" s="126">
        <f t="shared" si="12"/>
        <v>37.36488661</v>
      </c>
      <c r="T49" s="126">
        <f t="shared" si="12"/>
        <v>37.69775412</v>
      </c>
      <c r="U49" s="126">
        <f t="shared" si="12"/>
        <v>37.97741595</v>
      </c>
      <c r="V49" s="126">
        <f t="shared" si="12"/>
        <v>38.29233324</v>
      </c>
      <c r="W49" s="126">
        <f t="shared" si="12"/>
        <v>38.5110243</v>
      </c>
      <c r="X49" s="126">
        <f t="shared" si="12"/>
        <v>38.70739489</v>
      </c>
      <c r="Y49" s="126">
        <f t="shared" si="12"/>
        <v>39.05603871</v>
      </c>
      <c r="Z49" s="126">
        <f t="shared" si="12"/>
        <v>39.31338406</v>
      </c>
      <c r="AA49" s="126">
        <f t="shared" si="12"/>
        <v>39.7070741</v>
      </c>
      <c r="AB49" s="126">
        <f t="shared" si="12"/>
        <v>40.08586016</v>
      </c>
      <c r="AC49" s="126">
        <f t="shared" si="12"/>
        <v>40.85390662</v>
      </c>
      <c r="AD49" s="126">
        <f t="shared" si="12"/>
        <v>41.54221607</v>
      </c>
      <c r="AE49" s="126">
        <f t="shared" si="12"/>
        <v>41.89102082</v>
      </c>
      <c r="AF49" s="126">
        <f t="shared" si="12"/>
        <v>42.33457553</v>
      </c>
      <c r="AG49" s="126">
        <f t="shared" si="12"/>
        <v>42.50761252</v>
      </c>
      <c r="AH49" s="126">
        <f t="shared" si="12"/>
        <v>42.62511071</v>
      </c>
      <c r="AI49" s="126">
        <f t="shared" si="12"/>
        <v>42.6903805</v>
      </c>
      <c r="AJ49" s="126">
        <f t="shared" si="12"/>
        <v>42.94813087</v>
      </c>
      <c r="AK49" s="126">
        <f t="shared" si="12"/>
        <v>43.26139322</v>
      </c>
      <c r="AL49" s="126">
        <f t="shared" si="12"/>
        <v>43.94765008</v>
      </c>
      <c r="AM49" s="126">
        <f t="shared" si="12"/>
        <v>44.83820708</v>
      </c>
      <c r="AN49" s="126">
        <f t="shared" si="12"/>
        <v>46.00346585</v>
      </c>
      <c r="AO49" s="126">
        <f t="shared" si="12"/>
        <v>46.79784358</v>
      </c>
      <c r="AP49" s="126">
        <f t="shared" si="12"/>
        <v>47.98595872</v>
      </c>
      <c r="AQ49" s="127"/>
      <c r="AR49" s="127"/>
      <c r="AS49" s="127"/>
      <c r="AT49" s="127"/>
    </row>
    <row r="50" ht="15.75" customHeight="1">
      <c r="B50" s="12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ht="15.75" customHeight="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ht="15.75" customHeight="1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ht="15.75" customHeight="1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ht="15.75" customHeight="1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ht="15.75" customHeight="1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ht="15.75" customHeight="1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ht="15.75" customHeight="1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ht="15.75" customHeight="1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ht="15.75" customHeight="1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ht="15.75" customHeight="1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ht="15.75" customHeight="1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ht="15.75" customHeight="1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ht="15.75" customHeight="1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ht="15.75" customHeight="1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ht="15.75" customHeight="1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ht="15.75" customHeight="1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ht="15.75" customHeight="1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ht="15.75" customHeight="1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ht="15.75" customHeight="1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ht="15.75" customHeight="1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ht="15.75" customHeight="1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ht="15.75" customHeight="1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ht="15.75" customHeight="1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ht="15.75" customHeight="1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ht="15.75" customHeight="1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ht="15.75" customHeight="1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ht="15.75" customHeight="1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ht="15.75" customHeight="1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ht="15.75" customHeight="1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ht="15.75" customHeight="1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ht="15.75" customHeight="1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ht="15.75" customHeight="1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ht="15.75" customHeight="1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ht="15.75" customHeight="1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ht="15.75" customHeight="1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ht="15.75" customHeight="1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ht="15.75" customHeight="1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ht="15.75" customHeight="1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ht="15.75" customHeight="1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ht="15.75" customHeight="1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ht="15.75" customHeight="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ht="15.75" customHeight="1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ht="15.75" customHeight="1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ht="15.75" customHeight="1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ht="15.75" customHeight="1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ht="15.75" customHeight="1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ht="15.75" customHeight="1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 ht="15.75" customHeight="1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 ht="15.75" customHeight="1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ht="15.75" customHeight="1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ht="15.75" customHeight="1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 ht="15.75" customHeight="1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ht="15.75" customHeight="1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ht="15.75" customHeight="1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ht="15.75" customHeight="1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ht="15.75" customHeight="1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ht="15.75" customHeight="1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ht="15.75" customHeight="1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ht="15.75" customHeight="1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ht="15.75" customHeight="1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ht="15.75" customHeight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ht="15.75" customHeight="1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ht="15.75" customHeight="1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ht="15.75" customHeight="1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ht="15.75" customHeight="1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ht="15.75" customHeight="1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ht="15.75" customHeight="1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ht="15.75" customHeight="1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ht="15.75" customHeight="1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ht="15.75" customHeight="1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ht="15.75" customHeight="1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ht="15.75" customHeight="1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ht="15.75" customHeight="1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ht="15.75" customHeight="1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ht="15.75" customHeight="1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ht="15.75" customHeight="1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ht="15.75" customHeight="1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ht="15.75" customHeight="1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ht="15.75" customHeight="1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ht="15.75" customHeight="1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ht="15.75" customHeight="1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ht="15.75" customHeight="1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ht="15.75" customHeight="1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ht="15.75" customHeight="1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ht="15.75" customHeight="1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ht="15.75" customHeight="1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ht="15.75" customHeight="1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ht="15.75" customHeight="1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ht="15.75" customHeight="1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ht="15.75" customHeight="1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ht="15.75" customHeight="1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ht="15.75" customHeight="1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ht="15.75" customHeight="1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ht="15.75" customHeight="1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ht="15.75" customHeight="1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ht="15.75" customHeight="1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ht="15.75" customHeight="1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ht="15.75" customHeight="1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ht="15.75" customHeight="1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ht="15.75" customHeight="1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ht="15.75" customHeight="1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ht="15.75" customHeight="1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ht="15.75" customHeight="1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ht="15.75" customHeight="1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ht="15.75" customHeight="1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ht="15.75" customHeight="1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ht="15.75" customHeight="1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ht="15.75" customHeight="1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ht="15.75" customHeight="1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ht="15.75" customHeight="1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ht="15.75" customHeight="1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ht="15.75" customHeight="1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 ht="15.75" customHeight="1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ht="15.75" customHeight="1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ht="15.75" customHeight="1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ht="15.75" customHeight="1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ht="15.75" customHeight="1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 ht="15.75" customHeight="1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 ht="15.75" customHeight="1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ht="15.75" customHeight="1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ht="15.75" customHeight="1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ht="15.75" customHeight="1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ht="15.75" customHeight="1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 ht="15.75" customHeight="1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ht="15.75" customHeight="1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ht="15.75" customHeight="1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ht="15.75" customHeight="1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ht="15.75" customHeight="1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ht="15.75" customHeight="1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ht="15.75" customHeight="1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ht="15.75" customHeight="1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ht="15.75" customHeight="1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ht="15.75" customHeight="1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ht="15.75" customHeight="1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ht="15.75" customHeight="1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ht="15.75" customHeight="1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ht="15.75" customHeight="1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ht="15.75" customHeight="1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ht="15.75" customHeight="1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ht="15.75" customHeight="1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ht="15.75" customHeight="1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ht="15.75" customHeight="1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ht="15.75" customHeight="1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ht="15.75" customHeight="1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ht="15.75" customHeight="1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ht="15.75" customHeight="1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ht="15.75" customHeight="1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ht="15.75" customHeight="1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ht="15.75" customHeight="1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ht="15.75" customHeight="1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ht="15.75" customHeight="1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ht="15.75" customHeight="1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ht="15.75" customHeight="1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ht="15.75" customHeight="1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 ht="15.75" customHeight="1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ht="15.75" customHeight="1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ht="15.75" customHeight="1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ht="15.75" customHeight="1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ht="15.75" customHeight="1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ht="15.75" customHeight="1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ht="15.75" customHeight="1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ht="15.75" customHeight="1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ht="15.75" customHeight="1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ht="15.75" customHeight="1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ht="15.75" customHeight="1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ht="15.75" customHeight="1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ht="15.75" customHeight="1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ht="15.75" customHeight="1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ht="15.75" customHeight="1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ht="15.75" customHeight="1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ht="15.75" customHeight="1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ht="15.75" customHeight="1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ht="15.75" customHeight="1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ht="15.75" customHeight="1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ht="15.75" customHeight="1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ht="15.75" customHeight="1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ht="15.75" customHeight="1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ht="15.75" customHeight="1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ht="15.75" customHeight="1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ht="15.75" customHeight="1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ht="15.75" customHeight="1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ht="15.75" customHeight="1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 ht="15.75" customHeight="1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 ht="15.75" customHeight="1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 ht="15.75" customHeight="1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ht="15.75" customHeight="1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 ht="15.75" customHeight="1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ht="15.75" customHeight="1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ht="15.75" customHeight="1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ht="15.75" customHeight="1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ht="15.75" customHeight="1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ht="15.75" customHeight="1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ht="15.75" customHeight="1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ht="15.75" customHeight="1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ht="15.75" customHeight="1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ht="15.75" customHeight="1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ht="15.75" customHeight="1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 ht="15.75" customHeight="1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ht="15.75" customHeight="1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ht="15.75" customHeight="1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ht="15.75" customHeight="1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ht="15.75" customHeight="1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ht="15.75" customHeight="1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ht="15.75" customHeight="1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ht="15.75" customHeight="1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ht="15.75" customHeight="1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ht="15.75" customHeight="1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ht="15.75" customHeight="1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ht="15.75" customHeight="1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ht="15.75" customHeight="1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ht="15.75" customHeight="1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ht="15.75" customHeight="1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ht="15.75" customHeight="1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ht="15.75" customHeight="1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ht="15.75" customHeight="1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ht="15.75" customHeight="1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ht="15.75" customHeight="1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ht="15.75" customHeight="1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ht="15.75" customHeight="1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ht="15.75" customHeight="1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ht="15.75" customHeight="1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ht="15.75" customHeight="1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ht="15.75" customHeight="1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ht="15.75" customHeight="1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ht="15.75" customHeight="1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ht="15.75" customHeight="1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ht="15.75" customHeight="1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ht="15.75" customHeight="1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ht="15.75" customHeight="1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ht="15.75" customHeight="1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ht="15.75" customHeight="1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ht="15.75" customHeight="1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ht="15.75" customHeight="1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ht="15.75" customHeight="1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ht="15.75" customHeight="1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ht="15.75" customHeight="1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ht="15.75" customHeight="1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ht="15.75" customHeight="1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ht="15.75" customHeight="1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ht="15.75" customHeight="1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 ht="15.75" customHeight="1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 ht="15.75" customHeight="1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ht="15.75" customHeight="1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ht="15.75" customHeight="1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ht="15.75" customHeight="1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ht="15.75" customHeight="1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 ht="15.75" customHeight="1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ht="15.75" customHeight="1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ht="15.75" customHeight="1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 ht="15.75" customHeight="1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ht="15.75" customHeight="1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 ht="15.75" customHeight="1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 ht="15.75" customHeight="1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 ht="15.75" customHeight="1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 ht="15.75" customHeight="1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ht="15.75" customHeight="1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ht="15.75" customHeight="1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ht="15.75" customHeight="1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 ht="15.75" customHeight="1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ht="15.75" customHeight="1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</row>
    <row r="311" ht="15.75" customHeight="1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</row>
    <row r="312" ht="15.75" customHeight="1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</row>
    <row r="313" ht="15.75" customHeight="1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</row>
    <row r="314" ht="15.75" customHeight="1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 ht="15.75" customHeight="1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 ht="15.75" customHeight="1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 ht="15.75" customHeight="1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 ht="15.75" customHeight="1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 ht="15.75" customHeight="1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 ht="15.75" customHeight="1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ht="15.75" customHeight="1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ht="15.75" customHeight="1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ht="15.75" customHeight="1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ht="15.75" customHeight="1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ht="15.75" customHeight="1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ht="15.75" customHeight="1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ht="15.75" customHeight="1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ht="15.75" customHeight="1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 ht="15.75" customHeight="1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ht="15.75" customHeight="1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ht="15.75" customHeight="1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ht="15.75" customHeight="1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ht="15.75" customHeight="1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 ht="15.75" customHeight="1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ht="15.75" customHeight="1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ht="15.75" customHeight="1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ht="15.75" customHeight="1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ht="15.75" customHeight="1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ht="15.75" customHeight="1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ht="15.75" customHeight="1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 ht="15.75" customHeight="1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ht="15.75" customHeight="1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ht="15.75" customHeight="1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ht="15.75" customHeight="1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ht="15.75" customHeight="1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ht="15.75" customHeight="1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ht="15.75" customHeight="1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ht="15.75" customHeight="1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ht="15.75" customHeight="1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ht="15.75" customHeight="1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ht="15.75" customHeight="1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ht="15.75" customHeight="1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ht="15.75" customHeight="1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ht="15.75" customHeight="1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 ht="15.75" customHeight="1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ht="15.75" customHeight="1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ht="15.75" customHeight="1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ht="15.75" customHeight="1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ht="15.75" customHeight="1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ht="15.75" customHeight="1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ht="15.75" customHeight="1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ht="15.75" customHeight="1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ht="15.75" customHeight="1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ht="15.75" customHeight="1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ht="15.75" customHeight="1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ht="15.75" customHeight="1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ht="15.75" customHeight="1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ht="15.75" customHeight="1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ht="15.75" customHeight="1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 ht="15.75" customHeight="1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ht="15.75" customHeight="1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 ht="15.75" customHeight="1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 ht="15.75" customHeight="1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 ht="15.75" customHeight="1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ht="15.75" customHeight="1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ht="15.75" customHeight="1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ht="15.75" customHeight="1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 ht="15.75" customHeight="1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 ht="15.75" customHeight="1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ht="15.75" customHeight="1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ht="15.75" customHeight="1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ht="15.75" customHeight="1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ht="15.75" customHeight="1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ht="15.75" customHeight="1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ht="15.75" customHeight="1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ht="15.75" customHeight="1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ht="15.75" customHeight="1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 ht="15.75" customHeight="1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 ht="15.75" customHeight="1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 ht="15.75" customHeight="1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 ht="15.75" customHeight="1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 ht="15.75" customHeight="1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 ht="15.75" customHeight="1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 ht="15.75" customHeight="1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ht="15.75" customHeight="1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 ht="15.75" customHeight="1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</row>
    <row r="397" ht="15.75" customHeight="1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</row>
    <row r="398" ht="15.75" customHeight="1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</row>
    <row r="399" ht="15.75" customHeight="1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</row>
    <row r="400" ht="15.75" customHeight="1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</row>
    <row r="401" ht="15.75" customHeight="1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</row>
    <row r="402" ht="15.75" customHeight="1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</row>
    <row r="403" ht="15.75" customHeight="1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ht="15.75" customHeight="1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</row>
    <row r="405" ht="15.75" customHeight="1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 ht="15.75" customHeight="1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 ht="15.75" customHeight="1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 ht="15.75" customHeight="1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 ht="15.75" customHeight="1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</row>
    <row r="410" ht="15.75" customHeight="1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 ht="15.75" customHeight="1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</row>
    <row r="412" ht="15.75" customHeight="1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ht="15.75" customHeight="1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 ht="15.75" customHeight="1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</row>
    <row r="415" ht="15.75" customHeight="1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 ht="15.75" customHeight="1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 ht="15.75" customHeight="1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 ht="15.75" customHeight="1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</row>
    <row r="419" ht="15.75" customHeight="1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 ht="15.75" customHeight="1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 ht="15.75" customHeight="1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ht="15.75" customHeight="1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 ht="15.75" customHeight="1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ht="15.75" customHeight="1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 ht="15.75" customHeight="1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 ht="15.75" customHeight="1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 ht="15.75" customHeight="1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 ht="15.75" customHeight="1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 ht="15.75" customHeight="1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</row>
    <row r="430" ht="15.75" customHeight="1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</row>
    <row r="431" ht="15.75" customHeight="1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 ht="15.75" customHeight="1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 ht="15.75" customHeight="1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 ht="15.75" customHeight="1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 ht="15.75" customHeight="1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 ht="15.75" customHeight="1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 ht="15.75" customHeight="1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</row>
    <row r="438" ht="15.75" customHeight="1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</row>
    <row r="439" ht="15.75" customHeight="1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 ht="15.75" customHeight="1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 ht="15.75" customHeight="1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</row>
    <row r="442" ht="15.75" customHeight="1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 ht="15.75" customHeight="1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</row>
    <row r="444" ht="15.75" customHeight="1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 ht="15.75" customHeight="1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</row>
    <row r="446" ht="15.75" customHeight="1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</row>
    <row r="447" ht="15.75" customHeight="1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</row>
    <row r="448" ht="15.75" customHeight="1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 ht="15.75" customHeight="1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 ht="15.75" customHeight="1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 ht="15.75" customHeight="1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 ht="15.75" customHeight="1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 ht="15.75" customHeight="1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 ht="15.75" customHeight="1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</row>
    <row r="455" ht="15.75" customHeight="1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 ht="15.75" customHeight="1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 ht="15.75" customHeight="1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ht="15.75" customHeight="1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 ht="15.75" customHeight="1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 ht="15.75" customHeight="1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 ht="15.75" customHeight="1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 ht="15.75" customHeight="1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 ht="15.75" customHeight="1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 ht="15.75" customHeight="1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 ht="15.75" customHeight="1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</row>
    <row r="466" ht="15.75" customHeight="1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ht="15.75" customHeight="1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 ht="15.75" customHeight="1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 ht="15.75" customHeight="1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</row>
    <row r="470" ht="15.75" customHeight="1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 ht="15.75" customHeight="1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 ht="15.75" customHeight="1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 ht="15.75" customHeight="1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 ht="15.75" customHeight="1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 ht="15.75" customHeight="1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ht="15.75" customHeight="1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</row>
    <row r="477" ht="15.75" customHeight="1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 ht="15.75" customHeight="1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 ht="15.75" customHeight="1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 ht="15.75" customHeight="1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 ht="15.75" customHeight="1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 ht="15.75" customHeight="1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 ht="15.75" customHeight="1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 ht="15.75" customHeight="1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ht="15.75" customHeight="1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 ht="15.75" customHeight="1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 ht="15.75" customHeight="1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 ht="15.75" customHeight="1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 ht="15.75" customHeight="1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</row>
    <row r="490" ht="15.75" customHeight="1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 ht="15.75" customHeight="1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 ht="15.75" customHeight="1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 ht="15.75" customHeight="1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ht="15.75" customHeight="1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 ht="15.75" customHeight="1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 ht="15.75" customHeight="1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 ht="15.75" customHeight="1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 ht="15.75" customHeight="1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 ht="15.75" customHeight="1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 ht="15.75" customHeight="1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ht="15.75" customHeight="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 ht="15.75" customHeight="1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ht="15.75" customHeight="1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 ht="15.75" customHeight="1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 ht="15.75" customHeight="1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 ht="15.75" customHeight="1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 ht="15.75" customHeight="1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 ht="15.75" customHeight="1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 ht="15.75" customHeight="1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 ht="15.75" customHeight="1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ht="15.75" customHeight="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ht="15.75" customHeight="1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 ht="15.75" customHeight="1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 ht="15.75" customHeight="1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 ht="15.75" customHeight="1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 ht="15.75" customHeight="1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 ht="15.75" customHeight="1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 ht="15.75" customHeight="1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 ht="15.75" customHeight="1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 ht="15.75" customHeight="1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ht="15.75" customHeight="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 ht="15.75" customHeight="1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 ht="15.75" customHeight="1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 ht="15.75" customHeight="1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 ht="15.75" customHeight="1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 ht="15.75" customHeight="1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</row>
    <row r="527" ht="15.75" customHeight="1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 ht="15.75" customHeight="1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 ht="15.75" customHeight="1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</row>
    <row r="530" ht="15.75" customHeight="1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 ht="15.75" customHeight="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 ht="15.75" customHeight="1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 ht="15.75" customHeight="1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 ht="15.75" customHeight="1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 ht="15.75" customHeight="1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 ht="15.75" customHeight="1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</row>
    <row r="537" ht="15.75" customHeight="1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 ht="15.75" customHeight="1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 ht="15.75" customHeight="1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 ht="15.75" customHeight="1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</row>
    <row r="541" ht="15.75" customHeight="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 ht="15.75" customHeight="1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 ht="15.75" customHeight="1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</row>
    <row r="544" ht="15.75" customHeight="1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 ht="15.75" customHeight="1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 ht="15.75" customHeight="1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</row>
    <row r="547" ht="15.75" customHeight="1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 ht="15.75" customHeight="1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 ht="15.75" customHeight="1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 ht="15.75" customHeight="1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 ht="15.75" customHeight="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 ht="15.75" customHeight="1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</row>
    <row r="553" ht="15.75" customHeight="1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 ht="15.75" customHeight="1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 ht="15.75" customHeight="1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 ht="15.75" customHeight="1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 ht="15.75" customHeight="1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 ht="15.75" customHeight="1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 ht="15.75" customHeight="1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</row>
    <row r="560" ht="15.75" customHeight="1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 ht="15.75" customHeight="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</row>
    <row r="562" ht="15.75" customHeight="1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 ht="15.75" customHeight="1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 ht="15.75" customHeight="1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 ht="15.75" customHeight="1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</row>
    <row r="566" ht="15.75" customHeight="1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 ht="15.75" customHeight="1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 ht="15.75" customHeight="1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 ht="15.75" customHeight="1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 ht="15.75" customHeight="1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 ht="15.75" customHeight="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 ht="15.75" customHeight="1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 ht="15.75" customHeight="1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 ht="15.75" customHeight="1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 ht="15.75" customHeight="1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 ht="15.75" customHeight="1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</row>
    <row r="577" ht="15.75" customHeight="1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</row>
    <row r="578" ht="15.75" customHeight="1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 ht="15.75" customHeight="1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 ht="15.75" customHeight="1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</row>
    <row r="581" ht="15.75" customHeight="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</row>
    <row r="582" ht="15.75" customHeight="1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 ht="15.75" customHeight="1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</row>
    <row r="584" ht="15.75" customHeight="1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 ht="15.75" customHeight="1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 ht="15.75" customHeight="1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 ht="15.75" customHeight="1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 ht="15.75" customHeight="1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 ht="15.75" customHeight="1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 ht="15.75" customHeight="1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 ht="15.75" customHeight="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 ht="15.75" customHeight="1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</row>
    <row r="593" ht="15.75" customHeight="1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</row>
    <row r="594" ht="15.75" customHeight="1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 ht="15.75" customHeight="1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 ht="15.75" customHeight="1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</row>
    <row r="597" ht="15.75" customHeight="1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 ht="15.75" customHeight="1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 ht="15.75" customHeight="1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 ht="15.75" customHeight="1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 ht="15.75" customHeight="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 ht="15.75" customHeight="1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 ht="15.75" customHeigh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 ht="15.75" customHeight="1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 ht="15.75" customHeight="1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 ht="15.75" customHeight="1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 ht="15.75" customHeight="1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 ht="15.75" customHeight="1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 ht="15.75" customHeight="1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 ht="15.75" customHeight="1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</row>
    <row r="611" ht="15.75" customHeight="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</row>
    <row r="612" ht="15.75" customHeight="1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 ht="15.75" customHeight="1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 ht="15.75" customHeight="1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 ht="15.75" customHeight="1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 ht="15.75" customHeight="1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 ht="15.75" customHeight="1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 ht="15.75" customHeight="1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 ht="15.75" customHeight="1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</row>
    <row r="620" ht="15.75" customHeight="1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 ht="15.75" customHeight="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</row>
    <row r="622" ht="15.75" customHeight="1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</row>
    <row r="623" ht="15.75" customHeight="1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</row>
    <row r="624" ht="15.75" customHeight="1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 ht="15.75" customHeight="1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 ht="15.75" customHeight="1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</row>
    <row r="627" ht="15.75" customHeight="1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 ht="15.75" customHeight="1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 ht="15.75" customHeight="1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 ht="15.75" customHeight="1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 ht="15.75" customHeight="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 ht="15.75" customHeight="1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 ht="15.75" customHeight="1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</row>
    <row r="634" ht="15.75" customHeight="1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</row>
    <row r="635" ht="15.75" customHeight="1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</row>
    <row r="636" ht="15.75" customHeight="1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</row>
    <row r="637" ht="15.75" customHeight="1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</row>
    <row r="638" ht="15.75" customHeight="1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</row>
    <row r="639" ht="15.75" customHeight="1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 ht="15.75" customHeight="1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 ht="15.75" customHeight="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 ht="15.75" customHeight="1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ht="15.75" customHeight="1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 ht="15.75" customHeight="1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 ht="15.75" customHeight="1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 ht="15.75" customHeight="1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 ht="15.75" customHeight="1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 ht="15.75" customHeight="1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 ht="15.75" customHeight="1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</row>
    <row r="650" ht="15.75" customHeight="1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 ht="15.75" customHeight="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 ht="15.75" customHeight="1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 ht="15.75" customHeight="1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 ht="15.75" customHeight="1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 ht="15.75" customHeight="1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 ht="15.75" customHeight="1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 ht="15.75" customHeight="1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 ht="15.75" customHeight="1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 ht="15.75" customHeight="1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 ht="15.75" customHeight="1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 ht="15.75" customHeight="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 ht="15.75" customHeight="1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 ht="15.75" customHeight="1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 ht="15.75" customHeight="1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 ht="15.75" customHeight="1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 ht="15.75" customHeight="1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 ht="15.75" customHeight="1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</row>
    <row r="668" ht="15.75" customHeight="1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</row>
    <row r="669" ht="15.75" customHeight="1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</row>
    <row r="670" ht="15.75" customHeight="1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</row>
    <row r="671" ht="15.75" customHeight="1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</row>
    <row r="672" ht="15.75" customHeight="1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</row>
    <row r="673" ht="15.75" customHeight="1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</row>
    <row r="674" ht="15.75" customHeight="1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</row>
    <row r="675" ht="15.75" customHeight="1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</row>
    <row r="676" ht="15.75" customHeight="1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</row>
    <row r="677" ht="15.75" customHeight="1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 ht="15.75" customHeight="1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 ht="15.75" customHeight="1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 ht="15.75" customHeight="1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 ht="15.75" customHeight="1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 ht="15.75" customHeight="1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 ht="15.75" customHeight="1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 ht="15.75" customHeight="1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 ht="15.75" customHeight="1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 ht="15.75" customHeight="1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 ht="15.75" customHeight="1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 ht="15.75" customHeight="1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</row>
    <row r="689" ht="15.75" customHeight="1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 ht="15.75" customHeight="1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</row>
    <row r="691" ht="15.75" customHeight="1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</row>
    <row r="692" ht="15.75" customHeight="1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 ht="15.75" customHeight="1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 ht="15.75" customHeight="1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 ht="15.75" customHeight="1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 ht="15.75" customHeight="1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 ht="15.75" customHeight="1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 ht="15.75" customHeight="1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 ht="15.75" customHeight="1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 ht="15.75" customHeight="1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 ht="15.75" customHeight="1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 ht="15.75" customHeight="1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 ht="15.75" customHeight="1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 ht="15.75" customHeight="1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 ht="15.75" customHeight="1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 ht="15.75" customHeight="1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 ht="15.75" customHeight="1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 ht="15.75" customHeight="1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 ht="15.75" customHeight="1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 ht="15.75" customHeight="1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 ht="15.75" customHeight="1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 ht="15.75" customHeight="1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 ht="15.75" customHeight="1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 ht="15.75" customHeight="1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 ht="15.75" customHeight="1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</row>
    <row r="716" ht="15.75" customHeight="1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 ht="15.75" customHeight="1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</row>
    <row r="718" ht="15.75" customHeight="1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</row>
    <row r="719" ht="15.75" customHeight="1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  <row r="720" ht="15.75" customHeight="1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</row>
    <row r="721" ht="15.75" customHeight="1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</row>
    <row r="722" ht="15.75" customHeight="1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</row>
    <row r="723" ht="15.75" customHeight="1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</row>
    <row r="724" ht="15.75" customHeight="1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</row>
    <row r="725" ht="15.75" customHeight="1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</row>
    <row r="726" ht="15.75" customHeight="1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</row>
    <row r="727" ht="15.75" customHeight="1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</row>
    <row r="728" ht="15.75" customHeight="1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</row>
    <row r="729" ht="15.75" customHeight="1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</row>
    <row r="730" ht="15.75" customHeight="1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</row>
    <row r="731" ht="15.75" customHeight="1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</row>
    <row r="732" ht="15.75" customHeight="1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</row>
    <row r="733" ht="15.75" customHeight="1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</row>
    <row r="734" ht="15.75" customHeight="1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</row>
    <row r="735" ht="15.75" customHeight="1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</row>
    <row r="736" ht="15.75" customHeight="1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</row>
    <row r="737" ht="15.75" customHeight="1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</row>
    <row r="738" ht="15.75" customHeight="1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</row>
    <row r="739" ht="15.75" customHeight="1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</row>
    <row r="740" ht="15.75" customHeight="1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</row>
    <row r="741" ht="15.75" customHeight="1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</row>
    <row r="742" ht="15.75" customHeight="1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</row>
    <row r="743" ht="15.75" customHeight="1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</row>
    <row r="744" ht="15.75" customHeight="1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</row>
    <row r="745" ht="15.75" customHeight="1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</row>
    <row r="746" ht="15.75" customHeight="1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</row>
    <row r="747" ht="15.75" customHeight="1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</row>
    <row r="748" ht="15.75" customHeight="1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</row>
    <row r="749" ht="15.75" customHeight="1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</row>
    <row r="750" ht="15.75" customHeight="1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</row>
    <row r="751" ht="15.75" customHeight="1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</row>
    <row r="752" ht="15.75" customHeight="1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</row>
    <row r="753" ht="15.75" customHeight="1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</row>
    <row r="754" ht="15.75" customHeight="1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</row>
    <row r="755" ht="15.75" customHeight="1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</row>
    <row r="756" ht="15.75" customHeight="1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</row>
    <row r="757" ht="15.75" customHeight="1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</row>
    <row r="758" ht="15.75" customHeight="1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</row>
    <row r="759" ht="15.75" customHeight="1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</row>
    <row r="760" ht="15.75" customHeight="1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</row>
    <row r="761" ht="15.75" customHeight="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</row>
    <row r="762" ht="15.75" customHeight="1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</row>
    <row r="763" ht="15.75" customHeight="1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</row>
    <row r="764" ht="15.75" customHeight="1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</row>
    <row r="765" ht="15.75" customHeight="1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</row>
    <row r="766" ht="15.75" customHeight="1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</row>
    <row r="767" ht="15.75" customHeight="1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</row>
    <row r="768" ht="15.75" customHeight="1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</row>
    <row r="769" ht="15.75" customHeight="1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</row>
    <row r="770" ht="15.75" customHeight="1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</row>
    <row r="771" ht="15.75" customHeight="1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</row>
    <row r="772" ht="15.75" customHeight="1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</row>
    <row r="773" ht="15.75" customHeight="1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</row>
    <row r="774" ht="15.75" customHeight="1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</row>
    <row r="775" ht="15.75" customHeight="1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</row>
    <row r="776" ht="15.75" customHeight="1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</row>
    <row r="777" ht="15.75" customHeight="1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</row>
    <row r="778" ht="15.75" customHeight="1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</row>
    <row r="779" ht="15.75" customHeight="1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</row>
    <row r="780" ht="15.75" customHeight="1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</row>
    <row r="781" ht="15.75" customHeight="1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</row>
    <row r="782" ht="15.75" customHeight="1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</row>
    <row r="783" ht="15.75" customHeight="1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</row>
    <row r="784" ht="15.75" customHeight="1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</row>
    <row r="785" ht="15.75" customHeight="1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</row>
    <row r="786" ht="15.75" customHeight="1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</row>
    <row r="787" ht="15.75" customHeight="1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</row>
    <row r="788" ht="15.75" customHeight="1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</row>
    <row r="789" ht="15.75" customHeight="1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</row>
    <row r="790" ht="15.75" customHeight="1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</row>
    <row r="791" ht="15.75" customHeight="1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</row>
    <row r="792" ht="15.75" customHeight="1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</row>
    <row r="793" ht="15.75" customHeight="1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</row>
    <row r="794" ht="15.75" customHeight="1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</row>
    <row r="795" ht="15.75" customHeight="1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</row>
    <row r="796" ht="15.75" customHeight="1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</row>
    <row r="797" ht="15.75" customHeight="1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</row>
    <row r="798" ht="15.75" customHeight="1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</row>
    <row r="799" ht="15.75" customHeight="1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</row>
    <row r="800" ht="15.75" customHeight="1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</row>
    <row r="801" ht="15.75" customHeight="1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</row>
    <row r="802" ht="15.75" customHeight="1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</row>
    <row r="803" ht="15.75" customHeight="1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</row>
    <row r="804" ht="15.75" customHeight="1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</row>
    <row r="805" ht="15.75" customHeight="1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</row>
    <row r="806" ht="15.75" customHeight="1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</row>
    <row r="807" ht="15.75" customHeight="1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</row>
    <row r="808" ht="15.75" customHeight="1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</row>
    <row r="809" ht="15.75" customHeight="1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</row>
    <row r="810" ht="15.75" customHeight="1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</row>
    <row r="811" ht="15.75" customHeight="1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</row>
    <row r="812" ht="15.75" customHeight="1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</row>
    <row r="813" ht="15.75" customHeight="1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</row>
    <row r="814" ht="15.75" customHeight="1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</row>
    <row r="815" ht="15.75" customHeight="1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</row>
    <row r="816" ht="15.75" customHeight="1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</row>
    <row r="817" ht="15.75" customHeight="1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</row>
    <row r="818" ht="15.75" customHeight="1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</row>
    <row r="819" ht="15.75" customHeight="1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</row>
    <row r="820" ht="15.75" customHeight="1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</row>
    <row r="821" ht="15.75" customHeight="1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</row>
    <row r="822" ht="15.75" customHeight="1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</row>
    <row r="823" ht="15.75" customHeight="1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</row>
    <row r="824" ht="15.75" customHeight="1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</row>
    <row r="825" ht="15.75" customHeight="1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</row>
    <row r="826" ht="15.75" customHeight="1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</row>
    <row r="827" ht="15.75" customHeight="1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</row>
    <row r="828" ht="15.75" customHeight="1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</row>
    <row r="829" ht="15.75" customHeight="1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</row>
    <row r="830" ht="15.75" customHeight="1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</row>
    <row r="831" ht="15.75" customHeight="1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</row>
    <row r="832" ht="15.75" customHeight="1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</row>
    <row r="833" ht="15.75" customHeight="1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</row>
    <row r="834" ht="15.75" customHeight="1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</row>
    <row r="835" ht="15.75" customHeight="1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</row>
    <row r="836" ht="15.75" customHeight="1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</row>
    <row r="837" ht="15.75" customHeight="1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</row>
    <row r="838" ht="15.75" customHeight="1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</row>
    <row r="839" ht="15.75" customHeight="1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</row>
    <row r="840" ht="15.75" customHeight="1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</row>
    <row r="841" ht="15.75" customHeight="1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</row>
    <row r="842" ht="15.75" customHeight="1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</row>
    <row r="843" ht="15.75" customHeight="1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</row>
    <row r="844" ht="15.75" customHeight="1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</row>
    <row r="845" ht="15.75" customHeight="1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</row>
    <row r="846" ht="15.75" customHeight="1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</row>
    <row r="847" ht="15.75" customHeight="1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</row>
    <row r="848" ht="15.75" customHeight="1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</row>
    <row r="849" ht="15.75" customHeight="1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</row>
    <row r="850" ht="15.75" customHeight="1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</row>
    <row r="851" ht="15.75" customHeight="1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</row>
    <row r="852" ht="15.75" customHeight="1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</row>
    <row r="853" ht="15.75" customHeight="1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</row>
    <row r="854" ht="15.75" customHeight="1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</row>
    <row r="855" ht="15.75" customHeight="1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</row>
    <row r="856" ht="15.75" customHeight="1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</row>
    <row r="857" ht="15.75" customHeight="1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</row>
    <row r="858" ht="15.75" customHeight="1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</row>
    <row r="859" ht="15.75" customHeight="1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</row>
    <row r="860" ht="15.75" customHeight="1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</row>
    <row r="861" ht="15.75" customHeight="1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</row>
    <row r="862" ht="15.75" customHeight="1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</row>
    <row r="863" ht="15.75" customHeight="1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</row>
    <row r="864" ht="15.75" customHeight="1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</row>
    <row r="865" ht="15.75" customHeight="1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</row>
    <row r="866" ht="15.75" customHeight="1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</row>
    <row r="867" ht="15.75" customHeight="1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</row>
    <row r="868" ht="15.75" customHeight="1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</row>
    <row r="869" ht="15.75" customHeight="1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</row>
    <row r="870" ht="15.75" customHeight="1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</row>
    <row r="871" ht="15.75" customHeight="1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</row>
    <row r="872" ht="15.75" customHeight="1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</row>
    <row r="873" ht="15.75" customHeight="1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</row>
    <row r="874" ht="15.75" customHeight="1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</row>
    <row r="875" ht="15.75" customHeight="1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</row>
    <row r="876" ht="15.75" customHeight="1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</row>
    <row r="877" ht="15.75" customHeight="1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</row>
    <row r="878" ht="15.75" customHeight="1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</row>
    <row r="879" ht="15.75" customHeight="1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</row>
    <row r="880" ht="15.75" customHeight="1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</row>
    <row r="881" ht="15.75" customHeight="1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</row>
    <row r="882" ht="15.75" customHeight="1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</row>
    <row r="883" ht="15.75" customHeight="1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</row>
    <row r="884" ht="15.75" customHeight="1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</row>
    <row r="885" ht="15.75" customHeight="1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</row>
    <row r="886" ht="15.75" customHeight="1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</row>
    <row r="887" ht="15.75" customHeight="1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</row>
    <row r="888" ht="15.75" customHeight="1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</row>
    <row r="889" ht="15.75" customHeight="1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</row>
    <row r="890" ht="15.75" customHeight="1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</row>
    <row r="891" ht="15.75" customHeight="1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</row>
    <row r="892" ht="15.75" customHeight="1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</row>
    <row r="893" ht="15.75" customHeight="1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</row>
    <row r="894" ht="15.75" customHeight="1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</row>
    <row r="895" ht="15.75" customHeight="1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</row>
    <row r="896" ht="15.75" customHeight="1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</row>
    <row r="897" ht="15.75" customHeight="1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</row>
    <row r="898" ht="15.75" customHeight="1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</row>
    <row r="899" ht="15.75" customHeight="1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</row>
    <row r="900" ht="15.75" customHeight="1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</row>
    <row r="901" ht="15.75" customHeight="1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</row>
    <row r="902" ht="15.75" customHeight="1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</row>
    <row r="903" ht="15.75" customHeight="1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</row>
    <row r="904" ht="15.75" customHeight="1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</row>
    <row r="905" ht="15.75" customHeight="1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</row>
    <row r="906" ht="15.75" customHeight="1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</row>
    <row r="907" ht="15.75" customHeight="1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</row>
    <row r="908" ht="15.75" customHeight="1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</row>
    <row r="909" ht="15.75" customHeight="1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</row>
    <row r="910" ht="15.75" customHeight="1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</row>
    <row r="911" ht="15.75" customHeight="1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</row>
    <row r="912" ht="15.75" customHeight="1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</row>
    <row r="913" ht="15.75" customHeight="1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</row>
    <row r="914" ht="15.75" customHeight="1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</row>
    <row r="915" ht="15.75" customHeight="1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</row>
    <row r="916" ht="15.75" customHeight="1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</row>
    <row r="917" ht="15.75" customHeight="1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</row>
    <row r="918" ht="15.75" customHeight="1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</row>
    <row r="919" ht="15.75" customHeight="1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</row>
    <row r="920" ht="15.75" customHeight="1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</row>
    <row r="921" ht="15.75" customHeight="1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</row>
    <row r="922" ht="15.75" customHeight="1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</row>
    <row r="923" ht="15.75" customHeight="1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</row>
    <row r="924" ht="15.75" customHeight="1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</row>
    <row r="925" ht="15.75" customHeight="1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</row>
    <row r="926" ht="15.75" customHeight="1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</row>
    <row r="927" ht="15.75" customHeight="1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</row>
    <row r="928" ht="15.75" customHeight="1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</row>
    <row r="929" ht="15.75" customHeight="1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</row>
    <row r="930" ht="15.75" customHeight="1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</row>
    <row r="931" ht="15.75" customHeight="1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</row>
    <row r="932" ht="15.75" customHeight="1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</row>
    <row r="933" ht="15.75" customHeight="1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</row>
    <row r="934" ht="15.75" customHeight="1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</row>
    <row r="935" ht="15.75" customHeight="1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</row>
    <row r="936" ht="15.75" customHeight="1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</row>
    <row r="937" ht="15.75" customHeight="1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</row>
    <row r="938" ht="15.75" customHeight="1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</row>
    <row r="939" ht="15.75" customHeight="1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</row>
    <row r="940" ht="15.75" customHeight="1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</row>
    <row r="941" ht="15.75" customHeight="1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</row>
    <row r="942" ht="15.75" customHeight="1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</row>
    <row r="943" ht="15.75" customHeight="1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</row>
    <row r="944" ht="15.75" customHeight="1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</row>
    <row r="945" ht="15.75" customHeight="1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</row>
    <row r="946" ht="15.75" customHeight="1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</row>
    <row r="947" ht="15.75" customHeight="1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</row>
    <row r="948" ht="15.75" customHeight="1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</row>
    <row r="949" ht="15.75" customHeight="1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</row>
    <row r="950" ht="15.75" customHeight="1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</row>
    <row r="951" ht="15.75" customHeight="1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</row>
    <row r="952" ht="15.75" customHeight="1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</row>
    <row r="953" ht="15.75" customHeight="1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</row>
    <row r="954" ht="15.75" customHeight="1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</row>
    <row r="955" ht="15.75" customHeight="1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</row>
    <row r="956" ht="15.75" customHeight="1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</row>
    <row r="957" ht="15.75" customHeight="1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</row>
    <row r="958" ht="15.75" customHeight="1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</row>
    <row r="959" ht="15.75" customHeight="1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</row>
    <row r="960" ht="15.75" customHeight="1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</row>
    <row r="961" ht="15.75" customHeight="1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</row>
    <row r="962" ht="15.75" customHeight="1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</row>
    <row r="963" ht="15.75" customHeight="1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</row>
    <row r="964" ht="15.75" customHeight="1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</row>
    <row r="965" ht="15.75" customHeight="1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</row>
    <row r="966" ht="15.75" customHeight="1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</row>
    <row r="967" ht="15.75" customHeight="1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</row>
    <row r="968" ht="15.75" customHeight="1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</row>
    <row r="969" ht="15.75" customHeight="1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</row>
    <row r="970" ht="15.75" customHeight="1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</row>
    <row r="971" ht="15.75" customHeight="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</row>
    <row r="972" ht="15.75" customHeight="1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</row>
    <row r="973" ht="15.75" customHeight="1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</row>
    <row r="974" ht="15.75" customHeight="1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</row>
    <row r="975" ht="15.75" customHeight="1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</row>
    <row r="976" ht="15.75" customHeight="1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</row>
    <row r="977" ht="15.75" customHeight="1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</row>
    <row r="978" ht="15.75" customHeight="1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</row>
    <row r="979" ht="15.75" customHeight="1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</row>
    <row r="980" ht="15.75" customHeight="1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</row>
    <row r="981" ht="15.75" customHeight="1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</row>
    <row r="982" ht="15.75" customHeight="1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</row>
    <row r="983" ht="15.75" customHeight="1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</row>
    <row r="984" ht="15.75" customHeight="1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</row>
    <row r="985" ht="15.75" customHeight="1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</row>
    <row r="986" ht="15.75" customHeight="1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</row>
    <row r="987" ht="15.75" customHeight="1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</row>
    <row r="988" ht="15.75" customHeight="1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</row>
    <row r="989" ht="15.75" customHeight="1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</row>
    <row r="990" ht="15.75" customHeight="1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</row>
    <row r="991" ht="15.75" customHeight="1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</row>
    <row r="992" ht="15.75" customHeight="1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</row>
    <row r="993" ht="15.75" customHeight="1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</row>
    <row r="994" ht="15.75" customHeight="1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</row>
    <row r="995" ht="15.75" customHeight="1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</row>
    <row r="996" ht="15.75" customHeight="1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</row>
    <row r="997" ht="15.75" customHeight="1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</row>
    <row r="998" ht="15.75" customHeight="1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</row>
    <row r="999" ht="15.75" customHeight="1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</row>
    <row r="1000" ht="15.75" customHeight="1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</row>
    <row r="1001" ht="15.75" customHeight="1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</row>
    <row r="1002" ht="15.75" customHeight="1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</row>
    <row r="1003" ht="15.75" customHeight="1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</row>
    <row r="1004" ht="15.75" customHeight="1"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</row>
    <row r="1005" ht="15.75" customHeight="1"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</row>
    <row r="1006" ht="15.75" customHeight="1"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</row>
  </sheetData>
  <printOptions/>
  <pageMargins bottom="0.75" footer="0.0" header="0.0" left="0.7" right="0.7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44"/>
    <col customWidth="1" min="3" max="3" width="12.78"/>
    <col customWidth="1" min="4" max="4" width="18.56"/>
    <col customWidth="1" min="5" max="5" width="12.78"/>
    <col customWidth="1" min="6" max="6" width="16.22"/>
    <col customWidth="1" min="7" max="8" width="12.78"/>
    <col customWidth="1" min="9" max="10" width="20.56"/>
    <col customWidth="1" min="11" max="26" width="10.44"/>
  </cols>
  <sheetData>
    <row r="1" ht="15.75" customHeight="1">
      <c r="A1" s="4"/>
    </row>
    <row r="2">
      <c r="A2" s="4"/>
      <c r="B2" s="8" t="s">
        <v>5</v>
      </c>
      <c r="C2" s="9"/>
      <c r="E2" s="10"/>
    </row>
    <row r="3" ht="15.75" customHeight="1">
      <c r="A3" s="4"/>
      <c r="B3" s="8"/>
      <c r="E3" s="10"/>
    </row>
    <row r="4">
      <c r="A4" s="12"/>
      <c r="B4" s="13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8" t="s">
        <v>14</v>
      </c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4"/>
      <c r="B5" s="20" t="s">
        <v>9</v>
      </c>
      <c r="C5" s="6">
        <v>1.4869248824298823E8</v>
      </c>
      <c r="D5" s="6">
        <v>885411.0171953213</v>
      </c>
      <c r="E5" s="6">
        <v>4.598363887996409E7</v>
      </c>
      <c r="F5" s="6">
        <v>688967.9174165039</v>
      </c>
      <c r="G5" s="6">
        <v>368743.2493431277</v>
      </c>
      <c r="H5" s="31">
        <f t="shared" ref="H5:H9" si="1">SUM(C5:G5)</f>
        <v>196619249.3</v>
      </c>
      <c r="I5" s="33"/>
    </row>
    <row r="6" ht="15.75" customHeight="1">
      <c r="A6" s="4"/>
      <c r="B6" s="20" t="s">
        <v>10</v>
      </c>
      <c r="C6" s="6">
        <v>761125.8200509907</v>
      </c>
      <c r="D6" s="6">
        <v>4590075.489746083</v>
      </c>
      <c r="E6" s="6">
        <v>1921616.143236816</v>
      </c>
      <c r="F6" s="6">
        <v>56179.347616552746</v>
      </c>
      <c r="G6" s="6">
        <v>37860.092285827646</v>
      </c>
      <c r="H6" s="31">
        <f t="shared" si="1"/>
        <v>7366856.893</v>
      </c>
      <c r="I6" s="36"/>
    </row>
    <row r="7" ht="15.75" customHeight="1">
      <c r="A7" s="4"/>
      <c r="B7" s="20" t="s">
        <v>11</v>
      </c>
      <c r="C7" s="6">
        <v>1.062718522505977E7</v>
      </c>
      <c r="D7" s="6">
        <v>216793.139884668</v>
      </c>
      <c r="E7" s="6">
        <v>4.745070716722801E7</v>
      </c>
      <c r="F7" s="6">
        <v>548989.9987985108</v>
      </c>
      <c r="G7" s="6">
        <v>246226.84676822426</v>
      </c>
      <c r="H7" s="31">
        <f t="shared" si="1"/>
        <v>59089902.38</v>
      </c>
      <c r="I7" s="36"/>
    </row>
    <row r="8" ht="15.75" customHeight="1">
      <c r="A8" s="4"/>
      <c r="B8" s="20" t="s">
        <v>12</v>
      </c>
      <c r="C8" s="6">
        <v>108270.98574334715</v>
      </c>
      <c r="D8" s="6">
        <v>25724.248125378403</v>
      </c>
      <c r="E8" s="6">
        <v>180390.60156179158</v>
      </c>
      <c r="F8" s="6">
        <v>969691.3400135444</v>
      </c>
      <c r="G8" s="6">
        <v>53017.61816323242</v>
      </c>
      <c r="H8" s="31">
        <f t="shared" si="1"/>
        <v>1337094.794</v>
      </c>
      <c r="I8" s="36"/>
    </row>
    <row r="9" ht="15.75" customHeight="1">
      <c r="A9" s="4"/>
      <c r="B9" s="20" t="s">
        <v>13</v>
      </c>
      <c r="C9" s="6">
        <v>354207.7482801636</v>
      </c>
      <c r="D9" s="6">
        <v>58274.39960684803</v>
      </c>
      <c r="E9" s="6">
        <v>435130.83822003176</v>
      </c>
      <c r="F9" s="6">
        <v>45165.403615258874</v>
      </c>
      <c r="G9" s="6">
        <v>1741579.54397729</v>
      </c>
      <c r="H9" s="31">
        <f t="shared" si="1"/>
        <v>2634357.934</v>
      </c>
      <c r="I9" s="36"/>
    </row>
    <row r="10" ht="15.75" customHeight="1">
      <c r="A10" s="4"/>
      <c r="B10" s="42" t="s">
        <v>25</v>
      </c>
      <c r="C10" s="31">
        <f t="shared" ref="C10:H10" si="2">SUM(C5:C9)</f>
        <v>160543278</v>
      </c>
      <c r="D10" s="31">
        <f t="shared" si="2"/>
        <v>5776278.295</v>
      </c>
      <c r="E10" s="31">
        <f t="shared" si="2"/>
        <v>95971483.63</v>
      </c>
      <c r="F10" s="31">
        <f t="shared" si="2"/>
        <v>2308994.007</v>
      </c>
      <c r="G10" s="31">
        <f t="shared" si="2"/>
        <v>2447427.351</v>
      </c>
      <c r="H10" s="31">
        <f t="shared" si="2"/>
        <v>267047461.3</v>
      </c>
      <c r="I10" s="36"/>
    </row>
    <row r="11" ht="15.75" customHeight="1">
      <c r="A11" s="4"/>
    </row>
    <row r="12" ht="15.75" customHeight="1">
      <c r="A12" s="4"/>
    </row>
    <row r="13" ht="15.75" customHeight="1">
      <c r="A13" s="4"/>
      <c r="B13" s="47"/>
      <c r="C13" s="49" t="s">
        <v>22</v>
      </c>
      <c r="D13" s="49" t="s">
        <v>33</v>
      </c>
      <c r="E13" s="49" t="s">
        <v>34</v>
      </c>
      <c r="F13" s="49" t="s">
        <v>35</v>
      </c>
      <c r="G13" s="53" t="s">
        <v>21</v>
      </c>
    </row>
    <row r="14" ht="15.75" customHeight="1">
      <c r="A14" s="4"/>
      <c r="B14" s="54" t="s">
        <v>22</v>
      </c>
      <c r="C14" s="55">
        <f t="shared" ref="C14:E14" si="3">C5</f>
        <v>148692488.2</v>
      </c>
      <c r="D14" s="55">
        <f t="shared" si="3"/>
        <v>885411.0172</v>
      </c>
      <c r="E14" s="55">
        <f t="shared" si="3"/>
        <v>45983638.88</v>
      </c>
      <c r="F14" s="55">
        <f t="shared" ref="F14:F16" si="5">SUM(F5:G5)</f>
        <v>1057711.167</v>
      </c>
      <c r="G14" s="57">
        <f t="shared" ref="G14:G17" si="6">SUM(C14:F14)</f>
        <v>196619249.3</v>
      </c>
    </row>
    <row r="15" ht="15.75" customHeight="1">
      <c r="A15" s="4"/>
      <c r="B15" s="54" t="s">
        <v>33</v>
      </c>
      <c r="C15" s="55">
        <f t="shared" ref="C15:E15" si="4">C6</f>
        <v>761125.8201</v>
      </c>
      <c r="D15" s="55">
        <f t="shared" si="4"/>
        <v>4590075.49</v>
      </c>
      <c r="E15" s="55">
        <f t="shared" si="4"/>
        <v>1921616.143</v>
      </c>
      <c r="F15" s="55">
        <f t="shared" si="5"/>
        <v>94039.4399</v>
      </c>
      <c r="G15" s="57">
        <f t="shared" si="6"/>
        <v>7366856.893</v>
      </c>
    </row>
    <row r="16" ht="15.75" customHeight="1">
      <c r="A16" s="4"/>
      <c r="B16" s="54" t="s">
        <v>34</v>
      </c>
      <c r="C16" s="55">
        <f t="shared" ref="C16:E16" si="7">C7</f>
        <v>10627185.23</v>
      </c>
      <c r="D16" s="55">
        <f t="shared" si="7"/>
        <v>216793.1399</v>
      </c>
      <c r="E16" s="55">
        <f t="shared" si="7"/>
        <v>47450707.17</v>
      </c>
      <c r="F16" s="55">
        <f t="shared" si="5"/>
        <v>795216.8456</v>
      </c>
      <c r="G16" s="57">
        <f t="shared" si="6"/>
        <v>59089902.38</v>
      </c>
    </row>
    <row r="17" ht="15.75" customHeight="1">
      <c r="A17" s="4"/>
      <c r="B17" s="54" t="s">
        <v>35</v>
      </c>
      <c r="C17" s="55">
        <f t="shared" ref="C17:E17" si="8">SUM(C8:C9)</f>
        <v>462478.734</v>
      </c>
      <c r="D17" s="55">
        <f t="shared" si="8"/>
        <v>83998.64773</v>
      </c>
      <c r="E17" s="55">
        <f t="shared" si="8"/>
        <v>615521.4398</v>
      </c>
      <c r="F17" s="55">
        <f>SUM(F8:G9)</f>
        <v>2809453.906</v>
      </c>
      <c r="G17" s="57">
        <f t="shared" si="6"/>
        <v>3971452.727</v>
      </c>
    </row>
    <row r="18" ht="15.75" customHeight="1">
      <c r="A18" s="4"/>
      <c r="B18" s="60" t="s">
        <v>21</v>
      </c>
      <c r="C18" s="61">
        <f t="shared" ref="C18:F18" si="9">SUM(C14:C17)</f>
        <v>160543278</v>
      </c>
      <c r="D18" s="61">
        <f t="shared" si="9"/>
        <v>5776278.295</v>
      </c>
      <c r="E18" s="61">
        <f t="shared" si="9"/>
        <v>95971483.63</v>
      </c>
      <c r="F18" s="61">
        <f t="shared" si="9"/>
        <v>4756421.358</v>
      </c>
      <c r="G18" s="62">
        <f>SUM(C14:F17)</f>
        <v>267047461.3</v>
      </c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23.78"/>
    <col customWidth="1" min="3" max="3" width="93.0"/>
    <col customWidth="1" min="4" max="4" width="60.67"/>
    <col customWidth="1" min="5" max="26" width="11.44"/>
  </cols>
  <sheetData>
    <row r="1" ht="15.75" customHeight="1"/>
    <row r="2" ht="15.75" customHeight="1">
      <c r="A2" s="71"/>
      <c r="B2" s="6" t="s">
        <v>44</v>
      </c>
      <c r="C2" s="71"/>
      <c r="D2" s="71"/>
    </row>
    <row r="3" ht="15.75" customHeight="1">
      <c r="A3" s="71"/>
      <c r="B3" s="71"/>
      <c r="C3" s="71"/>
      <c r="D3" s="71"/>
    </row>
    <row r="4">
      <c r="A4" s="71"/>
      <c r="B4" s="72">
        <f>'GRAFICO HISTORICO'!AS20</f>
        <v>0.6241678118</v>
      </c>
      <c r="C4" s="73" t="s">
        <v>45</v>
      </c>
      <c r="D4" s="75"/>
      <c r="E4" s="75"/>
    </row>
    <row r="5">
      <c r="A5" s="71"/>
      <c r="B5" s="76"/>
      <c r="D5" s="75"/>
      <c r="E5" s="75"/>
    </row>
    <row r="6">
      <c r="A6" s="77"/>
      <c r="B6" s="72">
        <f>'GRAFICO HISTORICO'!AU9</f>
        <v>-0.1846515807</v>
      </c>
      <c r="C6" s="73" t="s">
        <v>47</v>
      </c>
      <c r="D6" s="71"/>
    </row>
    <row r="7" ht="25.5" customHeight="1">
      <c r="A7" s="71"/>
      <c r="B7" s="76"/>
      <c r="D7" s="78"/>
    </row>
    <row r="8" ht="25.5" customHeight="1">
      <c r="A8" s="71"/>
      <c r="B8" s="79">
        <f>'DADOS COBERTURA SEMIARIDO'!E5+'DADOS COBERTURA SEMIARIDO'!E12</f>
        <v>0.6228097</v>
      </c>
      <c r="C8" s="73" t="s">
        <v>49</v>
      </c>
      <c r="D8" s="73"/>
    </row>
    <row r="9">
      <c r="A9" s="71"/>
      <c r="B9" s="80"/>
      <c r="C9" s="73"/>
      <c r="D9" s="71"/>
    </row>
    <row r="10" ht="15.75" customHeight="1">
      <c r="A10" s="71"/>
      <c r="B10" s="71"/>
      <c r="C10" s="71"/>
      <c r="D10" s="71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12" t="s">
        <v>58</v>
      </c>
      <c r="B1" s="88" t="s">
        <v>58</v>
      </c>
      <c r="C1" s="90">
        <v>2017.0</v>
      </c>
      <c r="D1" s="90" t="s">
        <v>58</v>
      </c>
      <c r="E1" s="90" t="s">
        <v>58</v>
      </c>
      <c r="F1" s="90" t="s">
        <v>58</v>
      </c>
      <c r="G1" s="90" t="s">
        <v>58</v>
      </c>
      <c r="H1" s="90" t="s">
        <v>58</v>
      </c>
      <c r="I1" s="90" t="s">
        <v>58</v>
      </c>
      <c r="J1" s="90" t="s">
        <v>58</v>
      </c>
      <c r="K1" s="90" t="s">
        <v>58</v>
      </c>
      <c r="L1" s="90"/>
      <c r="M1" s="90" t="s">
        <v>58</v>
      </c>
      <c r="N1" s="90" t="s">
        <v>58</v>
      </c>
      <c r="O1" s="90" t="s">
        <v>58</v>
      </c>
      <c r="P1" s="90" t="s">
        <v>58</v>
      </c>
      <c r="Q1" s="90" t="s">
        <v>58</v>
      </c>
      <c r="R1" s="90" t="s">
        <v>58</v>
      </c>
      <c r="S1" s="90" t="s">
        <v>58</v>
      </c>
      <c r="T1" s="90" t="s">
        <v>58</v>
      </c>
      <c r="U1" s="90" t="s">
        <v>58</v>
      </c>
      <c r="Y1" s="90" t="s">
        <v>58</v>
      </c>
      <c r="Z1" s="90" t="s">
        <v>58</v>
      </c>
      <c r="AA1" s="90" t="s">
        <v>58</v>
      </c>
      <c r="AB1" s="90" t="s">
        <v>58</v>
      </c>
      <c r="AC1" s="90" t="s">
        <v>58</v>
      </c>
      <c r="AH1" s="90" t="s">
        <v>58</v>
      </c>
      <c r="AI1" s="90" t="s">
        <v>58</v>
      </c>
      <c r="AJ1" s="90" t="s">
        <v>58</v>
      </c>
      <c r="AK1" s="90" t="s">
        <v>58</v>
      </c>
      <c r="AL1" s="90" t="s">
        <v>58</v>
      </c>
    </row>
    <row r="2" ht="15.75" customHeight="1">
      <c r="A2" s="12" t="s">
        <v>58</v>
      </c>
      <c r="B2" s="88" t="s">
        <v>58</v>
      </c>
      <c r="C2" s="12" t="s">
        <v>62</v>
      </c>
      <c r="D2" s="12" t="s">
        <v>63</v>
      </c>
      <c r="E2" s="12" t="s">
        <v>64</v>
      </c>
      <c r="F2" s="12" t="s">
        <v>65</v>
      </c>
      <c r="G2" s="12" t="s">
        <v>66</v>
      </c>
      <c r="H2" s="12" t="s">
        <v>67</v>
      </c>
      <c r="I2" s="12" t="s">
        <v>68</v>
      </c>
      <c r="J2" s="12" t="s">
        <v>69</v>
      </c>
      <c r="K2" s="12" t="s">
        <v>70</v>
      </c>
      <c r="L2" s="12" t="s">
        <v>71</v>
      </c>
      <c r="M2" s="12" t="s">
        <v>72</v>
      </c>
      <c r="N2" s="12" t="s">
        <v>73</v>
      </c>
      <c r="O2" s="12" t="s">
        <v>74</v>
      </c>
      <c r="P2" s="12" t="s">
        <v>24</v>
      </c>
      <c r="Q2" s="12" t="s">
        <v>75</v>
      </c>
      <c r="R2" s="12" t="s">
        <v>76</v>
      </c>
      <c r="S2" s="12" t="s">
        <v>78</v>
      </c>
      <c r="T2" s="12" t="s">
        <v>79</v>
      </c>
      <c r="U2" s="12" t="s">
        <v>80</v>
      </c>
      <c r="Y2" s="12" t="s">
        <v>81</v>
      </c>
      <c r="Z2" s="12" t="s">
        <v>82</v>
      </c>
      <c r="AA2" s="12" t="s">
        <v>83</v>
      </c>
      <c r="AB2" s="12" t="s">
        <v>84</v>
      </c>
      <c r="AC2" s="12" t="s">
        <v>28</v>
      </c>
      <c r="AH2" s="12" t="s">
        <v>26</v>
      </c>
      <c r="AI2" s="12" t="s">
        <v>85</v>
      </c>
      <c r="AJ2" s="12" t="s">
        <v>86</v>
      </c>
      <c r="AK2" s="12" t="s">
        <v>29</v>
      </c>
      <c r="AL2" s="12" t="s">
        <v>87</v>
      </c>
    </row>
    <row r="3" ht="15.75" customHeight="1">
      <c r="A3" s="90">
        <v>1985.0</v>
      </c>
      <c r="B3" s="88" t="s">
        <v>64</v>
      </c>
      <c r="C3" s="95">
        <v>6640658.1234949</v>
      </c>
      <c r="D3" s="12">
        <v>334692.74956039</v>
      </c>
      <c r="E3" s="95">
        <v>3.2748752219218E7</v>
      </c>
      <c r="F3" s="95">
        <v>5911722.5038574</v>
      </c>
      <c r="G3" s="95">
        <v>595157.50959073</v>
      </c>
      <c r="H3" s="95">
        <v>1649613.8993811</v>
      </c>
      <c r="I3" s="95">
        <v>131117.94337042</v>
      </c>
      <c r="J3" s="95" t="s">
        <v>88</v>
      </c>
      <c r="K3" s="95">
        <v>1037177.9971152</v>
      </c>
      <c r="L3" s="95">
        <f t="shared" ref="L3:L7" si="1">SUM(M3:AL3)</f>
        <v>215147.6404</v>
      </c>
      <c r="M3" s="12">
        <v>1377.516026654</v>
      </c>
      <c r="N3" s="12" t="s">
        <v>88</v>
      </c>
      <c r="O3" s="12" t="s">
        <v>88</v>
      </c>
      <c r="P3" s="12" t="s">
        <v>88</v>
      </c>
      <c r="Q3" s="12">
        <v>6439.0295028015</v>
      </c>
      <c r="R3" s="12">
        <v>12937.489300226</v>
      </c>
      <c r="S3" s="12">
        <v>4.2081865722656</v>
      </c>
      <c r="T3" s="12" t="s">
        <v>88</v>
      </c>
      <c r="U3" s="12">
        <v>41.225391046143</v>
      </c>
      <c r="Y3" s="12">
        <v>30.271406915283</v>
      </c>
      <c r="Z3" s="12" t="s">
        <v>88</v>
      </c>
      <c r="AA3" s="12">
        <v>1841.7452289978</v>
      </c>
      <c r="AB3" s="12">
        <v>801.19511436768</v>
      </c>
      <c r="AC3" s="12" t="s">
        <v>88</v>
      </c>
      <c r="AH3" s="12" t="s">
        <v>88</v>
      </c>
      <c r="AI3" s="12">
        <v>0.93086105957031</v>
      </c>
      <c r="AJ3" s="12">
        <v>1.5183484558106</v>
      </c>
      <c r="AK3" s="12" t="s">
        <v>88</v>
      </c>
      <c r="AL3" s="12">
        <v>191672.51103137</v>
      </c>
    </row>
    <row r="4" ht="15.75" customHeight="1">
      <c r="A4" s="90">
        <v>1985.0</v>
      </c>
      <c r="B4" s="88" t="s">
        <v>65</v>
      </c>
      <c r="C4" s="95">
        <v>9182233.5997928</v>
      </c>
      <c r="D4" s="12">
        <v>3370551.7779101</v>
      </c>
      <c r="E4" s="95">
        <v>3181352.4987276</v>
      </c>
      <c r="F4" s="95">
        <v>4.0719446729897E7</v>
      </c>
      <c r="G4" s="95">
        <v>386646.90781805</v>
      </c>
      <c r="H4" s="95">
        <v>4461769.9338386</v>
      </c>
      <c r="I4" s="95">
        <v>89052.774382806</v>
      </c>
      <c r="J4" s="95" t="s">
        <v>88</v>
      </c>
      <c r="K4" s="95">
        <v>1369796.9039555</v>
      </c>
      <c r="L4" s="95">
        <f t="shared" si="1"/>
        <v>133641.0545</v>
      </c>
      <c r="M4" s="12">
        <v>2172.3169566773</v>
      </c>
      <c r="N4" s="12" t="s">
        <v>88</v>
      </c>
      <c r="O4" s="12" t="s">
        <v>88</v>
      </c>
      <c r="P4" s="12" t="s">
        <v>88</v>
      </c>
      <c r="Q4" s="12">
        <v>14.824047589111</v>
      </c>
      <c r="R4" s="12">
        <v>23307.9949513</v>
      </c>
      <c r="S4" s="12">
        <v>2.731044140625</v>
      </c>
      <c r="T4" s="12" t="s">
        <v>88</v>
      </c>
      <c r="U4" s="12">
        <v>41.22683994751</v>
      </c>
      <c r="Y4" s="12">
        <v>41.972004290771</v>
      </c>
      <c r="Z4" s="12" t="s">
        <v>88</v>
      </c>
      <c r="AA4" s="12">
        <v>2010.8362333435</v>
      </c>
      <c r="AB4" s="12">
        <v>1066.1409171204</v>
      </c>
      <c r="AC4" s="12" t="s">
        <v>88</v>
      </c>
      <c r="AH4" s="12" t="s">
        <v>88</v>
      </c>
      <c r="AI4" s="12" t="s">
        <v>88</v>
      </c>
      <c r="AJ4" s="12">
        <v>1.5948858581543</v>
      </c>
      <c r="AK4" s="12" t="s">
        <v>88</v>
      </c>
      <c r="AL4" s="12">
        <v>104981.41664799</v>
      </c>
    </row>
    <row r="5" ht="15.75" customHeight="1">
      <c r="A5" s="90">
        <v>1985.0</v>
      </c>
      <c r="B5" s="88" t="s">
        <v>26</v>
      </c>
      <c r="C5" s="95" t="s">
        <v>88</v>
      </c>
      <c r="D5" s="12" t="s">
        <v>88</v>
      </c>
      <c r="E5" s="95" t="s">
        <v>88</v>
      </c>
      <c r="F5" s="95" t="s">
        <v>88</v>
      </c>
      <c r="G5" s="95" t="s">
        <v>88</v>
      </c>
      <c r="H5" s="95" t="s">
        <v>88</v>
      </c>
      <c r="I5" s="95" t="s">
        <v>88</v>
      </c>
      <c r="J5" s="95" t="s">
        <v>88</v>
      </c>
      <c r="K5" s="95" t="s">
        <v>88</v>
      </c>
      <c r="L5" s="95">
        <f t="shared" si="1"/>
        <v>0.1784661011</v>
      </c>
      <c r="M5" s="12" t="s">
        <v>88</v>
      </c>
      <c r="N5" s="12" t="s">
        <v>88</v>
      </c>
      <c r="O5" s="12" t="s">
        <v>88</v>
      </c>
      <c r="P5" s="12" t="s">
        <v>88</v>
      </c>
      <c r="Q5" s="12" t="s">
        <v>88</v>
      </c>
      <c r="R5" s="12" t="s">
        <v>88</v>
      </c>
      <c r="S5" s="12" t="s">
        <v>88</v>
      </c>
      <c r="T5" s="12" t="s">
        <v>88</v>
      </c>
      <c r="U5" s="12" t="s">
        <v>88</v>
      </c>
      <c r="Y5" s="12" t="s">
        <v>88</v>
      </c>
      <c r="Z5" s="12" t="s">
        <v>88</v>
      </c>
      <c r="AA5" s="12" t="s">
        <v>88</v>
      </c>
      <c r="AB5" s="12" t="s">
        <v>88</v>
      </c>
      <c r="AC5" s="12" t="s">
        <v>88</v>
      </c>
      <c r="AH5" s="12">
        <v>0.17846610107422</v>
      </c>
      <c r="AI5" s="12" t="s">
        <v>88</v>
      </c>
      <c r="AJ5" s="12" t="s">
        <v>88</v>
      </c>
      <c r="AK5" s="12" t="s">
        <v>88</v>
      </c>
      <c r="AL5" s="12" t="s">
        <v>88</v>
      </c>
    </row>
    <row r="6" ht="15.75" customHeight="1">
      <c r="A6" s="90">
        <v>1985.0</v>
      </c>
      <c r="B6" s="88" t="s">
        <v>63</v>
      </c>
      <c r="C6" s="95">
        <v>1574487.064632</v>
      </c>
      <c r="D6" s="12">
        <v>1.7389606651641E7</v>
      </c>
      <c r="E6" s="95">
        <v>183642.82244149</v>
      </c>
      <c r="F6" s="95">
        <v>2489874.6527767</v>
      </c>
      <c r="G6" s="95">
        <v>91164.412490716</v>
      </c>
      <c r="H6" s="95">
        <v>1493830.2921135</v>
      </c>
      <c r="I6" s="95">
        <v>30597.917795227</v>
      </c>
      <c r="J6" s="95" t="s">
        <v>88</v>
      </c>
      <c r="K6" s="95">
        <v>501182.81692306</v>
      </c>
      <c r="L6" s="95">
        <f t="shared" si="1"/>
        <v>57095.97696</v>
      </c>
      <c r="M6" s="12">
        <v>2679.5681428955</v>
      </c>
      <c r="N6" s="12" t="s">
        <v>88</v>
      </c>
      <c r="O6" s="12" t="s">
        <v>88</v>
      </c>
      <c r="P6" s="12" t="s">
        <v>88</v>
      </c>
      <c r="Q6" s="12">
        <v>109.75527589111</v>
      </c>
      <c r="R6" s="12">
        <v>12949.911246466</v>
      </c>
      <c r="S6" s="12">
        <v>0.79891500854492</v>
      </c>
      <c r="T6" s="12" t="s">
        <v>88</v>
      </c>
      <c r="U6" s="12">
        <v>12.044716827393</v>
      </c>
      <c r="Y6" s="12">
        <v>55.015802917481</v>
      </c>
      <c r="Z6" s="12" t="s">
        <v>88</v>
      </c>
      <c r="AA6" s="12">
        <v>2870.7179434387</v>
      </c>
      <c r="AB6" s="12">
        <v>1214.7600950745</v>
      </c>
      <c r="AC6" s="12" t="s">
        <v>88</v>
      </c>
      <c r="AH6" s="12" t="s">
        <v>88</v>
      </c>
      <c r="AI6" s="12" t="s">
        <v>88</v>
      </c>
      <c r="AJ6" s="12">
        <v>39.439852233887</v>
      </c>
      <c r="AK6" s="12" t="s">
        <v>88</v>
      </c>
      <c r="AL6" s="12">
        <v>37163.964968427</v>
      </c>
    </row>
    <row r="7" ht="15.75" customHeight="1">
      <c r="A7" s="90">
        <v>1985.0</v>
      </c>
      <c r="B7" s="88" t="s">
        <v>66</v>
      </c>
      <c r="C7" s="95">
        <v>29622.562168249</v>
      </c>
      <c r="D7" s="12">
        <v>10957.498900287</v>
      </c>
      <c r="E7" s="95">
        <v>40012.079309082</v>
      </c>
      <c r="F7" s="95">
        <v>23430.796663062</v>
      </c>
      <c r="G7" s="95">
        <v>343438.9805044</v>
      </c>
      <c r="H7" s="95">
        <v>37236.433051282</v>
      </c>
      <c r="I7" s="95">
        <v>6697.3877895203</v>
      </c>
      <c r="J7" s="95" t="s">
        <v>88</v>
      </c>
      <c r="K7" s="95">
        <v>24046.344274878</v>
      </c>
      <c r="L7" s="95">
        <f t="shared" si="1"/>
        <v>195.0389346</v>
      </c>
      <c r="M7" s="12" t="s">
        <v>88</v>
      </c>
      <c r="N7" s="12" t="s">
        <v>88</v>
      </c>
      <c r="O7" s="12" t="s">
        <v>88</v>
      </c>
      <c r="P7" s="12" t="s">
        <v>88</v>
      </c>
      <c r="Q7" s="12" t="s">
        <v>88</v>
      </c>
      <c r="R7" s="12">
        <v>66.034490087891</v>
      </c>
      <c r="S7" s="12">
        <v>0.43017806396484</v>
      </c>
      <c r="T7" s="12" t="s">
        <v>88</v>
      </c>
      <c r="U7" s="12">
        <v>0.086067425537109</v>
      </c>
      <c r="Y7" s="12" t="s">
        <v>88</v>
      </c>
      <c r="Z7" s="12" t="s">
        <v>88</v>
      </c>
      <c r="AA7" s="12">
        <v>43.31562722168</v>
      </c>
      <c r="AB7" s="12">
        <v>19.233795544434</v>
      </c>
      <c r="AC7" s="12" t="s">
        <v>88</v>
      </c>
      <c r="AH7" s="12" t="s">
        <v>88</v>
      </c>
      <c r="AI7" s="12" t="s">
        <v>88</v>
      </c>
      <c r="AJ7" s="12" t="s">
        <v>88</v>
      </c>
      <c r="AK7" s="12" t="s">
        <v>88</v>
      </c>
      <c r="AL7" s="12">
        <v>65.938776306152</v>
      </c>
    </row>
    <row r="8" ht="15.75" customHeight="1">
      <c r="A8" s="90">
        <v>1985.0</v>
      </c>
      <c r="B8" s="106" t="s">
        <v>73</v>
      </c>
      <c r="C8" s="10">
        <f t="shared" ref="C8:L8" si="2">C9+C10</f>
        <v>238074.7503</v>
      </c>
      <c r="D8" s="6">
        <f t="shared" si="2"/>
        <v>69143.61933</v>
      </c>
      <c r="E8" s="10">
        <f t="shared" si="2"/>
        <v>13317.22729</v>
      </c>
      <c r="F8" s="10">
        <f t="shared" si="2"/>
        <v>8009.8403</v>
      </c>
      <c r="G8" s="10">
        <f t="shared" si="2"/>
        <v>16550.08094</v>
      </c>
      <c r="H8" s="10">
        <f t="shared" si="2"/>
        <v>3719079.86</v>
      </c>
      <c r="I8" s="10">
        <f t="shared" si="2"/>
        <v>1128412.956</v>
      </c>
      <c r="J8" s="10" t="str">
        <f t="shared" si="2"/>
        <v>#VALUE!</v>
      </c>
      <c r="K8" s="10">
        <f t="shared" si="2"/>
        <v>163736.2178</v>
      </c>
      <c r="L8" s="10">
        <f t="shared" si="2"/>
        <v>13732.08976</v>
      </c>
    </row>
    <row r="9" ht="15.75" customHeight="1">
      <c r="A9" s="90">
        <v>1985.0</v>
      </c>
      <c r="B9" s="88" t="s">
        <v>67</v>
      </c>
      <c r="C9" s="95">
        <v>233791.71676124</v>
      </c>
      <c r="D9" s="12">
        <v>68861.861245727</v>
      </c>
      <c r="E9" s="95">
        <v>10079.848300299</v>
      </c>
      <c r="F9" s="95">
        <v>7621.5840940857</v>
      </c>
      <c r="G9" s="95">
        <v>14513.611438965</v>
      </c>
      <c r="H9" s="95">
        <v>3683857.8563134</v>
      </c>
      <c r="I9" s="95">
        <v>318632.8852889</v>
      </c>
      <c r="J9" s="95" t="s">
        <v>88</v>
      </c>
      <c r="K9" s="95">
        <v>100235.02255435</v>
      </c>
      <c r="L9" s="95">
        <f t="shared" ref="L9:L37" si="3">SUM(M9:AL9)</f>
        <v>7849.992683</v>
      </c>
      <c r="M9" s="12" t="s">
        <v>88</v>
      </c>
      <c r="N9" s="12" t="s">
        <v>88</v>
      </c>
      <c r="O9" s="12" t="s">
        <v>88</v>
      </c>
      <c r="P9" s="12" t="s">
        <v>88</v>
      </c>
      <c r="Q9" s="12" t="s">
        <v>88</v>
      </c>
      <c r="R9" s="12">
        <v>7444.3826139526</v>
      </c>
      <c r="S9" s="12" t="s">
        <v>88</v>
      </c>
      <c r="T9" s="12" t="s">
        <v>88</v>
      </c>
      <c r="U9" s="12">
        <v>0.34357990722656</v>
      </c>
      <c r="Y9" s="12" t="s">
        <v>88</v>
      </c>
      <c r="Z9" s="12" t="s">
        <v>88</v>
      </c>
      <c r="AA9" s="12" t="s">
        <v>88</v>
      </c>
      <c r="AB9" s="12">
        <v>1.5908748840332</v>
      </c>
      <c r="AC9" s="12" t="s">
        <v>88</v>
      </c>
      <c r="AH9" s="12" t="s">
        <v>88</v>
      </c>
      <c r="AI9" s="12" t="s">
        <v>88</v>
      </c>
      <c r="AJ9" s="12" t="s">
        <v>88</v>
      </c>
      <c r="AK9" s="12" t="s">
        <v>88</v>
      </c>
      <c r="AL9" s="12">
        <v>403.67561425781</v>
      </c>
    </row>
    <row r="10" ht="15.75" customHeight="1">
      <c r="A10" s="90">
        <v>1985.0</v>
      </c>
      <c r="B10" s="88" t="s">
        <v>68</v>
      </c>
      <c r="C10" s="95">
        <v>4283.0335106689</v>
      </c>
      <c r="D10" s="12">
        <v>281.75808622437</v>
      </c>
      <c r="E10" s="95">
        <v>3237.3789908691</v>
      </c>
      <c r="F10" s="95">
        <v>388.25620634155</v>
      </c>
      <c r="G10" s="95">
        <v>2036.469503949</v>
      </c>
      <c r="H10" s="95">
        <v>35222.003454407</v>
      </c>
      <c r="I10" s="95">
        <v>809780.07061717</v>
      </c>
      <c r="J10" s="95" t="s">
        <v>88</v>
      </c>
      <c r="K10" s="95">
        <v>63501.195291827</v>
      </c>
      <c r="L10" s="95">
        <f t="shared" si="3"/>
        <v>5882.097082</v>
      </c>
      <c r="M10" s="12" t="s">
        <v>88</v>
      </c>
      <c r="N10" s="12" t="s">
        <v>88</v>
      </c>
      <c r="O10" s="12" t="s">
        <v>88</v>
      </c>
      <c r="P10" s="12" t="s">
        <v>88</v>
      </c>
      <c r="Q10" s="12" t="s">
        <v>88</v>
      </c>
      <c r="R10" s="12">
        <v>5521.7438858094</v>
      </c>
      <c r="S10" s="12" t="s">
        <v>88</v>
      </c>
      <c r="T10" s="12" t="s">
        <v>88</v>
      </c>
      <c r="U10" s="12">
        <v>0.083043383789063</v>
      </c>
      <c r="Y10" s="12" t="s">
        <v>88</v>
      </c>
      <c r="Z10" s="12" t="s">
        <v>88</v>
      </c>
      <c r="AA10" s="12" t="s">
        <v>88</v>
      </c>
      <c r="AB10" s="12">
        <v>0.82992174072266</v>
      </c>
      <c r="AC10" s="12" t="s">
        <v>88</v>
      </c>
      <c r="AH10" s="12" t="s">
        <v>88</v>
      </c>
      <c r="AI10" s="12" t="s">
        <v>88</v>
      </c>
      <c r="AJ10" s="12" t="s">
        <v>88</v>
      </c>
      <c r="AK10" s="12" t="s">
        <v>88</v>
      </c>
      <c r="AL10" s="12">
        <v>359.44023057251</v>
      </c>
    </row>
    <row r="11" ht="15.75" customHeight="1">
      <c r="A11" s="90">
        <v>1985.0</v>
      </c>
      <c r="B11" s="88" t="s">
        <v>70</v>
      </c>
      <c r="C11" s="95">
        <v>4896199.9227766</v>
      </c>
      <c r="D11" s="12">
        <v>1171056.9272399</v>
      </c>
      <c r="E11" s="95">
        <v>650071.80236093</v>
      </c>
      <c r="F11" s="95">
        <v>1930398.6037316</v>
      </c>
      <c r="G11" s="95">
        <v>225113.38422596</v>
      </c>
      <c r="H11" s="95">
        <v>3615675.672043</v>
      </c>
      <c r="I11" s="95">
        <v>1103003.5963613</v>
      </c>
      <c r="J11" s="95" t="s">
        <v>88</v>
      </c>
      <c r="K11" s="95">
        <v>8609340.823057</v>
      </c>
      <c r="L11" s="95">
        <f t="shared" si="3"/>
        <v>96767.9939</v>
      </c>
      <c r="M11" s="12">
        <v>1943.8012818787</v>
      </c>
      <c r="N11" s="12" t="s">
        <v>88</v>
      </c>
      <c r="O11" s="12" t="s">
        <v>88</v>
      </c>
      <c r="P11" s="12" t="s">
        <v>88</v>
      </c>
      <c r="Q11" s="12">
        <v>1.7862473693848</v>
      </c>
      <c r="R11" s="12">
        <v>56391.440836029</v>
      </c>
      <c r="S11" s="12">
        <v>1.6162308898926</v>
      </c>
      <c r="T11" s="12" t="s">
        <v>88</v>
      </c>
      <c r="U11" s="12">
        <v>12.733522717285</v>
      </c>
      <c r="Y11" s="12">
        <v>4.9105706848145</v>
      </c>
      <c r="Z11" s="12" t="s">
        <v>88</v>
      </c>
      <c r="AA11" s="12">
        <v>986.46983688965</v>
      </c>
      <c r="AB11" s="12">
        <v>776.13617723389</v>
      </c>
      <c r="AC11" s="12" t="s">
        <v>88</v>
      </c>
      <c r="AH11" s="12" t="s">
        <v>88</v>
      </c>
      <c r="AI11" s="12" t="s">
        <v>88</v>
      </c>
      <c r="AJ11" s="12">
        <v>0.76052543334961</v>
      </c>
      <c r="AK11" s="12" t="s">
        <v>88</v>
      </c>
      <c r="AL11" s="12">
        <v>36648.338673566</v>
      </c>
    </row>
    <row r="12" ht="15.75" customHeight="1">
      <c r="A12" s="90">
        <v>1985.0</v>
      </c>
      <c r="B12" s="88" t="s">
        <v>62</v>
      </c>
      <c r="C12" s="95">
        <v>2.4748194492475E7</v>
      </c>
      <c r="D12" s="12">
        <v>404439.37934474</v>
      </c>
      <c r="E12" s="95">
        <v>980917.70159404</v>
      </c>
      <c r="F12" s="95">
        <v>1295763.0108409</v>
      </c>
      <c r="G12" s="95">
        <v>721394.33885808</v>
      </c>
      <c r="H12" s="95">
        <v>4187180.2134543</v>
      </c>
      <c r="I12" s="95">
        <v>1618112.9598903</v>
      </c>
      <c r="J12" s="95" t="s">
        <v>88</v>
      </c>
      <c r="K12" s="95">
        <v>2910078.3662103</v>
      </c>
      <c r="L12" s="95">
        <f t="shared" si="3"/>
        <v>135742.3267</v>
      </c>
      <c r="M12" s="12" t="s">
        <v>88</v>
      </c>
      <c r="N12" s="12" t="s">
        <v>88</v>
      </c>
      <c r="O12" s="12" t="s">
        <v>88</v>
      </c>
      <c r="P12" s="12" t="s">
        <v>88</v>
      </c>
      <c r="Q12" s="12" t="s">
        <v>88</v>
      </c>
      <c r="R12" s="12">
        <v>80844.798397254</v>
      </c>
      <c r="S12" s="12">
        <v>1.0955579040527</v>
      </c>
      <c r="T12" s="12" t="s">
        <v>88</v>
      </c>
      <c r="U12" s="12">
        <v>10.349404425049</v>
      </c>
      <c r="Y12" s="12" t="s">
        <v>88</v>
      </c>
      <c r="Z12" s="12" t="s">
        <v>88</v>
      </c>
      <c r="AA12" s="12">
        <v>255.73134821167</v>
      </c>
      <c r="AB12" s="12">
        <v>1617.0579689819</v>
      </c>
      <c r="AC12" s="12" t="s">
        <v>88</v>
      </c>
      <c r="AH12" s="12" t="s">
        <v>88</v>
      </c>
      <c r="AI12" s="12" t="s">
        <v>88</v>
      </c>
      <c r="AJ12" s="12" t="s">
        <v>88</v>
      </c>
      <c r="AK12" s="12" t="s">
        <v>88</v>
      </c>
      <c r="AL12" s="12">
        <v>53013.294055768</v>
      </c>
    </row>
    <row r="13" ht="15.75" customHeight="1">
      <c r="B13" s="106" t="s">
        <v>71</v>
      </c>
      <c r="C13" s="10">
        <f t="shared" ref="C13:K13" si="4">SUM(C16:C37)</f>
        <v>54564.29832</v>
      </c>
      <c r="D13" s="6">
        <f t="shared" si="4"/>
        <v>41717.31036</v>
      </c>
      <c r="E13" s="10">
        <f t="shared" si="4"/>
        <v>31572.33643</v>
      </c>
      <c r="F13" s="10">
        <f t="shared" si="4"/>
        <v>41459.17322</v>
      </c>
      <c r="G13" s="10">
        <f t="shared" si="4"/>
        <v>537.1322658</v>
      </c>
      <c r="H13" s="10">
        <f t="shared" si="4"/>
        <v>7388.633919</v>
      </c>
      <c r="I13" s="10">
        <f t="shared" si="4"/>
        <v>209.5368407</v>
      </c>
      <c r="J13" s="10">
        <f t="shared" si="4"/>
        <v>0</v>
      </c>
      <c r="K13" s="10">
        <f t="shared" si="4"/>
        <v>41053.27986</v>
      </c>
      <c r="L13" s="95">
        <f t="shared" si="3"/>
        <v>1589927.576</v>
      </c>
      <c r="M13" s="6">
        <f t="shared" ref="M13:U13" si="5">SUM(M16:M37)</f>
        <v>91576.00193</v>
      </c>
      <c r="N13" s="6">
        <f t="shared" si="5"/>
        <v>0</v>
      </c>
      <c r="O13" s="6">
        <f t="shared" si="5"/>
        <v>0</v>
      </c>
      <c r="P13" s="6">
        <f t="shared" si="5"/>
        <v>0</v>
      </c>
      <c r="Q13" s="6">
        <f t="shared" si="5"/>
        <v>64070.85055</v>
      </c>
      <c r="R13" s="6">
        <f t="shared" si="5"/>
        <v>304355.4446</v>
      </c>
      <c r="S13" s="6">
        <f t="shared" si="5"/>
        <v>77.32971059</v>
      </c>
      <c r="T13" s="6">
        <f t="shared" si="5"/>
        <v>0</v>
      </c>
      <c r="U13" s="6">
        <f t="shared" si="5"/>
        <v>6601.387018</v>
      </c>
      <c r="Y13" s="6">
        <f t="shared" ref="Y13:AC13" si="6">SUM(Y16:Y37)</f>
        <v>1213.70379</v>
      </c>
      <c r="Z13" s="6">
        <f t="shared" si="6"/>
        <v>0</v>
      </c>
      <c r="AA13" s="6">
        <f t="shared" si="6"/>
        <v>61263.50278</v>
      </c>
      <c r="AB13" s="6">
        <f t="shared" si="6"/>
        <v>1065.554291</v>
      </c>
      <c r="AC13" s="6">
        <f t="shared" si="6"/>
        <v>0</v>
      </c>
      <c r="AH13" s="6">
        <f t="shared" ref="AH13:AL13" si="7">SUM(AH16:AH37)</f>
        <v>0</v>
      </c>
      <c r="AI13" s="6">
        <f t="shared" si="7"/>
        <v>14.58731304</v>
      </c>
      <c r="AJ13" s="6">
        <f t="shared" si="7"/>
        <v>34175.42335</v>
      </c>
      <c r="AK13" s="6">
        <f t="shared" si="7"/>
        <v>0</v>
      </c>
      <c r="AL13" s="6">
        <f t="shared" si="7"/>
        <v>1025513.791</v>
      </c>
    </row>
    <row r="14" ht="15.75" hidden="1" customHeight="1">
      <c r="B14" s="106"/>
      <c r="L14" s="12">
        <f t="shared" si="3"/>
        <v>0</v>
      </c>
    </row>
    <row r="15" ht="15.75" hidden="1" customHeight="1">
      <c r="B15" s="106"/>
      <c r="L15" s="12">
        <f t="shared" si="3"/>
        <v>0</v>
      </c>
    </row>
    <row r="16" ht="15.75" hidden="1" customHeight="1">
      <c r="A16" s="90">
        <v>1985.0</v>
      </c>
      <c r="B16" s="88" t="s">
        <v>72</v>
      </c>
      <c r="C16" s="12">
        <v>306.19951082764</v>
      </c>
      <c r="D16" s="12">
        <v>357.54226670532</v>
      </c>
      <c r="E16" s="12">
        <v>41.430357757568</v>
      </c>
      <c r="F16" s="12">
        <v>1536.1573718933</v>
      </c>
      <c r="G16" s="12" t="s">
        <v>88</v>
      </c>
      <c r="H16" s="12" t="s">
        <v>88</v>
      </c>
      <c r="I16" s="12" t="s">
        <v>88</v>
      </c>
      <c r="J16" s="12" t="s">
        <v>88</v>
      </c>
      <c r="K16" s="12">
        <v>637.89745943604</v>
      </c>
      <c r="L16" s="12">
        <f t="shared" si="3"/>
        <v>85433.10549</v>
      </c>
      <c r="M16" s="12">
        <v>78805.298009576</v>
      </c>
      <c r="N16" s="12" t="s">
        <v>88</v>
      </c>
      <c r="O16" s="12" t="s">
        <v>88</v>
      </c>
      <c r="P16" s="12" t="s">
        <v>88</v>
      </c>
      <c r="Q16" s="12">
        <v>69.309059106445</v>
      </c>
      <c r="R16" s="12">
        <v>30.714671801758</v>
      </c>
      <c r="S16" s="12" t="s">
        <v>88</v>
      </c>
      <c r="T16" s="12" t="s">
        <v>88</v>
      </c>
      <c r="U16" s="12">
        <v>70.823418670654</v>
      </c>
      <c r="Y16" s="12">
        <v>14.200304937744</v>
      </c>
      <c r="Z16" s="12" t="s">
        <v>88</v>
      </c>
      <c r="AA16" s="12" t="s">
        <v>88</v>
      </c>
      <c r="AB16" s="12" t="s">
        <v>88</v>
      </c>
      <c r="AC16" s="12" t="s">
        <v>88</v>
      </c>
      <c r="AH16" s="12" t="s">
        <v>88</v>
      </c>
      <c r="AI16" s="12" t="s">
        <v>88</v>
      </c>
      <c r="AJ16" s="12" t="s">
        <v>88</v>
      </c>
      <c r="AK16" s="12" t="s">
        <v>88</v>
      </c>
      <c r="AL16" s="12">
        <v>6442.7600242798</v>
      </c>
    </row>
    <row r="17" ht="15.75" hidden="1" customHeight="1">
      <c r="A17" s="90">
        <v>1985.0</v>
      </c>
      <c r="B17" s="88" t="s">
        <v>73</v>
      </c>
      <c r="C17" s="12" t="s">
        <v>88</v>
      </c>
      <c r="D17" s="12" t="s">
        <v>88</v>
      </c>
      <c r="E17" s="12" t="s">
        <v>88</v>
      </c>
      <c r="F17" s="12" t="s">
        <v>88</v>
      </c>
      <c r="G17" s="12" t="s">
        <v>88</v>
      </c>
      <c r="H17" s="12" t="s">
        <v>88</v>
      </c>
      <c r="I17" s="12" t="s">
        <v>88</v>
      </c>
      <c r="J17" s="12" t="s">
        <v>88</v>
      </c>
      <c r="K17" s="12" t="s">
        <v>88</v>
      </c>
      <c r="L17" s="12">
        <f t="shared" si="3"/>
        <v>0</v>
      </c>
      <c r="M17" s="12" t="s">
        <v>88</v>
      </c>
      <c r="N17" s="12" t="s">
        <v>88</v>
      </c>
      <c r="O17" s="12" t="s">
        <v>88</v>
      </c>
      <c r="P17" s="12" t="s">
        <v>88</v>
      </c>
      <c r="Q17" s="12" t="s">
        <v>88</v>
      </c>
      <c r="R17" s="12" t="s">
        <v>88</v>
      </c>
      <c r="S17" s="12" t="s">
        <v>88</v>
      </c>
      <c r="T17" s="12" t="s">
        <v>88</v>
      </c>
      <c r="U17" s="12" t="s">
        <v>88</v>
      </c>
      <c r="Y17" s="12" t="s">
        <v>88</v>
      </c>
      <c r="Z17" s="12" t="s">
        <v>88</v>
      </c>
      <c r="AA17" s="12" t="s">
        <v>88</v>
      </c>
      <c r="AB17" s="12" t="s">
        <v>88</v>
      </c>
      <c r="AC17" s="12" t="s">
        <v>88</v>
      </c>
      <c r="AH17" s="12" t="s">
        <v>88</v>
      </c>
      <c r="AI17" s="12" t="s">
        <v>88</v>
      </c>
      <c r="AJ17" s="12" t="s">
        <v>88</v>
      </c>
      <c r="AK17" s="12" t="s">
        <v>88</v>
      </c>
      <c r="AL17" s="12" t="s">
        <v>88</v>
      </c>
    </row>
    <row r="18" ht="15.75" hidden="1" customHeight="1">
      <c r="A18" s="90">
        <v>1985.0</v>
      </c>
      <c r="B18" s="88" t="s">
        <v>74</v>
      </c>
      <c r="C18" s="12" t="s">
        <v>88</v>
      </c>
      <c r="D18" s="12" t="s">
        <v>88</v>
      </c>
      <c r="E18" s="12" t="s">
        <v>88</v>
      </c>
      <c r="F18" s="12" t="s">
        <v>88</v>
      </c>
      <c r="G18" s="12" t="s">
        <v>88</v>
      </c>
      <c r="H18" s="12" t="s">
        <v>88</v>
      </c>
      <c r="I18" s="12" t="s">
        <v>88</v>
      </c>
      <c r="J18" s="12" t="s">
        <v>88</v>
      </c>
      <c r="K18" s="12" t="s">
        <v>88</v>
      </c>
      <c r="L18" s="12">
        <f t="shared" si="3"/>
        <v>0</v>
      </c>
      <c r="M18" s="12" t="s">
        <v>88</v>
      </c>
      <c r="N18" s="12" t="s">
        <v>88</v>
      </c>
      <c r="O18" s="12" t="s">
        <v>88</v>
      </c>
      <c r="P18" s="12" t="s">
        <v>88</v>
      </c>
      <c r="Q18" s="12" t="s">
        <v>88</v>
      </c>
      <c r="R18" s="12" t="s">
        <v>88</v>
      </c>
      <c r="S18" s="12" t="s">
        <v>88</v>
      </c>
      <c r="T18" s="12" t="s">
        <v>88</v>
      </c>
      <c r="U18" s="12" t="s">
        <v>88</v>
      </c>
      <c r="Y18" s="12" t="s">
        <v>88</v>
      </c>
      <c r="Z18" s="12" t="s">
        <v>88</v>
      </c>
      <c r="AA18" s="12" t="s">
        <v>88</v>
      </c>
      <c r="AB18" s="12" t="s">
        <v>88</v>
      </c>
      <c r="AC18" s="12" t="s">
        <v>88</v>
      </c>
      <c r="AH18" s="12" t="s">
        <v>88</v>
      </c>
      <c r="AI18" s="12" t="s">
        <v>88</v>
      </c>
      <c r="AJ18" s="12" t="s">
        <v>88</v>
      </c>
      <c r="AK18" s="12" t="s">
        <v>88</v>
      </c>
      <c r="AL18" s="12" t="s">
        <v>88</v>
      </c>
    </row>
    <row r="19" ht="15.75" hidden="1" customHeight="1">
      <c r="A19" s="90">
        <v>1985.0</v>
      </c>
      <c r="B19" s="88" t="s">
        <v>24</v>
      </c>
      <c r="C19" s="12" t="s">
        <v>88</v>
      </c>
      <c r="D19" s="12" t="s">
        <v>88</v>
      </c>
      <c r="E19" s="12" t="s">
        <v>88</v>
      </c>
      <c r="F19" s="12" t="s">
        <v>88</v>
      </c>
      <c r="G19" s="12" t="s">
        <v>88</v>
      </c>
      <c r="H19" s="12" t="s">
        <v>88</v>
      </c>
      <c r="I19" s="12" t="s">
        <v>88</v>
      </c>
      <c r="J19" s="12" t="s">
        <v>88</v>
      </c>
      <c r="K19" s="12" t="s">
        <v>88</v>
      </c>
      <c r="L19" s="12">
        <f t="shared" si="3"/>
        <v>0</v>
      </c>
      <c r="M19" s="12" t="s">
        <v>88</v>
      </c>
      <c r="N19" s="12" t="s">
        <v>88</v>
      </c>
      <c r="O19" s="12" t="s">
        <v>88</v>
      </c>
      <c r="P19" s="12" t="s">
        <v>88</v>
      </c>
      <c r="Q19" s="12" t="s">
        <v>88</v>
      </c>
      <c r="R19" s="12" t="s">
        <v>88</v>
      </c>
      <c r="S19" s="12" t="s">
        <v>88</v>
      </c>
      <c r="T19" s="12" t="s">
        <v>88</v>
      </c>
      <c r="U19" s="12" t="s">
        <v>88</v>
      </c>
      <c r="Y19" s="12" t="s">
        <v>88</v>
      </c>
      <c r="Z19" s="12" t="s">
        <v>88</v>
      </c>
      <c r="AA19" s="12" t="s">
        <v>88</v>
      </c>
      <c r="AB19" s="12" t="s">
        <v>88</v>
      </c>
      <c r="AC19" s="12" t="s">
        <v>88</v>
      </c>
      <c r="AH19" s="12" t="s">
        <v>88</v>
      </c>
      <c r="AI19" s="12" t="s">
        <v>88</v>
      </c>
      <c r="AJ19" s="12" t="s">
        <v>88</v>
      </c>
      <c r="AK19" s="12" t="s">
        <v>88</v>
      </c>
      <c r="AL19" s="12" t="s">
        <v>88</v>
      </c>
    </row>
    <row r="20" ht="15.75" hidden="1" customHeight="1">
      <c r="A20" s="90">
        <v>1985.0</v>
      </c>
      <c r="B20" s="88" t="s">
        <v>75</v>
      </c>
      <c r="C20" s="12">
        <v>8.3931282592773</v>
      </c>
      <c r="D20" s="12">
        <v>27.951086395264</v>
      </c>
      <c r="E20" s="12">
        <v>1245.6445475342</v>
      </c>
      <c r="F20" s="12">
        <v>113.41277747192</v>
      </c>
      <c r="G20" s="12" t="s">
        <v>88</v>
      </c>
      <c r="H20" s="12" t="s">
        <v>88</v>
      </c>
      <c r="I20" s="12" t="s">
        <v>88</v>
      </c>
      <c r="J20" s="12" t="s">
        <v>88</v>
      </c>
      <c r="K20" s="12">
        <v>0.98226637573242</v>
      </c>
      <c r="L20" s="12">
        <f t="shared" si="3"/>
        <v>62370.16771</v>
      </c>
      <c r="M20" s="12">
        <v>395.72673418579</v>
      </c>
      <c r="N20" s="12" t="s">
        <v>88</v>
      </c>
      <c r="O20" s="12" t="s">
        <v>88</v>
      </c>
      <c r="P20" s="12" t="s">
        <v>88</v>
      </c>
      <c r="Q20" s="12">
        <v>61054.762810486</v>
      </c>
      <c r="R20" s="12" t="s">
        <v>88</v>
      </c>
      <c r="S20" s="12" t="s">
        <v>88</v>
      </c>
      <c r="T20" s="12" t="s">
        <v>88</v>
      </c>
      <c r="U20" s="12">
        <v>0.80376389160156</v>
      </c>
      <c r="Y20" s="12">
        <v>7.9476601135254</v>
      </c>
      <c r="Z20" s="12" t="s">
        <v>88</v>
      </c>
      <c r="AA20" s="12" t="s">
        <v>88</v>
      </c>
      <c r="AB20" s="12" t="s">
        <v>88</v>
      </c>
      <c r="AC20" s="12" t="s">
        <v>88</v>
      </c>
      <c r="AH20" s="12" t="s">
        <v>88</v>
      </c>
      <c r="AI20" s="12" t="s">
        <v>88</v>
      </c>
      <c r="AJ20" s="12" t="s">
        <v>88</v>
      </c>
      <c r="AK20" s="12" t="s">
        <v>88</v>
      </c>
      <c r="AL20" s="12">
        <v>910.92673995361</v>
      </c>
    </row>
    <row r="21" ht="15.75" hidden="1" customHeight="1">
      <c r="A21" s="90">
        <v>1985.0</v>
      </c>
      <c r="B21" s="88" t="s">
        <v>76</v>
      </c>
      <c r="C21" s="12">
        <v>2727.2912579529</v>
      </c>
      <c r="D21" s="12">
        <v>1283.9443811707</v>
      </c>
      <c r="E21" s="12">
        <v>168.27292617187</v>
      </c>
      <c r="F21" s="12">
        <v>636.83931484375</v>
      </c>
      <c r="G21" s="12">
        <v>8.6294963867188</v>
      </c>
      <c r="H21" s="12">
        <v>364.50515925903</v>
      </c>
      <c r="I21" s="12">
        <v>27.69199107666</v>
      </c>
      <c r="J21" s="12" t="s">
        <v>88</v>
      </c>
      <c r="K21" s="12">
        <v>2779.5284360718</v>
      </c>
      <c r="L21" s="12">
        <f t="shared" si="3"/>
        <v>304383.5075</v>
      </c>
      <c r="M21" s="12">
        <v>4.3755710693359</v>
      </c>
      <c r="N21" s="12" t="s">
        <v>88</v>
      </c>
      <c r="O21" s="12" t="s">
        <v>88</v>
      </c>
      <c r="P21" s="12" t="s">
        <v>88</v>
      </c>
      <c r="Q21" s="12" t="s">
        <v>88</v>
      </c>
      <c r="R21" s="12">
        <v>304197.3713355</v>
      </c>
      <c r="S21" s="12" t="s">
        <v>88</v>
      </c>
      <c r="T21" s="12" t="s">
        <v>88</v>
      </c>
      <c r="U21" s="12">
        <v>0.082761181640625</v>
      </c>
      <c r="Y21" s="12" t="s">
        <v>88</v>
      </c>
      <c r="Z21" s="12" t="s">
        <v>88</v>
      </c>
      <c r="AA21" s="12">
        <v>1.112934967041</v>
      </c>
      <c r="AB21" s="12">
        <v>42.374251617432</v>
      </c>
      <c r="AC21" s="12" t="s">
        <v>88</v>
      </c>
      <c r="AH21" s="12" t="s">
        <v>88</v>
      </c>
      <c r="AI21" s="12" t="s">
        <v>88</v>
      </c>
      <c r="AJ21" s="12" t="s">
        <v>88</v>
      </c>
      <c r="AK21" s="12" t="s">
        <v>88</v>
      </c>
      <c r="AL21" s="12">
        <v>138.19065088501</v>
      </c>
    </row>
    <row r="22" ht="15.75" hidden="1" customHeight="1">
      <c r="A22" s="90">
        <v>1985.0</v>
      </c>
      <c r="B22" s="88" t="s">
        <v>78</v>
      </c>
      <c r="C22" s="12">
        <v>1.9776513305664</v>
      </c>
      <c r="D22" s="12">
        <v>1.2106197265625</v>
      </c>
      <c r="E22" s="12">
        <v>6.3556592590332</v>
      </c>
      <c r="F22" s="12">
        <v>1.7457490783691</v>
      </c>
      <c r="G22" s="12">
        <v>3.4993496704102</v>
      </c>
      <c r="H22" s="12">
        <v>1.0285165527344</v>
      </c>
      <c r="I22" s="12">
        <v>1.0935747436523</v>
      </c>
      <c r="J22" s="12" t="s">
        <v>88</v>
      </c>
      <c r="K22" s="12">
        <v>10.620119726562</v>
      </c>
      <c r="L22" s="12">
        <f t="shared" si="3"/>
        <v>75.75272722</v>
      </c>
      <c r="M22" s="12" t="s">
        <v>88</v>
      </c>
      <c r="N22" s="12" t="s">
        <v>88</v>
      </c>
      <c r="O22" s="12" t="s">
        <v>88</v>
      </c>
      <c r="P22" s="12" t="s">
        <v>88</v>
      </c>
      <c r="Q22" s="12" t="s">
        <v>88</v>
      </c>
      <c r="R22" s="12">
        <v>0.41979450073242</v>
      </c>
      <c r="S22" s="12">
        <v>74.216838201904</v>
      </c>
      <c r="T22" s="12" t="s">
        <v>88</v>
      </c>
      <c r="U22" s="12" t="s">
        <v>88</v>
      </c>
      <c r="Y22" s="12">
        <v>0.089314642333984</v>
      </c>
      <c r="Z22" s="12" t="s">
        <v>88</v>
      </c>
      <c r="AA22" s="12">
        <v>0.16841737060547</v>
      </c>
      <c r="AB22" s="12" t="s">
        <v>88</v>
      </c>
      <c r="AC22" s="12" t="s">
        <v>88</v>
      </c>
      <c r="AH22" s="12" t="s">
        <v>88</v>
      </c>
      <c r="AI22" s="12" t="s">
        <v>88</v>
      </c>
      <c r="AJ22" s="12" t="s">
        <v>88</v>
      </c>
      <c r="AK22" s="12" t="s">
        <v>88</v>
      </c>
      <c r="AL22" s="12">
        <v>0.8583625</v>
      </c>
    </row>
    <row r="23" ht="15.75" hidden="1" customHeight="1">
      <c r="A23" s="90">
        <v>1985.0</v>
      </c>
      <c r="B23" s="88" t="s">
        <v>79</v>
      </c>
      <c r="C23" s="12" t="s">
        <v>88</v>
      </c>
      <c r="D23" s="12" t="s">
        <v>88</v>
      </c>
      <c r="E23" s="12" t="s">
        <v>88</v>
      </c>
      <c r="F23" s="12" t="s">
        <v>88</v>
      </c>
      <c r="G23" s="12" t="s">
        <v>88</v>
      </c>
      <c r="H23" s="12" t="s">
        <v>88</v>
      </c>
      <c r="I23" s="12" t="s">
        <v>88</v>
      </c>
      <c r="J23" s="12" t="s">
        <v>88</v>
      </c>
      <c r="K23" s="12" t="s">
        <v>88</v>
      </c>
      <c r="L23" s="12">
        <f t="shared" si="3"/>
        <v>0</v>
      </c>
      <c r="M23" s="12" t="s">
        <v>88</v>
      </c>
      <c r="N23" s="12" t="s">
        <v>88</v>
      </c>
      <c r="O23" s="12" t="s">
        <v>88</v>
      </c>
      <c r="P23" s="12" t="s">
        <v>88</v>
      </c>
      <c r="Q23" s="12" t="s">
        <v>88</v>
      </c>
      <c r="R23" s="12" t="s">
        <v>88</v>
      </c>
      <c r="S23" s="12" t="s">
        <v>88</v>
      </c>
      <c r="T23" s="12" t="s">
        <v>88</v>
      </c>
      <c r="U23" s="12" t="s">
        <v>88</v>
      </c>
      <c r="Y23" s="12" t="s">
        <v>88</v>
      </c>
      <c r="Z23" s="12" t="s">
        <v>88</v>
      </c>
      <c r="AA23" s="12" t="s">
        <v>88</v>
      </c>
      <c r="AB23" s="12" t="s">
        <v>88</v>
      </c>
      <c r="AC23" s="12" t="s">
        <v>88</v>
      </c>
      <c r="AH23" s="12" t="s">
        <v>88</v>
      </c>
      <c r="AI23" s="12" t="s">
        <v>88</v>
      </c>
      <c r="AJ23" s="12" t="s">
        <v>88</v>
      </c>
      <c r="AK23" s="12" t="s">
        <v>88</v>
      </c>
      <c r="AL23" s="12" t="s">
        <v>88</v>
      </c>
    </row>
    <row r="24" ht="15.75" hidden="1" customHeight="1">
      <c r="A24" s="90">
        <v>1985.0</v>
      </c>
      <c r="B24" s="88" t="s">
        <v>80</v>
      </c>
      <c r="C24" s="12">
        <v>17.135784692383</v>
      </c>
      <c r="D24" s="12">
        <v>6.1694493652344</v>
      </c>
      <c r="E24" s="12">
        <v>15.76759911499</v>
      </c>
      <c r="F24" s="12">
        <v>18.21709185791</v>
      </c>
      <c r="G24" s="12">
        <v>0.93146700439453</v>
      </c>
      <c r="H24" s="12">
        <v>5.3424885375977</v>
      </c>
      <c r="I24" s="12">
        <v>0.50488153076172</v>
      </c>
      <c r="J24" s="12" t="s">
        <v>88</v>
      </c>
      <c r="K24" s="12">
        <v>8.9157261352539</v>
      </c>
      <c r="L24" s="12">
        <f t="shared" si="3"/>
        <v>6551.095769</v>
      </c>
      <c r="M24" s="12">
        <v>13.931154608154</v>
      </c>
      <c r="N24" s="12" t="s">
        <v>88</v>
      </c>
      <c r="O24" s="12" t="s">
        <v>88</v>
      </c>
      <c r="P24" s="12" t="s">
        <v>88</v>
      </c>
      <c r="Q24" s="12">
        <v>1.6074542175293</v>
      </c>
      <c r="R24" s="12">
        <v>1.1661789428711</v>
      </c>
      <c r="S24" s="12" t="s">
        <v>88</v>
      </c>
      <c r="T24" s="12" t="s">
        <v>88</v>
      </c>
      <c r="U24" s="12">
        <v>6516.5005418639</v>
      </c>
      <c r="Y24" s="12" t="s">
        <v>88</v>
      </c>
      <c r="Z24" s="12" t="s">
        <v>88</v>
      </c>
      <c r="AA24" s="12">
        <v>0.59658809204102</v>
      </c>
      <c r="AB24" s="12" t="s">
        <v>88</v>
      </c>
      <c r="AC24" s="12" t="s">
        <v>88</v>
      </c>
      <c r="AH24" s="12" t="s">
        <v>88</v>
      </c>
      <c r="AI24" s="12" t="s">
        <v>88</v>
      </c>
      <c r="AJ24" s="12" t="s">
        <v>88</v>
      </c>
      <c r="AK24" s="12" t="s">
        <v>88</v>
      </c>
      <c r="AL24" s="12">
        <v>17.293851043701</v>
      </c>
    </row>
    <row r="25" ht="15.75" hidden="1" customHeight="1">
      <c r="B25" s="106"/>
      <c r="L25" s="12">
        <f t="shared" si="3"/>
        <v>0</v>
      </c>
    </row>
    <row r="26" ht="15.75" hidden="1" customHeight="1">
      <c r="B26" s="106"/>
      <c r="L26" s="12">
        <f t="shared" si="3"/>
        <v>0</v>
      </c>
    </row>
    <row r="27" ht="15.75" hidden="1" customHeight="1">
      <c r="B27" s="106"/>
      <c r="L27" s="12">
        <f t="shared" si="3"/>
        <v>0</v>
      </c>
    </row>
    <row r="28" ht="15.75" hidden="1" customHeight="1">
      <c r="A28" s="90">
        <v>1985.0</v>
      </c>
      <c r="B28" s="88" t="s">
        <v>81</v>
      </c>
      <c r="C28" s="12">
        <v>0.44644481201172</v>
      </c>
      <c r="D28" s="12">
        <v>4.0176643981934</v>
      </c>
      <c r="E28" s="12">
        <v>40.181766033936</v>
      </c>
      <c r="F28" s="12">
        <v>2.5896733337402</v>
      </c>
      <c r="G28" s="12" t="s">
        <v>88</v>
      </c>
      <c r="H28" s="12" t="s">
        <v>88</v>
      </c>
      <c r="I28" s="12" t="s">
        <v>88</v>
      </c>
      <c r="J28" s="12" t="s">
        <v>88</v>
      </c>
      <c r="K28" s="12">
        <v>4.6426349426269</v>
      </c>
      <c r="L28" s="12">
        <f t="shared" si="3"/>
        <v>1681.510769</v>
      </c>
      <c r="M28" s="12">
        <v>3.0359594604492</v>
      </c>
      <c r="N28" s="12" t="s">
        <v>88</v>
      </c>
      <c r="O28" s="12" t="s">
        <v>88</v>
      </c>
      <c r="P28" s="12" t="s">
        <v>88</v>
      </c>
      <c r="Q28" s="12">
        <v>374.6912645874</v>
      </c>
      <c r="R28" s="12" t="s">
        <v>88</v>
      </c>
      <c r="S28" s="12">
        <v>0.26783817138672</v>
      </c>
      <c r="T28" s="12" t="s">
        <v>88</v>
      </c>
      <c r="U28" s="12" t="s">
        <v>88</v>
      </c>
      <c r="Y28" s="12">
        <v>1035.7092937744</v>
      </c>
      <c r="Z28" s="12" t="s">
        <v>88</v>
      </c>
      <c r="AA28" s="12" t="s">
        <v>88</v>
      </c>
      <c r="AB28" s="12" t="s">
        <v>88</v>
      </c>
      <c r="AC28" s="12" t="s">
        <v>88</v>
      </c>
      <c r="AH28" s="12" t="s">
        <v>88</v>
      </c>
      <c r="AI28" s="12" t="s">
        <v>88</v>
      </c>
      <c r="AJ28" s="12" t="s">
        <v>88</v>
      </c>
      <c r="AK28" s="12" t="s">
        <v>88</v>
      </c>
      <c r="AL28" s="12">
        <v>267.8064130127</v>
      </c>
    </row>
    <row r="29" ht="15.75" hidden="1" customHeight="1">
      <c r="A29" s="90">
        <v>1985.0</v>
      </c>
      <c r="B29" s="88" t="s">
        <v>82</v>
      </c>
      <c r="C29" s="12" t="s">
        <v>88</v>
      </c>
      <c r="D29" s="12" t="s">
        <v>88</v>
      </c>
      <c r="E29" s="12" t="s">
        <v>88</v>
      </c>
      <c r="F29" s="12" t="s">
        <v>88</v>
      </c>
      <c r="G29" s="12" t="s">
        <v>88</v>
      </c>
      <c r="H29" s="12" t="s">
        <v>88</v>
      </c>
      <c r="I29" s="12" t="s">
        <v>88</v>
      </c>
      <c r="J29" s="12" t="s">
        <v>88</v>
      </c>
      <c r="K29" s="12" t="s">
        <v>88</v>
      </c>
      <c r="L29" s="12">
        <f t="shared" si="3"/>
        <v>0</v>
      </c>
      <c r="M29" s="12" t="s">
        <v>88</v>
      </c>
      <c r="N29" s="12" t="s">
        <v>88</v>
      </c>
      <c r="O29" s="12" t="s">
        <v>88</v>
      </c>
      <c r="P29" s="12" t="s">
        <v>88</v>
      </c>
      <c r="Q29" s="12" t="s">
        <v>88</v>
      </c>
      <c r="R29" s="12" t="s">
        <v>88</v>
      </c>
      <c r="S29" s="12" t="s">
        <v>88</v>
      </c>
      <c r="T29" s="12" t="s">
        <v>88</v>
      </c>
      <c r="U29" s="12" t="s">
        <v>88</v>
      </c>
      <c r="Y29" s="12" t="s">
        <v>88</v>
      </c>
      <c r="Z29" s="12" t="s">
        <v>88</v>
      </c>
      <c r="AA29" s="12" t="s">
        <v>88</v>
      </c>
      <c r="AB29" s="12" t="s">
        <v>88</v>
      </c>
      <c r="AC29" s="12" t="s">
        <v>88</v>
      </c>
      <c r="AH29" s="12" t="s">
        <v>88</v>
      </c>
      <c r="AI29" s="12" t="s">
        <v>88</v>
      </c>
      <c r="AJ29" s="12" t="s">
        <v>88</v>
      </c>
      <c r="AK29" s="12" t="s">
        <v>88</v>
      </c>
      <c r="AL29" s="12" t="s">
        <v>88</v>
      </c>
    </row>
    <row r="30" ht="15.75" hidden="1" customHeight="1">
      <c r="A30" s="90">
        <v>1985.0</v>
      </c>
      <c r="B30" s="88" t="s">
        <v>83</v>
      </c>
      <c r="C30" s="12">
        <v>154.58323530273</v>
      </c>
      <c r="D30" s="12">
        <v>2457.0916808777</v>
      </c>
      <c r="E30" s="12">
        <v>709.84377518311</v>
      </c>
      <c r="F30" s="12">
        <v>690.59415067139</v>
      </c>
      <c r="G30" s="12">
        <v>234.87001072998</v>
      </c>
      <c r="H30" s="12">
        <v>238.54976090698</v>
      </c>
      <c r="I30" s="12" t="s">
        <v>88</v>
      </c>
      <c r="J30" s="12" t="s">
        <v>88</v>
      </c>
      <c r="K30" s="12">
        <v>143.83244417114</v>
      </c>
      <c r="L30" s="12">
        <f t="shared" si="3"/>
        <v>61257.65009</v>
      </c>
      <c r="M30" s="12" t="s">
        <v>88</v>
      </c>
      <c r="N30" s="12" t="s">
        <v>88</v>
      </c>
      <c r="O30" s="12" t="s">
        <v>88</v>
      </c>
      <c r="P30" s="12" t="s">
        <v>88</v>
      </c>
      <c r="Q30" s="12" t="s">
        <v>88</v>
      </c>
      <c r="R30" s="12">
        <v>0.76644965209961</v>
      </c>
      <c r="S30" s="12" t="s">
        <v>88</v>
      </c>
      <c r="T30" s="12" t="s">
        <v>88</v>
      </c>
      <c r="U30" s="12">
        <v>0.17194060668945</v>
      </c>
      <c r="Y30" s="12" t="s">
        <v>88</v>
      </c>
      <c r="Z30" s="12" t="s">
        <v>88</v>
      </c>
      <c r="AA30" s="12">
        <v>61254.729498334</v>
      </c>
      <c r="AB30" s="12">
        <v>0.3405138671875</v>
      </c>
      <c r="AC30" s="12" t="s">
        <v>88</v>
      </c>
      <c r="AH30" s="12" t="s">
        <v>88</v>
      </c>
      <c r="AI30" s="12" t="s">
        <v>88</v>
      </c>
      <c r="AJ30" s="12">
        <v>0.085048388671875</v>
      </c>
      <c r="AK30" s="12" t="s">
        <v>88</v>
      </c>
      <c r="AL30" s="12">
        <v>1.5566366271973</v>
      </c>
    </row>
    <row r="31" ht="15.75" hidden="1" customHeight="1">
      <c r="A31" s="90">
        <v>1985.0</v>
      </c>
      <c r="B31" s="88" t="s">
        <v>84</v>
      </c>
      <c r="C31" s="12">
        <v>59.947013970947</v>
      </c>
      <c r="D31" s="12">
        <v>136.61953113403</v>
      </c>
      <c r="E31" s="12">
        <v>159.91890279541</v>
      </c>
      <c r="F31" s="12">
        <v>19.494807171631</v>
      </c>
      <c r="G31" s="12">
        <v>9.7375924072266</v>
      </c>
      <c r="H31" s="12">
        <v>128.72843704834</v>
      </c>
      <c r="I31" s="12">
        <v>97.755948345947</v>
      </c>
      <c r="J31" s="12" t="s">
        <v>88</v>
      </c>
      <c r="K31" s="12">
        <v>280.46670019531</v>
      </c>
      <c r="L31" s="12">
        <f t="shared" si="3"/>
        <v>1101.680496</v>
      </c>
      <c r="M31" s="12" t="s">
        <v>88</v>
      </c>
      <c r="N31" s="12" t="s">
        <v>88</v>
      </c>
      <c r="O31" s="12" t="s">
        <v>88</v>
      </c>
      <c r="P31" s="12" t="s">
        <v>88</v>
      </c>
      <c r="Q31" s="12" t="s">
        <v>88</v>
      </c>
      <c r="R31" s="12">
        <v>33.302368249512</v>
      </c>
      <c r="S31" s="12" t="s">
        <v>88</v>
      </c>
      <c r="T31" s="12" t="s">
        <v>88</v>
      </c>
      <c r="U31" s="12" t="s">
        <v>88</v>
      </c>
      <c r="Y31" s="12" t="s">
        <v>88</v>
      </c>
      <c r="Z31" s="12" t="s">
        <v>88</v>
      </c>
      <c r="AA31" s="12" t="s">
        <v>88</v>
      </c>
      <c r="AB31" s="12">
        <v>998.87881295166</v>
      </c>
      <c r="AC31" s="12" t="s">
        <v>88</v>
      </c>
      <c r="AH31" s="12" t="s">
        <v>88</v>
      </c>
      <c r="AI31" s="12" t="s">
        <v>88</v>
      </c>
      <c r="AJ31" s="12" t="s">
        <v>88</v>
      </c>
      <c r="AK31" s="12" t="s">
        <v>88</v>
      </c>
      <c r="AL31" s="12">
        <v>69.499314440918</v>
      </c>
    </row>
    <row r="32" ht="15.75" hidden="1" customHeight="1">
      <c r="A32" s="90">
        <v>1985.0</v>
      </c>
      <c r="B32" s="88" t="s">
        <v>28</v>
      </c>
      <c r="C32" s="12" t="s">
        <v>88</v>
      </c>
      <c r="D32" s="12" t="s">
        <v>88</v>
      </c>
      <c r="E32" s="12" t="s">
        <v>88</v>
      </c>
      <c r="F32" s="12" t="s">
        <v>88</v>
      </c>
      <c r="G32" s="12" t="s">
        <v>88</v>
      </c>
      <c r="H32" s="12" t="s">
        <v>88</v>
      </c>
      <c r="I32" s="12" t="s">
        <v>88</v>
      </c>
      <c r="J32" s="12" t="s">
        <v>88</v>
      </c>
      <c r="K32" s="12" t="s">
        <v>88</v>
      </c>
      <c r="L32" s="12">
        <f t="shared" si="3"/>
        <v>0</v>
      </c>
      <c r="M32" s="12" t="s">
        <v>88</v>
      </c>
      <c r="N32" s="12" t="s">
        <v>88</v>
      </c>
      <c r="O32" s="12" t="s">
        <v>88</v>
      </c>
      <c r="P32" s="12" t="s">
        <v>88</v>
      </c>
      <c r="Q32" s="12" t="s">
        <v>88</v>
      </c>
      <c r="R32" s="12" t="s">
        <v>88</v>
      </c>
      <c r="S32" s="12" t="s">
        <v>88</v>
      </c>
      <c r="T32" s="12" t="s">
        <v>88</v>
      </c>
      <c r="U32" s="12" t="s">
        <v>88</v>
      </c>
      <c r="Y32" s="12" t="s">
        <v>88</v>
      </c>
      <c r="Z32" s="12" t="s">
        <v>88</v>
      </c>
      <c r="AA32" s="12" t="s">
        <v>88</v>
      </c>
      <c r="AB32" s="12" t="s">
        <v>88</v>
      </c>
      <c r="AC32" s="12" t="s">
        <v>88</v>
      </c>
      <c r="AH32" s="12" t="s">
        <v>88</v>
      </c>
      <c r="AI32" s="12" t="s">
        <v>88</v>
      </c>
      <c r="AJ32" s="12" t="s">
        <v>88</v>
      </c>
      <c r="AK32" s="12" t="s">
        <v>88</v>
      </c>
      <c r="AL32" s="12" t="s">
        <v>88</v>
      </c>
    </row>
    <row r="33" ht="15.75" hidden="1" customHeight="1">
      <c r="A33" s="90">
        <v>1985.0</v>
      </c>
      <c r="B33" s="88" t="s">
        <v>69</v>
      </c>
      <c r="C33" s="12" t="s">
        <v>88</v>
      </c>
      <c r="D33" s="12" t="s">
        <v>88</v>
      </c>
      <c r="E33" s="12" t="s">
        <v>88</v>
      </c>
      <c r="F33" s="12" t="s">
        <v>88</v>
      </c>
      <c r="G33" s="12" t="s">
        <v>88</v>
      </c>
      <c r="H33" s="12" t="s">
        <v>88</v>
      </c>
      <c r="I33" s="12" t="s">
        <v>88</v>
      </c>
      <c r="J33" s="12" t="s">
        <v>88</v>
      </c>
      <c r="K33" s="12" t="s">
        <v>88</v>
      </c>
      <c r="L33" s="12">
        <f t="shared" si="3"/>
        <v>0</v>
      </c>
      <c r="M33" s="12" t="s">
        <v>88</v>
      </c>
      <c r="N33" s="12" t="s">
        <v>88</v>
      </c>
      <c r="O33" s="12" t="s">
        <v>88</v>
      </c>
      <c r="P33" s="12" t="s">
        <v>88</v>
      </c>
      <c r="Q33" s="12" t="s">
        <v>88</v>
      </c>
      <c r="R33" s="12" t="s">
        <v>88</v>
      </c>
      <c r="S33" s="12" t="s">
        <v>88</v>
      </c>
      <c r="T33" s="12" t="s">
        <v>88</v>
      </c>
      <c r="U33" s="12" t="s">
        <v>88</v>
      </c>
      <c r="Y33" s="12" t="s">
        <v>88</v>
      </c>
      <c r="Z33" s="12" t="s">
        <v>88</v>
      </c>
      <c r="AA33" s="12" t="s">
        <v>88</v>
      </c>
      <c r="AB33" s="12" t="s">
        <v>88</v>
      </c>
      <c r="AC33" s="12" t="s">
        <v>88</v>
      </c>
      <c r="AH33" s="12" t="s">
        <v>88</v>
      </c>
      <c r="AI33" s="12" t="s">
        <v>88</v>
      </c>
      <c r="AJ33" s="12" t="s">
        <v>88</v>
      </c>
      <c r="AK33" s="12" t="s">
        <v>88</v>
      </c>
      <c r="AL33" s="12" t="s">
        <v>88</v>
      </c>
    </row>
    <row r="34" ht="15.75" hidden="1" customHeight="1">
      <c r="A34" s="90">
        <v>1985.0</v>
      </c>
      <c r="B34" s="88" t="s">
        <v>85</v>
      </c>
      <c r="C34" s="12">
        <v>1.4326721374512</v>
      </c>
      <c r="D34" s="12">
        <v>5.7882294128418</v>
      </c>
      <c r="E34" s="12">
        <v>1.0085448120117</v>
      </c>
      <c r="F34" s="12">
        <v>0.4225151550293</v>
      </c>
      <c r="G34" s="12" t="s">
        <v>88</v>
      </c>
      <c r="H34" s="12" t="s">
        <v>88</v>
      </c>
      <c r="I34" s="12" t="s">
        <v>88</v>
      </c>
      <c r="J34" s="12" t="s">
        <v>88</v>
      </c>
      <c r="K34" s="12" t="s">
        <v>88</v>
      </c>
      <c r="L34" s="12">
        <f t="shared" si="3"/>
        <v>14.25121698</v>
      </c>
      <c r="M34" s="12" t="s">
        <v>88</v>
      </c>
      <c r="N34" s="12" t="s">
        <v>88</v>
      </c>
      <c r="O34" s="12" t="s">
        <v>88</v>
      </c>
      <c r="P34" s="12" t="s">
        <v>88</v>
      </c>
      <c r="Q34" s="12" t="s">
        <v>88</v>
      </c>
      <c r="R34" s="12" t="s">
        <v>88</v>
      </c>
      <c r="S34" s="12" t="s">
        <v>88</v>
      </c>
      <c r="T34" s="12" t="s">
        <v>88</v>
      </c>
      <c r="U34" s="12" t="s">
        <v>88</v>
      </c>
      <c r="Y34" s="12" t="s">
        <v>88</v>
      </c>
      <c r="Z34" s="12" t="s">
        <v>88</v>
      </c>
      <c r="AA34" s="12" t="s">
        <v>88</v>
      </c>
      <c r="AB34" s="12" t="s">
        <v>88</v>
      </c>
      <c r="AC34" s="12" t="s">
        <v>88</v>
      </c>
      <c r="AH34" s="12" t="s">
        <v>88</v>
      </c>
      <c r="AI34" s="12">
        <v>14.167244091797</v>
      </c>
      <c r="AJ34" s="12" t="s">
        <v>88</v>
      </c>
      <c r="AK34" s="12" t="s">
        <v>88</v>
      </c>
      <c r="AL34" s="12">
        <v>0.083972888183594</v>
      </c>
    </row>
    <row r="35" ht="15.75" hidden="1" customHeight="1">
      <c r="A35" s="90">
        <v>1985.0</v>
      </c>
      <c r="B35" s="88" t="s">
        <v>86</v>
      </c>
      <c r="C35" s="12">
        <v>2094.9722244324</v>
      </c>
      <c r="D35" s="12">
        <v>17881.118360315</v>
      </c>
      <c r="E35" s="12">
        <v>559.48525883179</v>
      </c>
      <c r="F35" s="12">
        <v>15325.981583032</v>
      </c>
      <c r="G35" s="12">
        <v>239.00361136475</v>
      </c>
      <c r="H35" s="12">
        <v>5961.2433390197</v>
      </c>
      <c r="I35" s="12" t="s">
        <v>88</v>
      </c>
      <c r="J35" s="12" t="s">
        <v>88</v>
      </c>
      <c r="K35" s="12">
        <v>783.30930079346</v>
      </c>
      <c r="L35" s="12">
        <f t="shared" si="3"/>
        <v>34317.9116</v>
      </c>
      <c r="M35" s="12">
        <v>24.024197955322</v>
      </c>
      <c r="N35" s="12" t="s">
        <v>88</v>
      </c>
      <c r="O35" s="12" t="s">
        <v>88</v>
      </c>
      <c r="P35" s="12" t="s">
        <v>88</v>
      </c>
      <c r="Q35" s="12" t="s">
        <v>88</v>
      </c>
      <c r="R35" s="12">
        <v>20.712885455322</v>
      </c>
      <c r="S35" s="12" t="s">
        <v>88</v>
      </c>
      <c r="T35" s="12" t="s">
        <v>88</v>
      </c>
      <c r="U35" s="12" t="s">
        <v>88</v>
      </c>
      <c r="Y35" s="12">
        <v>0.089314965820313</v>
      </c>
      <c r="Z35" s="12" t="s">
        <v>88</v>
      </c>
      <c r="AA35" s="12">
        <v>1.2734732055664</v>
      </c>
      <c r="AB35" s="12">
        <v>0.25544219970703</v>
      </c>
      <c r="AC35" s="12" t="s">
        <v>88</v>
      </c>
      <c r="AH35" s="12" t="s">
        <v>88</v>
      </c>
      <c r="AI35" s="12" t="s">
        <v>88</v>
      </c>
      <c r="AJ35" s="12">
        <v>34175.248983435</v>
      </c>
      <c r="AK35" s="12" t="s">
        <v>88</v>
      </c>
      <c r="AL35" s="12">
        <v>96.307304345703</v>
      </c>
    </row>
    <row r="36" ht="15.75" hidden="1" customHeight="1">
      <c r="A36" s="90">
        <v>1985.0</v>
      </c>
      <c r="B36" s="88" t="s">
        <v>29</v>
      </c>
      <c r="C36" s="12" t="s">
        <v>88</v>
      </c>
      <c r="D36" s="12" t="s">
        <v>88</v>
      </c>
      <c r="E36" s="12" t="s">
        <v>88</v>
      </c>
      <c r="F36" s="12" t="s">
        <v>88</v>
      </c>
      <c r="G36" s="12" t="s">
        <v>88</v>
      </c>
      <c r="H36" s="12" t="s">
        <v>88</v>
      </c>
      <c r="I36" s="12" t="s">
        <v>88</v>
      </c>
      <c r="J36" s="12" t="s">
        <v>88</v>
      </c>
      <c r="K36" s="12" t="s">
        <v>88</v>
      </c>
      <c r="L36" s="12">
        <f t="shared" si="3"/>
        <v>0</v>
      </c>
      <c r="M36" s="12" t="s">
        <v>88</v>
      </c>
      <c r="N36" s="12" t="s">
        <v>88</v>
      </c>
      <c r="O36" s="12" t="s">
        <v>88</v>
      </c>
      <c r="P36" s="12" t="s">
        <v>88</v>
      </c>
      <c r="Q36" s="12" t="s">
        <v>88</v>
      </c>
      <c r="R36" s="12" t="s">
        <v>88</v>
      </c>
      <c r="S36" s="12" t="s">
        <v>88</v>
      </c>
      <c r="T36" s="12" t="s">
        <v>88</v>
      </c>
      <c r="U36" s="12" t="s">
        <v>88</v>
      </c>
      <c r="Y36" s="12" t="s">
        <v>88</v>
      </c>
      <c r="Z36" s="12" t="s">
        <v>88</v>
      </c>
      <c r="AA36" s="12" t="s">
        <v>88</v>
      </c>
      <c r="AB36" s="12" t="s">
        <v>88</v>
      </c>
      <c r="AC36" s="12" t="s">
        <v>88</v>
      </c>
      <c r="AH36" s="12" t="s">
        <v>88</v>
      </c>
      <c r="AI36" s="12" t="s">
        <v>88</v>
      </c>
      <c r="AJ36" s="12" t="s">
        <v>88</v>
      </c>
      <c r="AK36" s="12" t="s">
        <v>88</v>
      </c>
      <c r="AL36" s="12" t="s">
        <v>88</v>
      </c>
    </row>
    <row r="37" ht="15.75" hidden="1" customHeight="1">
      <c r="A37" s="90">
        <v>1985.0</v>
      </c>
      <c r="B37" s="88" t="s">
        <v>87</v>
      </c>
      <c r="C37" s="12">
        <v>49191.919394092</v>
      </c>
      <c r="D37" s="12">
        <v>19555.857091998</v>
      </c>
      <c r="E37" s="12">
        <v>28624.427094342</v>
      </c>
      <c r="F37" s="12">
        <v>23113.718183282</v>
      </c>
      <c r="G37" s="12">
        <v>40.460738195801</v>
      </c>
      <c r="H37" s="12">
        <v>689.23621785278</v>
      </c>
      <c r="I37" s="12">
        <v>82.490445013428</v>
      </c>
      <c r="J37" s="12" t="s">
        <v>88</v>
      </c>
      <c r="K37" s="12">
        <v>36403.084773444</v>
      </c>
      <c r="L37" s="12">
        <f t="shared" si="3"/>
        <v>1032740.943</v>
      </c>
      <c r="M37" s="12">
        <v>12329.610302411</v>
      </c>
      <c r="N37" s="12" t="s">
        <v>88</v>
      </c>
      <c r="O37" s="12" t="s">
        <v>88</v>
      </c>
      <c r="P37" s="12" t="s">
        <v>88</v>
      </c>
      <c r="Q37" s="12">
        <v>2570.4799628052</v>
      </c>
      <c r="R37" s="12">
        <v>70.990914251709</v>
      </c>
      <c r="S37" s="12">
        <v>2.8450342163086</v>
      </c>
      <c r="T37" s="12" t="s">
        <v>88</v>
      </c>
      <c r="U37" s="12">
        <v>13.004591461182</v>
      </c>
      <c r="Y37" s="12">
        <v>155.66790116577</v>
      </c>
      <c r="Z37" s="12" t="s">
        <v>88</v>
      </c>
      <c r="AA37" s="12">
        <v>5.6218707702637</v>
      </c>
      <c r="AB37" s="12">
        <v>23.705270056152</v>
      </c>
      <c r="AC37" s="12" t="s">
        <v>88</v>
      </c>
      <c r="AH37" s="12" t="s">
        <v>88</v>
      </c>
      <c r="AI37" s="12">
        <v>0.4200689453125</v>
      </c>
      <c r="AJ37" s="12">
        <v>0.089316455078125</v>
      </c>
      <c r="AK37" s="12" t="s">
        <v>88</v>
      </c>
      <c r="AL37" s="12">
        <v>1017568.5075453</v>
      </c>
    </row>
    <row r="38" ht="15.75" hidden="1" customHeight="1">
      <c r="B38" s="106"/>
    </row>
    <row r="39" ht="15.75" hidden="1" customHeight="1">
      <c r="B39" s="106"/>
    </row>
    <row r="40" ht="15.75" hidden="1" customHeight="1">
      <c r="B40" s="106"/>
    </row>
    <row r="41" ht="15.75" hidden="1" customHeight="1">
      <c r="B41" s="106"/>
    </row>
    <row r="42" ht="15.75" hidden="1" customHeight="1">
      <c r="B42" s="106"/>
    </row>
    <row r="43" ht="15.75" customHeight="1">
      <c r="B43" s="106"/>
    </row>
    <row r="44" ht="15.75" customHeight="1">
      <c r="B44" s="106"/>
    </row>
    <row r="45" ht="15.75" customHeight="1">
      <c r="B45" s="106"/>
    </row>
    <row r="46" ht="15.75" customHeight="1">
      <c r="B46" s="106"/>
    </row>
    <row r="47" ht="15.75" customHeight="1">
      <c r="B47" s="106"/>
    </row>
    <row r="48" ht="15.75" customHeight="1">
      <c r="B48" s="106"/>
    </row>
    <row r="49" ht="15.75" customHeight="1">
      <c r="B49" s="106"/>
    </row>
    <row r="50" ht="15.75" customHeight="1">
      <c r="B50" s="106"/>
    </row>
    <row r="51" ht="15.75" customHeight="1">
      <c r="B51" s="106"/>
    </row>
    <row r="52" ht="15.75" customHeight="1">
      <c r="B52" s="106"/>
    </row>
    <row r="53" ht="15.75" customHeight="1">
      <c r="B53" s="106"/>
    </row>
    <row r="54" ht="15.75" customHeight="1">
      <c r="B54" s="106"/>
    </row>
    <row r="55" ht="15.75" customHeight="1">
      <c r="B55" s="106"/>
    </row>
    <row r="56" ht="15.75" customHeight="1">
      <c r="B56" s="106"/>
    </row>
    <row r="57" ht="15.75" customHeight="1">
      <c r="B57" s="106"/>
    </row>
    <row r="58" ht="15.75" customHeight="1">
      <c r="B58" s="106"/>
    </row>
    <row r="59" ht="15.75" customHeight="1">
      <c r="B59" s="106"/>
    </row>
    <row r="60" ht="15.75" customHeight="1">
      <c r="B60" s="106"/>
    </row>
    <row r="61" ht="15.75" customHeight="1">
      <c r="B61" s="106"/>
    </row>
    <row r="62" ht="15.75" customHeight="1">
      <c r="B62" s="106"/>
    </row>
    <row r="63" ht="15.75" customHeight="1">
      <c r="B63" s="106"/>
    </row>
    <row r="64" ht="15.75" customHeight="1">
      <c r="B64" s="106"/>
    </row>
    <row r="65" ht="15.75" customHeight="1">
      <c r="B65" s="106"/>
    </row>
    <row r="66" ht="15.75" customHeight="1">
      <c r="B66" s="106"/>
    </row>
    <row r="67" ht="15.75" customHeight="1">
      <c r="B67" s="106"/>
    </row>
    <row r="68" ht="15.75" customHeight="1">
      <c r="B68" s="106"/>
    </row>
    <row r="69" ht="15.75" customHeight="1">
      <c r="B69" s="106"/>
    </row>
    <row r="70" ht="15.75" customHeight="1">
      <c r="B70" s="106"/>
    </row>
    <row r="71" ht="15.75" customHeight="1">
      <c r="B71" s="106"/>
    </row>
    <row r="72" ht="15.75" customHeight="1">
      <c r="B72" s="106"/>
    </row>
    <row r="73" ht="15.75" customHeight="1">
      <c r="B73" s="106"/>
    </row>
    <row r="74" ht="15.75" customHeight="1">
      <c r="B74" s="106"/>
    </row>
    <row r="75" ht="15.75" customHeight="1">
      <c r="B75" s="106"/>
    </row>
    <row r="76" ht="15.75" customHeight="1">
      <c r="B76" s="106"/>
    </row>
    <row r="77" ht="15.75" customHeight="1">
      <c r="B77" s="106"/>
    </row>
    <row r="78" ht="15.75" customHeight="1">
      <c r="B78" s="106"/>
    </row>
    <row r="79" ht="15.75" customHeight="1">
      <c r="B79" s="106"/>
    </row>
    <row r="80" ht="15.75" customHeight="1">
      <c r="B80" s="106"/>
    </row>
    <row r="81" ht="15.75" customHeight="1">
      <c r="B81" s="106"/>
    </row>
    <row r="82" ht="15.75" customHeight="1">
      <c r="B82" s="106"/>
    </row>
    <row r="83" ht="15.75" customHeight="1">
      <c r="B83" s="106"/>
    </row>
    <row r="84" ht="15.75" customHeight="1">
      <c r="B84" s="106"/>
    </row>
    <row r="85" ht="15.75" customHeight="1">
      <c r="B85" s="106"/>
    </row>
    <row r="86" ht="15.75" customHeight="1">
      <c r="B86" s="106"/>
    </row>
    <row r="87" ht="15.75" customHeight="1">
      <c r="B87" s="106"/>
    </row>
    <row r="88" ht="15.75" customHeight="1">
      <c r="B88" s="106"/>
    </row>
    <row r="89" ht="15.75" customHeight="1">
      <c r="B89" s="106"/>
    </row>
    <row r="90" ht="15.75" customHeight="1">
      <c r="B90" s="106"/>
    </row>
    <row r="91" ht="15.75" customHeight="1">
      <c r="B91" s="106"/>
    </row>
    <row r="92" ht="15.75" customHeight="1">
      <c r="B92" s="106"/>
    </row>
    <row r="93" ht="15.75" customHeight="1">
      <c r="B93" s="106"/>
    </row>
    <row r="94" ht="15.75" customHeight="1">
      <c r="B94" s="106"/>
    </row>
    <row r="95" ht="15.75" customHeight="1">
      <c r="B95" s="106"/>
    </row>
    <row r="96" ht="15.75" customHeight="1">
      <c r="B96" s="106"/>
    </row>
    <row r="97" ht="15.75" customHeight="1">
      <c r="B97" s="106"/>
    </row>
    <row r="98" ht="15.75" customHeight="1">
      <c r="B98" s="106"/>
    </row>
    <row r="99" ht="15.75" customHeight="1">
      <c r="B99" s="106"/>
    </row>
    <row r="100" ht="15.75" customHeight="1">
      <c r="B100" s="106"/>
    </row>
    <row r="101" ht="15.75" customHeight="1">
      <c r="B101" s="106"/>
    </row>
    <row r="102" ht="15.75" customHeight="1">
      <c r="B102" s="106"/>
    </row>
    <row r="103" ht="15.75" customHeight="1">
      <c r="B103" s="106"/>
    </row>
    <row r="104" ht="15.75" customHeight="1">
      <c r="B104" s="106"/>
    </row>
    <row r="105" ht="15.75" customHeight="1">
      <c r="B105" s="106"/>
    </row>
    <row r="106" ht="15.75" customHeight="1">
      <c r="B106" s="106"/>
    </row>
    <row r="107" ht="15.75" customHeight="1">
      <c r="B107" s="106"/>
    </row>
    <row r="108" ht="15.75" customHeight="1">
      <c r="B108" s="106"/>
    </row>
    <row r="109" ht="15.75" customHeight="1">
      <c r="B109" s="106"/>
    </row>
    <row r="110" ht="15.75" customHeight="1">
      <c r="B110" s="106"/>
    </row>
    <row r="111" ht="15.75" customHeight="1">
      <c r="B111" s="106"/>
    </row>
    <row r="112" ht="15.75" customHeight="1">
      <c r="B112" s="106"/>
    </row>
    <row r="113" ht="15.75" customHeight="1">
      <c r="B113" s="106"/>
    </row>
    <row r="114" ht="15.75" customHeight="1">
      <c r="B114" s="106"/>
    </row>
    <row r="115" ht="15.75" customHeight="1">
      <c r="B115" s="106"/>
    </row>
    <row r="116" ht="15.75" customHeight="1">
      <c r="B116" s="106"/>
    </row>
    <row r="117" ht="15.75" customHeight="1">
      <c r="B117" s="106"/>
    </row>
    <row r="118" ht="15.75" customHeight="1">
      <c r="B118" s="106"/>
    </row>
    <row r="119" ht="15.75" customHeight="1">
      <c r="B119" s="106"/>
    </row>
    <row r="120" ht="15.75" customHeight="1">
      <c r="B120" s="106"/>
    </row>
    <row r="121" ht="15.75" customHeight="1">
      <c r="B121" s="106"/>
    </row>
    <row r="122" ht="15.75" customHeight="1">
      <c r="B122" s="106"/>
    </row>
    <row r="123" ht="15.75" customHeight="1">
      <c r="B123" s="106"/>
    </row>
    <row r="124" ht="15.75" customHeight="1">
      <c r="B124" s="106"/>
    </row>
    <row r="125" ht="15.75" customHeight="1">
      <c r="B125" s="106"/>
    </row>
    <row r="126" ht="15.75" customHeight="1">
      <c r="B126" s="106"/>
    </row>
    <row r="127" ht="15.75" customHeight="1">
      <c r="B127" s="106"/>
    </row>
    <row r="128" ht="15.75" customHeight="1">
      <c r="B128" s="106"/>
    </row>
    <row r="129" ht="15.75" customHeight="1">
      <c r="B129" s="106"/>
    </row>
    <row r="130" ht="15.75" customHeight="1">
      <c r="B130" s="106"/>
    </row>
    <row r="131" ht="15.75" customHeight="1">
      <c r="B131" s="106"/>
    </row>
    <row r="132" ht="15.75" customHeight="1">
      <c r="B132" s="106"/>
    </row>
    <row r="133" ht="15.75" customHeight="1">
      <c r="B133" s="106"/>
    </row>
    <row r="134" ht="15.75" customHeight="1">
      <c r="B134" s="106"/>
    </row>
    <row r="135" ht="15.75" customHeight="1">
      <c r="B135" s="106"/>
    </row>
    <row r="136" ht="15.75" customHeight="1">
      <c r="B136" s="106"/>
    </row>
    <row r="137" ht="15.75" customHeight="1">
      <c r="B137" s="106"/>
    </row>
    <row r="138" ht="15.75" customHeight="1">
      <c r="B138" s="106"/>
    </row>
    <row r="139" ht="15.75" customHeight="1">
      <c r="B139" s="106"/>
    </row>
    <row r="140" ht="15.75" customHeight="1">
      <c r="B140" s="106"/>
    </row>
    <row r="141" ht="15.75" customHeight="1">
      <c r="B141" s="106"/>
    </row>
    <row r="142" ht="15.75" customHeight="1">
      <c r="B142" s="106"/>
    </row>
    <row r="143" ht="15.75" customHeight="1">
      <c r="B143" s="106"/>
    </row>
    <row r="144" ht="15.75" customHeight="1">
      <c r="B144" s="106"/>
    </row>
    <row r="145" ht="15.75" customHeight="1">
      <c r="B145" s="106"/>
    </row>
    <row r="146" ht="15.75" customHeight="1">
      <c r="B146" s="106"/>
    </row>
    <row r="147" ht="15.75" customHeight="1">
      <c r="B147" s="106"/>
    </row>
    <row r="148" ht="15.75" customHeight="1">
      <c r="B148" s="106"/>
    </row>
    <row r="149" ht="15.75" customHeight="1">
      <c r="B149" s="106"/>
    </row>
    <row r="150" ht="15.75" customHeight="1">
      <c r="B150" s="106"/>
    </row>
    <row r="151" ht="15.75" customHeight="1">
      <c r="B151" s="106"/>
    </row>
    <row r="152" ht="15.75" customHeight="1">
      <c r="B152" s="106"/>
    </row>
    <row r="153" ht="15.75" customHeight="1">
      <c r="B153" s="106"/>
    </row>
    <row r="154" ht="15.75" customHeight="1">
      <c r="B154" s="106"/>
    </row>
    <row r="155" ht="15.75" customHeight="1">
      <c r="B155" s="106"/>
    </row>
    <row r="156" ht="15.75" customHeight="1">
      <c r="B156" s="106"/>
    </row>
    <row r="157" ht="15.75" customHeight="1">
      <c r="B157" s="106"/>
    </row>
    <row r="158" ht="15.75" customHeight="1">
      <c r="B158" s="106"/>
    </row>
    <row r="159" ht="15.75" customHeight="1">
      <c r="B159" s="106"/>
    </row>
    <row r="160" ht="15.75" customHeight="1">
      <c r="B160" s="106"/>
    </row>
    <row r="161" ht="15.75" customHeight="1">
      <c r="B161" s="106"/>
    </row>
    <row r="162" ht="15.75" customHeight="1">
      <c r="B162" s="106"/>
    </row>
    <row r="163" ht="15.75" customHeight="1">
      <c r="B163" s="106"/>
    </row>
    <row r="164" ht="15.75" customHeight="1">
      <c r="B164" s="106"/>
    </row>
    <row r="165" ht="15.75" customHeight="1">
      <c r="B165" s="106"/>
    </row>
    <row r="166" ht="15.75" customHeight="1">
      <c r="B166" s="106"/>
    </row>
    <row r="167" ht="15.75" customHeight="1">
      <c r="B167" s="106"/>
    </row>
    <row r="168" ht="15.75" customHeight="1">
      <c r="B168" s="106"/>
    </row>
    <row r="169" ht="15.75" customHeight="1">
      <c r="B169" s="106"/>
    </row>
    <row r="170" ht="15.75" customHeight="1">
      <c r="B170" s="106"/>
    </row>
    <row r="171" ht="15.75" customHeight="1">
      <c r="B171" s="106"/>
    </row>
    <row r="172" ht="15.75" customHeight="1">
      <c r="B172" s="106"/>
    </row>
    <row r="173" ht="15.75" customHeight="1">
      <c r="B173" s="106"/>
    </row>
    <row r="174" ht="15.75" customHeight="1">
      <c r="B174" s="106"/>
    </row>
    <row r="175" ht="15.75" customHeight="1">
      <c r="B175" s="106"/>
    </row>
    <row r="176" ht="15.75" customHeight="1">
      <c r="B176" s="106"/>
    </row>
    <row r="177" ht="15.75" customHeight="1">
      <c r="B177" s="106"/>
    </row>
    <row r="178" ht="15.75" customHeight="1">
      <c r="B178" s="106"/>
    </row>
    <row r="179" ht="15.75" customHeight="1">
      <c r="B179" s="106"/>
    </row>
    <row r="180" ht="15.75" customHeight="1">
      <c r="B180" s="106"/>
    </row>
    <row r="181" ht="15.75" customHeight="1">
      <c r="B181" s="106"/>
    </row>
    <row r="182" ht="15.75" customHeight="1">
      <c r="B182" s="106"/>
    </row>
    <row r="183" ht="15.75" customHeight="1">
      <c r="B183" s="106"/>
    </row>
    <row r="184" ht="15.75" customHeight="1">
      <c r="B184" s="106"/>
    </row>
    <row r="185" ht="15.75" customHeight="1">
      <c r="B185" s="106"/>
    </row>
    <row r="186" ht="15.75" customHeight="1">
      <c r="B186" s="106"/>
    </row>
    <row r="187" ht="15.75" customHeight="1">
      <c r="B187" s="106"/>
    </row>
    <row r="188" ht="15.75" customHeight="1">
      <c r="B188" s="106"/>
    </row>
    <row r="189" ht="15.75" customHeight="1">
      <c r="B189" s="106"/>
    </row>
    <row r="190" ht="15.75" customHeight="1">
      <c r="B190" s="106"/>
    </row>
    <row r="191" ht="15.75" customHeight="1">
      <c r="B191" s="106"/>
    </row>
    <row r="192" ht="15.75" customHeight="1">
      <c r="B192" s="106"/>
    </row>
    <row r="193" ht="15.75" customHeight="1">
      <c r="B193" s="106"/>
    </row>
    <row r="194" ht="15.75" customHeight="1">
      <c r="B194" s="106"/>
    </row>
    <row r="195" ht="15.75" customHeight="1">
      <c r="B195" s="106"/>
    </row>
    <row r="196" ht="15.75" customHeight="1">
      <c r="B196" s="106"/>
    </row>
    <row r="197" ht="15.75" customHeight="1">
      <c r="B197" s="106"/>
    </row>
    <row r="198" ht="15.75" customHeight="1">
      <c r="B198" s="106"/>
    </row>
    <row r="199" ht="15.75" customHeight="1">
      <c r="B199" s="106"/>
    </row>
    <row r="200" ht="15.75" customHeight="1">
      <c r="B200" s="106"/>
    </row>
    <row r="201" ht="15.75" customHeight="1">
      <c r="B201" s="106"/>
    </row>
    <row r="202" ht="15.75" customHeight="1">
      <c r="B202" s="106"/>
    </row>
    <row r="203" ht="15.75" customHeight="1">
      <c r="B203" s="106"/>
    </row>
    <row r="204" ht="15.75" customHeight="1">
      <c r="B204" s="106"/>
    </row>
    <row r="205" ht="15.75" customHeight="1">
      <c r="B205" s="106"/>
    </row>
    <row r="206" ht="15.75" customHeight="1">
      <c r="B206" s="106"/>
    </row>
    <row r="207" ht="15.75" customHeight="1">
      <c r="B207" s="106"/>
    </row>
    <row r="208" ht="15.75" customHeight="1">
      <c r="B208" s="106"/>
    </row>
    <row r="209" ht="15.75" customHeight="1">
      <c r="B209" s="106"/>
    </row>
    <row r="210" ht="15.75" customHeight="1">
      <c r="B210" s="106"/>
    </row>
    <row r="211" ht="15.75" customHeight="1">
      <c r="B211" s="106"/>
    </row>
    <row r="212" ht="15.75" customHeight="1">
      <c r="B212" s="106"/>
    </row>
    <row r="213" ht="15.75" customHeight="1">
      <c r="B213" s="106"/>
    </row>
    <row r="214" ht="15.75" customHeight="1">
      <c r="B214" s="106"/>
    </row>
    <row r="215" ht="15.75" customHeight="1">
      <c r="B215" s="106"/>
    </row>
    <row r="216" ht="15.75" customHeight="1">
      <c r="B216" s="106"/>
    </row>
    <row r="217" ht="15.75" customHeight="1">
      <c r="B217" s="106"/>
    </row>
    <row r="218" ht="15.75" customHeight="1">
      <c r="B218" s="106"/>
    </row>
    <row r="219" ht="15.75" customHeight="1">
      <c r="B219" s="106"/>
    </row>
    <row r="220" ht="15.75" customHeight="1">
      <c r="B220" s="106"/>
    </row>
    <row r="221" ht="15.75" customHeight="1">
      <c r="B221" s="106"/>
    </row>
    <row r="222" ht="15.75" customHeight="1">
      <c r="B222" s="106"/>
    </row>
    <row r="223" ht="15.75" customHeight="1">
      <c r="B223" s="106"/>
    </row>
    <row r="224" ht="15.75" customHeight="1">
      <c r="B224" s="106"/>
    </row>
    <row r="225" ht="15.75" customHeight="1">
      <c r="B225" s="106"/>
    </row>
    <row r="226" ht="15.75" customHeight="1">
      <c r="B226" s="106"/>
    </row>
    <row r="227" ht="15.75" customHeight="1">
      <c r="B227" s="106"/>
    </row>
    <row r="228" ht="15.75" customHeight="1">
      <c r="B228" s="106"/>
    </row>
    <row r="229" ht="15.75" customHeight="1">
      <c r="B229" s="106"/>
    </row>
    <row r="230" ht="15.75" customHeight="1">
      <c r="B230" s="106"/>
    </row>
    <row r="231" ht="15.75" customHeight="1">
      <c r="B231" s="106"/>
    </row>
    <row r="232" ht="15.75" customHeight="1">
      <c r="B232" s="106"/>
    </row>
    <row r="233" ht="15.75" customHeight="1">
      <c r="B233" s="106"/>
    </row>
    <row r="234" ht="15.75" customHeight="1">
      <c r="B234" s="106"/>
    </row>
    <row r="235" ht="15.75" customHeight="1">
      <c r="B235" s="106"/>
    </row>
    <row r="236" ht="15.75" customHeight="1">
      <c r="B236" s="106"/>
    </row>
    <row r="237" ht="15.75" customHeight="1">
      <c r="B237" s="106"/>
    </row>
    <row r="238" ht="15.75" customHeight="1">
      <c r="B238" s="106"/>
    </row>
    <row r="239" ht="15.75" customHeight="1">
      <c r="B239" s="106"/>
    </row>
    <row r="240" ht="15.75" customHeight="1">
      <c r="B240" s="106"/>
    </row>
    <row r="241" ht="15.75" customHeight="1">
      <c r="B241" s="106"/>
    </row>
    <row r="242" ht="15.75" customHeight="1">
      <c r="B242" s="106"/>
    </row>
    <row r="243" ht="15.75" customHeight="1">
      <c r="B243" s="106"/>
    </row>
    <row r="244" ht="15.75" customHeight="1">
      <c r="B244" s="106"/>
    </row>
    <row r="245" ht="15.75" customHeight="1">
      <c r="B245" s="106"/>
    </row>
    <row r="246" ht="15.75" customHeight="1">
      <c r="B246" s="106"/>
    </row>
    <row r="247" ht="15.75" customHeight="1">
      <c r="B247" s="106"/>
    </row>
    <row r="248" ht="15.75" customHeight="1">
      <c r="B248" s="106"/>
    </row>
    <row r="249" ht="15.75" customHeight="1">
      <c r="B249" s="106"/>
    </row>
    <row r="250" ht="15.75" customHeight="1">
      <c r="B250" s="106"/>
    </row>
    <row r="251" ht="15.75" customHeight="1">
      <c r="B251" s="106"/>
    </row>
    <row r="252" ht="15.75" customHeight="1">
      <c r="B252" s="106"/>
    </row>
    <row r="253" ht="15.75" customHeight="1">
      <c r="B253" s="106"/>
    </row>
    <row r="254" ht="15.75" customHeight="1">
      <c r="B254" s="106"/>
    </row>
    <row r="255" ht="15.75" customHeight="1">
      <c r="B255" s="106"/>
    </row>
    <row r="256" ht="15.75" customHeight="1">
      <c r="B256" s="106"/>
    </row>
    <row r="257" ht="15.75" customHeight="1">
      <c r="B257" s="106"/>
    </row>
    <row r="258" ht="15.75" customHeight="1">
      <c r="B258" s="106"/>
    </row>
    <row r="259" ht="15.75" customHeight="1">
      <c r="B259" s="106"/>
    </row>
    <row r="260" ht="15.75" customHeight="1">
      <c r="B260" s="106"/>
    </row>
    <row r="261" ht="15.75" customHeight="1">
      <c r="B261" s="106"/>
    </row>
    <row r="262" ht="15.75" customHeight="1">
      <c r="B262" s="106"/>
    </row>
    <row r="263" ht="15.75" customHeight="1">
      <c r="B263" s="106"/>
    </row>
    <row r="264" ht="15.75" customHeight="1">
      <c r="B264" s="106"/>
    </row>
    <row r="265" ht="15.75" customHeight="1">
      <c r="B265" s="106"/>
    </row>
    <row r="266" ht="15.75" customHeight="1">
      <c r="B266" s="106"/>
    </row>
    <row r="267" ht="15.75" customHeight="1">
      <c r="B267" s="106"/>
    </row>
    <row r="268" ht="15.75" customHeight="1">
      <c r="B268" s="106"/>
    </row>
    <row r="269" ht="15.75" customHeight="1">
      <c r="B269" s="106"/>
    </row>
    <row r="270" ht="15.75" customHeight="1">
      <c r="B270" s="106"/>
    </row>
    <row r="271" ht="15.75" customHeight="1">
      <c r="B271" s="106"/>
    </row>
    <row r="272" ht="15.75" customHeight="1">
      <c r="B272" s="106"/>
    </row>
    <row r="273" ht="15.75" customHeight="1">
      <c r="B273" s="106"/>
    </row>
    <row r="274" ht="15.75" customHeight="1">
      <c r="B274" s="106"/>
    </row>
    <row r="275" ht="15.75" customHeight="1">
      <c r="B275" s="106"/>
    </row>
    <row r="276" ht="15.75" customHeight="1">
      <c r="B276" s="106"/>
    </row>
    <row r="277" ht="15.75" customHeight="1">
      <c r="B277" s="106"/>
    </row>
    <row r="278" ht="15.75" customHeight="1">
      <c r="B278" s="106"/>
    </row>
    <row r="279" ht="15.75" customHeight="1">
      <c r="B279" s="106"/>
    </row>
    <row r="280" ht="15.75" customHeight="1">
      <c r="B280" s="106"/>
    </row>
    <row r="281" ht="15.75" customHeight="1">
      <c r="B281" s="106"/>
    </row>
    <row r="282" ht="15.75" customHeight="1">
      <c r="B282" s="106"/>
    </row>
    <row r="283" ht="15.75" customHeight="1">
      <c r="B283" s="106"/>
    </row>
    <row r="284" ht="15.75" customHeight="1">
      <c r="B284" s="106"/>
    </row>
    <row r="285" ht="15.75" customHeight="1">
      <c r="B285" s="106"/>
    </row>
    <row r="286" ht="15.75" customHeight="1">
      <c r="B286" s="106"/>
    </row>
    <row r="287" ht="15.75" customHeight="1">
      <c r="B287" s="106"/>
    </row>
    <row r="288" ht="15.75" customHeight="1">
      <c r="B288" s="106"/>
    </row>
    <row r="289" ht="15.75" customHeight="1">
      <c r="B289" s="106"/>
    </row>
    <row r="290" ht="15.75" customHeight="1">
      <c r="B290" s="106"/>
    </row>
    <row r="291" ht="15.75" customHeight="1">
      <c r="B291" s="106"/>
    </row>
    <row r="292" ht="15.75" customHeight="1">
      <c r="B292" s="106"/>
    </row>
    <row r="293" ht="15.75" customHeight="1">
      <c r="B293" s="106"/>
    </row>
    <row r="294" ht="15.75" customHeight="1">
      <c r="B294" s="106"/>
    </row>
    <row r="295" ht="15.75" customHeight="1">
      <c r="B295" s="106"/>
    </row>
    <row r="296" ht="15.75" customHeight="1">
      <c r="B296" s="106"/>
    </row>
    <row r="297" ht="15.75" customHeight="1">
      <c r="B297" s="106"/>
    </row>
    <row r="298" ht="15.75" customHeight="1">
      <c r="B298" s="106"/>
    </row>
    <row r="299" ht="15.75" customHeight="1">
      <c r="B299" s="106"/>
    </row>
    <row r="300" ht="15.75" customHeight="1">
      <c r="B300" s="106"/>
    </row>
    <row r="301" ht="15.75" customHeight="1">
      <c r="B301" s="106"/>
    </row>
    <row r="302" ht="15.75" customHeight="1">
      <c r="B302" s="106"/>
    </row>
    <row r="303" ht="15.75" customHeight="1">
      <c r="B303" s="106"/>
    </row>
    <row r="304" ht="15.75" customHeight="1">
      <c r="B304" s="106"/>
    </row>
    <row r="305" ht="15.75" customHeight="1">
      <c r="B305" s="106"/>
    </row>
    <row r="306" ht="15.75" customHeight="1">
      <c r="B306" s="106"/>
    </row>
    <row r="307" ht="15.75" customHeight="1">
      <c r="B307" s="106"/>
    </row>
    <row r="308" ht="15.75" customHeight="1">
      <c r="B308" s="106"/>
    </row>
    <row r="309" ht="15.75" customHeight="1">
      <c r="B309" s="106"/>
    </row>
    <row r="310" ht="15.75" customHeight="1">
      <c r="B310" s="106"/>
    </row>
    <row r="311" ht="15.75" customHeight="1">
      <c r="B311" s="106"/>
    </row>
    <row r="312" ht="15.75" customHeight="1">
      <c r="B312" s="106"/>
    </row>
    <row r="313" ht="15.75" customHeight="1">
      <c r="B313" s="106"/>
    </row>
    <row r="314" ht="15.75" customHeight="1">
      <c r="B314" s="106"/>
    </row>
    <row r="315" ht="15.75" customHeight="1">
      <c r="B315" s="106"/>
    </row>
    <row r="316" ht="15.75" customHeight="1">
      <c r="B316" s="106"/>
    </row>
    <row r="317" ht="15.75" customHeight="1">
      <c r="B317" s="106"/>
    </row>
    <row r="318" ht="15.75" customHeight="1">
      <c r="B318" s="106"/>
    </row>
    <row r="319" ht="15.75" customHeight="1">
      <c r="B319" s="106"/>
    </row>
    <row r="320" ht="15.75" customHeight="1">
      <c r="B320" s="106"/>
    </row>
    <row r="321" ht="15.75" customHeight="1">
      <c r="B321" s="106"/>
    </row>
    <row r="322" ht="15.75" customHeight="1">
      <c r="B322" s="106"/>
    </row>
    <row r="323" ht="15.75" customHeight="1">
      <c r="B323" s="106"/>
    </row>
    <row r="324" ht="15.75" customHeight="1">
      <c r="B324" s="106"/>
    </row>
    <row r="325" ht="15.75" customHeight="1">
      <c r="B325" s="106"/>
    </row>
    <row r="326" ht="15.75" customHeight="1">
      <c r="B326" s="106"/>
    </row>
    <row r="327" ht="15.75" customHeight="1">
      <c r="B327" s="106"/>
    </row>
    <row r="328" ht="15.75" customHeight="1">
      <c r="B328" s="106"/>
    </row>
    <row r="329" ht="15.75" customHeight="1">
      <c r="B329" s="106"/>
    </row>
    <row r="330" ht="15.75" customHeight="1">
      <c r="B330" s="106"/>
    </row>
    <row r="331" ht="15.75" customHeight="1">
      <c r="B331" s="106"/>
    </row>
    <row r="332" ht="15.75" customHeight="1">
      <c r="B332" s="106"/>
    </row>
    <row r="333" ht="15.75" customHeight="1">
      <c r="B333" s="106"/>
    </row>
    <row r="334" ht="15.75" customHeight="1">
      <c r="B334" s="106"/>
    </row>
    <row r="335" ht="15.75" customHeight="1">
      <c r="B335" s="106"/>
    </row>
    <row r="336" ht="15.75" customHeight="1">
      <c r="B336" s="106"/>
    </row>
    <row r="337" ht="15.75" customHeight="1">
      <c r="B337" s="106"/>
    </row>
    <row r="338" ht="15.75" customHeight="1">
      <c r="B338" s="106"/>
    </row>
    <row r="339" ht="15.75" customHeight="1">
      <c r="B339" s="106"/>
    </row>
    <row r="340" ht="15.75" customHeight="1">
      <c r="B340" s="106"/>
    </row>
    <row r="341" ht="15.75" customHeight="1">
      <c r="B341" s="106"/>
    </row>
    <row r="342" ht="15.75" customHeight="1">
      <c r="B342" s="106"/>
    </row>
    <row r="343" ht="15.75" customHeight="1">
      <c r="B343" s="106"/>
    </row>
    <row r="344" ht="15.75" customHeight="1">
      <c r="B344" s="106"/>
    </row>
    <row r="345" ht="15.75" customHeight="1">
      <c r="B345" s="106"/>
    </row>
    <row r="346" ht="15.75" customHeight="1">
      <c r="B346" s="106"/>
    </row>
    <row r="347" ht="15.75" customHeight="1">
      <c r="B347" s="106"/>
    </row>
    <row r="348" ht="15.75" customHeight="1">
      <c r="B348" s="106"/>
    </row>
    <row r="349" ht="15.75" customHeight="1">
      <c r="B349" s="106"/>
    </row>
    <row r="350" ht="15.75" customHeight="1">
      <c r="B350" s="106"/>
    </row>
    <row r="351" ht="15.75" customHeight="1">
      <c r="B351" s="106"/>
    </row>
    <row r="352" ht="15.75" customHeight="1">
      <c r="B352" s="106"/>
    </row>
    <row r="353" ht="15.75" customHeight="1">
      <c r="B353" s="106"/>
    </row>
    <row r="354" ht="15.75" customHeight="1">
      <c r="B354" s="106"/>
    </row>
    <row r="355" ht="15.75" customHeight="1">
      <c r="B355" s="106"/>
    </row>
    <row r="356" ht="15.75" customHeight="1">
      <c r="B356" s="106"/>
    </row>
    <row r="357" ht="15.75" customHeight="1">
      <c r="B357" s="106"/>
    </row>
    <row r="358" ht="15.75" customHeight="1">
      <c r="B358" s="106"/>
    </row>
    <row r="359" ht="15.75" customHeight="1">
      <c r="B359" s="106"/>
    </row>
    <row r="360" ht="15.75" customHeight="1">
      <c r="B360" s="106"/>
    </row>
    <row r="361" ht="15.75" customHeight="1">
      <c r="B361" s="106"/>
    </row>
    <row r="362" ht="15.75" customHeight="1">
      <c r="B362" s="106"/>
    </row>
    <row r="363" ht="15.75" customHeight="1">
      <c r="B363" s="106"/>
    </row>
    <row r="364" ht="15.75" customHeight="1">
      <c r="B364" s="106"/>
    </row>
    <row r="365" ht="15.75" customHeight="1">
      <c r="B365" s="106"/>
    </row>
    <row r="366" ht="15.75" customHeight="1">
      <c r="B366" s="106"/>
    </row>
    <row r="367" ht="15.75" customHeight="1">
      <c r="B367" s="106"/>
    </row>
    <row r="368" ht="15.75" customHeight="1">
      <c r="B368" s="106"/>
    </row>
    <row r="369" ht="15.75" customHeight="1">
      <c r="B369" s="106"/>
    </row>
    <row r="370" ht="15.75" customHeight="1">
      <c r="B370" s="106"/>
    </row>
    <row r="371" ht="15.75" customHeight="1">
      <c r="B371" s="106"/>
    </row>
    <row r="372" ht="15.75" customHeight="1">
      <c r="B372" s="106"/>
    </row>
    <row r="373" ht="15.75" customHeight="1">
      <c r="B373" s="106"/>
    </row>
    <row r="374" ht="15.75" customHeight="1">
      <c r="B374" s="106"/>
    </row>
    <row r="375" ht="15.75" customHeight="1">
      <c r="B375" s="106"/>
    </row>
    <row r="376" ht="15.75" customHeight="1">
      <c r="B376" s="106"/>
    </row>
    <row r="377" ht="15.75" customHeight="1">
      <c r="B377" s="106"/>
    </row>
    <row r="378" ht="15.75" customHeight="1">
      <c r="B378" s="106"/>
    </row>
    <row r="379" ht="15.75" customHeight="1">
      <c r="B379" s="106"/>
    </row>
    <row r="380" ht="15.75" customHeight="1">
      <c r="B380" s="106"/>
    </row>
    <row r="381" ht="15.75" customHeight="1">
      <c r="B381" s="106"/>
    </row>
    <row r="382" ht="15.75" customHeight="1">
      <c r="B382" s="106"/>
    </row>
    <row r="383" ht="15.75" customHeight="1">
      <c r="B383" s="106"/>
    </row>
    <row r="384" ht="15.75" customHeight="1">
      <c r="B384" s="106"/>
    </row>
    <row r="385" ht="15.75" customHeight="1">
      <c r="B385" s="106"/>
    </row>
    <row r="386" ht="15.75" customHeight="1">
      <c r="B386" s="106"/>
    </row>
    <row r="387" ht="15.75" customHeight="1">
      <c r="B387" s="106"/>
    </row>
    <row r="388" ht="15.75" customHeight="1">
      <c r="B388" s="106"/>
    </row>
    <row r="389" ht="15.75" customHeight="1">
      <c r="B389" s="106"/>
    </row>
    <row r="390" ht="15.75" customHeight="1">
      <c r="B390" s="106"/>
    </row>
    <row r="391" ht="15.75" customHeight="1">
      <c r="B391" s="106"/>
    </row>
    <row r="392" ht="15.75" customHeight="1">
      <c r="B392" s="106"/>
    </row>
    <row r="393" ht="15.75" customHeight="1">
      <c r="B393" s="106"/>
    </row>
    <row r="394" ht="15.75" customHeight="1">
      <c r="B394" s="106"/>
    </row>
    <row r="395" ht="15.75" customHeight="1">
      <c r="B395" s="106"/>
    </row>
    <row r="396" ht="15.75" customHeight="1">
      <c r="B396" s="106"/>
    </row>
    <row r="397" ht="15.75" customHeight="1">
      <c r="B397" s="106"/>
    </row>
    <row r="398" ht="15.75" customHeight="1">
      <c r="B398" s="106"/>
    </row>
    <row r="399" ht="15.75" customHeight="1">
      <c r="B399" s="106"/>
    </row>
    <row r="400" ht="15.75" customHeight="1">
      <c r="B400" s="106"/>
    </row>
    <row r="401" ht="15.75" customHeight="1">
      <c r="B401" s="106"/>
    </row>
    <row r="402" ht="15.75" customHeight="1">
      <c r="B402" s="106"/>
    </row>
    <row r="403" ht="15.75" customHeight="1">
      <c r="B403" s="106"/>
    </row>
    <row r="404" ht="15.75" customHeight="1">
      <c r="B404" s="106"/>
    </row>
    <row r="405" ht="15.75" customHeight="1">
      <c r="B405" s="106"/>
    </row>
    <row r="406" ht="15.75" customHeight="1">
      <c r="B406" s="106"/>
    </row>
    <row r="407" ht="15.75" customHeight="1">
      <c r="B407" s="106"/>
    </row>
    <row r="408" ht="15.75" customHeight="1">
      <c r="B408" s="106"/>
    </row>
    <row r="409" ht="15.75" customHeight="1">
      <c r="B409" s="106"/>
    </row>
    <row r="410" ht="15.75" customHeight="1">
      <c r="B410" s="106"/>
    </row>
    <row r="411" ht="15.75" customHeight="1">
      <c r="B411" s="106"/>
    </row>
    <row r="412" ht="15.75" customHeight="1">
      <c r="B412" s="106"/>
    </row>
    <row r="413" ht="15.75" customHeight="1">
      <c r="B413" s="106"/>
    </row>
    <row r="414" ht="15.75" customHeight="1">
      <c r="B414" s="106"/>
    </row>
    <row r="415" ht="15.75" customHeight="1">
      <c r="B415" s="106"/>
    </row>
    <row r="416" ht="15.75" customHeight="1">
      <c r="B416" s="106"/>
    </row>
    <row r="417" ht="15.75" customHeight="1">
      <c r="B417" s="106"/>
    </row>
    <row r="418" ht="15.75" customHeight="1">
      <c r="B418" s="106"/>
    </row>
    <row r="419" ht="15.75" customHeight="1">
      <c r="B419" s="106"/>
    </row>
    <row r="420" ht="15.75" customHeight="1">
      <c r="B420" s="106"/>
    </row>
    <row r="421" ht="15.75" customHeight="1">
      <c r="B421" s="106"/>
    </row>
    <row r="422" ht="15.75" customHeight="1">
      <c r="B422" s="106"/>
    </row>
    <row r="423" ht="15.75" customHeight="1">
      <c r="B423" s="106"/>
    </row>
    <row r="424" ht="15.75" customHeight="1">
      <c r="B424" s="106"/>
    </row>
    <row r="425" ht="15.75" customHeight="1">
      <c r="B425" s="106"/>
    </row>
    <row r="426" ht="15.75" customHeight="1">
      <c r="B426" s="106"/>
    </row>
    <row r="427" ht="15.75" customHeight="1">
      <c r="B427" s="106"/>
    </row>
    <row r="428" ht="15.75" customHeight="1">
      <c r="B428" s="106"/>
    </row>
    <row r="429" ht="15.75" customHeight="1">
      <c r="B429" s="106"/>
    </row>
    <row r="430" ht="15.75" customHeight="1">
      <c r="B430" s="106"/>
    </row>
    <row r="431" ht="15.75" customHeight="1">
      <c r="B431" s="106"/>
    </row>
    <row r="432" ht="15.75" customHeight="1">
      <c r="B432" s="106"/>
    </row>
    <row r="433" ht="15.75" customHeight="1">
      <c r="B433" s="106"/>
    </row>
    <row r="434" ht="15.75" customHeight="1">
      <c r="B434" s="106"/>
    </row>
    <row r="435" ht="15.75" customHeight="1">
      <c r="B435" s="106"/>
    </row>
    <row r="436" ht="15.75" customHeight="1">
      <c r="B436" s="106"/>
    </row>
    <row r="437" ht="15.75" customHeight="1">
      <c r="B437" s="106"/>
    </row>
    <row r="438" ht="15.75" customHeight="1">
      <c r="B438" s="106"/>
    </row>
    <row r="439" ht="15.75" customHeight="1">
      <c r="B439" s="106"/>
    </row>
    <row r="440" ht="15.75" customHeight="1">
      <c r="B440" s="106"/>
    </row>
    <row r="441" ht="15.75" customHeight="1">
      <c r="B441" s="106"/>
    </row>
    <row r="442" ht="15.75" customHeight="1">
      <c r="B442" s="106"/>
    </row>
    <row r="443" ht="15.75" customHeight="1">
      <c r="B443" s="106"/>
    </row>
    <row r="444" ht="15.75" customHeight="1">
      <c r="B444" s="106"/>
    </row>
    <row r="445" ht="15.75" customHeight="1">
      <c r="B445" s="106"/>
    </row>
    <row r="446" ht="15.75" customHeight="1">
      <c r="B446" s="106"/>
    </row>
    <row r="447" ht="15.75" customHeight="1">
      <c r="B447" s="106"/>
    </row>
    <row r="448" ht="15.75" customHeight="1">
      <c r="B448" s="106"/>
    </row>
    <row r="449" ht="15.75" customHeight="1">
      <c r="B449" s="106"/>
    </row>
    <row r="450" ht="15.75" customHeight="1">
      <c r="B450" s="106"/>
    </row>
    <row r="451" ht="15.75" customHeight="1">
      <c r="B451" s="106"/>
    </row>
    <row r="452" ht="15.75" customHeight="1">
      <c r="B452" s="106"/>
    </row>
    <row r="453" ht="15.75" customHeight="1">
      <c r="B453" s="106"/>
    </row>
    <row r="454" ht="15.75" customHeight="1">
      <c r="B454" s="106"/>
    </row>
    <row r="455" ht="15.75" customHeight="1">
      <c r="B455" s="106"/>
    </row>
    <row r="456" ht="15.75" customHeight="1">
      <c r="B456" s="106"/>
    </row>
    <row r="457" ht="15.75" customHeight="1">
      <c r="B457" s="106"/>
    </row>
    <row r="458" ht="15.75" customHeight="1">
      <c r="B458" s="106"/>
    </row>
    <row r="459" ht="15.75" customHeight="1">
      <c r="B459" s="106"/>
    </row>
    <row r="460" ht="15.75" customHeight="1">
      <c r="B460" s="106"/>
    </row>
    <row r="461" ht="15.75" customHeight="1">
      <c r="B461" s="106"/>
    </row>
    <row r="462" ht="15.75" customHeight="1">
      <c r="B462" s="106"/>
    </row>
    <row r="463" ht="15.75" customHeight="1">
      <c r="B463" s="106"/>
    </row>
    <row r="464" ht="15.75" customHeight="1">
      <c r="B464" s="106"/>
    </row>
    <row r="465" ht="15.75" customHeight="1">
      <c r="B465" s="106"/>
    </row>
    <row r="466" ht="15.75" customHeight="1">
      <c r="B466" s="106"/>
    </row>
    <row r="467" ht="15.75" customHeight="1">
      <c r="B467" s="106"/>
    </row>
    <row r="468" ht="15.75" customHeight="1">
      <c r="B468" s="106"/>
    </row>
    <row r="469" ht="15.75" customHeight="1">
      <c r="B469" s="106"/>
    </row>
    <row r="470" ht="15.75" customHeight="1">
      <c r="B470" s="106"/>
    </row>
    <row r="471" ht="15.75" customHeight="1">
      <c r="B471" s="106"/>
    </row>
    <row r="472" ht="15.75" customHeight="1">
      <c r="B472" s="106"/>
    </row>
    <row r="473" ht="15.75" customHeight="1">
      <c r="B473" s="106"/>
    </row>
    <row r="474" ht="15.75" customHeight="1">
      <c r="B474" s="106"/>
    </row>
    <row r="475" ht="15.75" customHeight="1">
      <c r="B475" s="106"/>
    </row>
    <row r="476" ht="15.75" customHeight="1">
      <c r="B476" s="106"/>
    </row>
    <row r="477" ht="15.75" customHeight="1">
      <c r="B477" s="106"/>
    </row>
    <row r="478" ht="15.75" customHeight="1">
      <c r="B478" s="106"/>
    </row>
    <row r="479" ht="15.75" customHeight="1">
      <c r="B479" s="106"/>
    </row>
    <row r="480" ht="15.75" customHeight="1">
      <c r="B480" s="106"/>
    </row>
    <row r="481" ht="15.75" customHeight="1">
      <c r="B481" s="106"/>
    </row>
    <row r="482" ht="15.75" customHeight="1">
      <c r="B482" s="106"/>
    </row>
    <row r="483" ht="15.75" customHeight="1">
      <c r="B483" s="106"/>
    </row>
    <row r="484" ht="15.75" customHeight="1">
      <c r="B484" s="106"/>
    </row>
    <row r="485" ht="15.75" customHeight="1">
      <c r="B485" s="106"/>
    </row>
    <row r="486" ht="15.75" customHeight="1">
      <c r="B486" s="106"/>
    </row>
    <row r="487" ht="15.75" customHeight="1">
      <c r="B487" s="106"/>
    </row>
    <row r="488" ht="15.75" customHeight="1">
      <c r="B488" s="106"/>
    </row>
    <row r="489" ht="15.75" customHeight="1">
      <c r="B489" s="106"/>
    </row>
    <row r="490" ht="15.75" customHeight="1">
      <c r="B490" s="106"/>
    </row>
    <row r="491" ht="15.75" customHeight="1">
      <c r="B491" s="106"/>
    </row>
    <row r="492" ht="15.75" customHeight="1">
      <c r="B492" s="106"/>
    </row>
    <row r="493" ht="15.75" customHeight="1">
      <c r="B493" s="106"/>
    </row>
    <row r="494" ht="15.75" customHeight="1">
      <c r="B494" s="106"/>
    </row>
    <row r="495" ht="15.75" customHeight="1">
      <c r="B495" s="106"/>
    </row>
    <row r="496" ht="15.75" customHeight="1">
      <c r="B496" s="106"/>
    </row>
    <row r="497" ht="15.75" customHeight="1">
      <c r="B497" s="106"/>
    </row>
    <row r="498" ht="15.75" customHeight="1">
      <c r="B498" s="106"/>
    </row>
    <row r="499" ht="15.75" customHeight="1">
      <c r="B499" s="106"/>
    </row>
    <row r="500" ht="15.75" customHeight="1">
      <c r="B500" s="106"/>
    </row>
    <row r="501" ht="15.75" customHeight="1">
      <c r="B501" s="106"/>
    </row>
    <row r="502" ht="15.75" customHeight="1">
      <c r="B502" s="106"/>
    </row>
    <row r="503" ht="15.75" customHeight="1">
      <c r="B503" s="106"/>
    </row>
    <row r="504" ht="15.75" customHeight="1">
      <c r="B504" s="106"/>
    </row>
    <row r="505" ht="15.75" customHeight="1">
      <c r="B505" s="106"/>
    </row>
    <row r="506" ht="15.75" customHeight="1">
      <c r="B506" s="106"/>
    </row>
    <row r="507" ht="15.75" customHeight="1">
      <c r="B507" s="106"/>
    </row>
    <row r="508" ht="15.75" customHeight="1">
      <c r="B508" s="106"/>
    </row>
    <row r="509" ht="15.75" customHeight="1">
      <c r="B509" s="106"/>
    </row>
    <row r="510" ht="15.75" customHeight="1">
      <c r="B510" s="106"/>
    </row>
    <row r="511" ht="15.75" customHeight="1">
      <c r="B511" s="106"/>
    </row>
    <row r="512" ht="15.75" customHeight="1">
      <c r="B512" s="106"/>
    </row>
    <row r="513" ht="15.75" customHeight="1">
      <c r="B513" s="106"/>
    </row>
    <row r="514" ht="15.75" customHeight="1">
      <c r="B514" s="106"/>
    </row>
    <row r="515" ht="15.75" customHeight="1">
      <c r="B515" s="106"/>
    </row>
    <row r="516" ht="15.75" customHeight="1">
      <c r="B516" s="106"/>
    </row>
    <row r="517" ht="15.75" customHeight="1">
      <c r="B517" s="106"/>
    </row>
    <row r="518" ht="15.75" customHeight="1">
      <c r="B518" s="106"/>
    </row>
    <row r="519" ht="15.75" customHeight="1">
      <c r="B519" s="106"/>
    </row>
    <row r="520" ht="15.75" customHeight="1">
      <c r="B520" s="106"/>
    </row>
    <row r="521" ht="15.75" customHeight="1">
      <c r="B521" s="106"/>
    </row>
    <row r="522" ht="15.75" customHeight="1">
      <c r="B522" s="106"/>
    </row>
    <row r="523" ht="15.75" customHeight="1">
      <c r="B523" s="106"/>
    </row>
    <row r="524" ht="15.75" customHeight="1">
      <c r="B524" s="106"/>
    </row>
    <row r="525" ht="15.75" customHeight="1">
      <c r="B525" s="106"/>
    </row>
    <row r="526" ht="15.75" customHeight="1">
      <c r="B526" s="106"/>
    </row>
    <row r="527" ht="15.75" customHeight="1">
      <c r="B527" s="106"/>
    </row>
    <row r="528" ht="15.75" customHeight="1">
      <c r="B528" s="106"/>
    </row>
    <row r="529" ht="15.75" customHeight="1">
      <c r="B529" s="106"/>
    </row>
    <row r="530" ht="15.75" customHeight="1">
      <c r="B530" s="106"/>
    </row>
    <row r="531" ht="15.75" customHeight="1">
      <c r="B531" s="106"/>
    </row>
    <row r="532" ht="15.75" customHeight="1">
      <c r="B532" s="106"/>
    </row>
    <row r="533" ht="15.75" customHeight="1">
      <c r="B533" s="106"/>
    </row>
    <row r="534" ht="15.75" customHeight="1">
      <c r="B534" s="106"/>
    </row>
    <row r="535" ht="15.75" customHeight="1">
      <c r="B535" s="106"/>
    </row>
    <row r="536" ht="15.75" customHeight="1">
      <c r="B536" s="106"/>
    </row>
    <row r="537" ht="15.75" customHeight="1">
      <c r="B537" s="106"/>
    </row>
    <row r="538" ht="15.75" customHeight="1">
      <c r="B538" s="106"/>
    </row>
    <row r="539" ht="15.75" customHeight="1">
      <c r="B539" s="106"/>
    </row>
    <row r="540" ht="15.75" customHeight="1">
      <c r="B540" s="106"/>
    </row>
    <row r="541" ht="15.75" customHeight="1">
      <c r="B541" s="106"/>
    </row>
    <row r="542" ht="15.75" customHeight="1">
      <c r="B542" s="106"/>
    </row>
    <row r="543" ht="15.75" customHeight="1">
      <c r="B543" s="106"/>
    </row>
    <row r="544" ht="15.75" customHeight="1">
      <c r="B544" s="106"/>
    </row>
    <row r="545" ht="15.75" customHeight="1">
      <c r="B545" s="106"/>
    </row>
    <row r="546" ht="15.75" customHeight="1">
      <c r="B546" s="106"/>
    </row>
    <row r="547" ht="15.75" customHeight="1">
      <c r="B547" s="106"/>
    </row>
    <row r="548" ht="15.75" customHeight="1">
      <c r="B548" s="106"/>
    </row>
    <row r="549" ht="15.75" customHeight="1">
      <c r="B549" s="106"/>
    </row>
    <row r="550" ht="15.75" customHeight="1">
      <c r="B550" s="106"/>
    </row>
    <row r="551" ht="15.75" customHeight="1">
      <c r="B551" s="106"/>
    </row>
    <row r="552" ht="15.75" customHeight="1">
      <c r="B552" s="106"/>
    </row>
    <row r="553" ht="15.75" customHeight="1">
      <c r="B553" s="106"/>
    </row>
    <row r="554" ht="15.75" customHeight="1">
      <c r="B554" s="106"/>
    </row>
    <row r="555" ht="15.75" customHeight="1">
      <c r="B555" s="106"/>
    </row>
    <row r="556" ht="15.75" customHeight="1">
      <c r="B556" s="106"/>
    </row>
    <row r="557" ht="15.75" customHeight="1">
      <c r="B557" s="106"/>
    </row>
    <row r="558" ht="15.75" customHeight="1">
      <c r="B558" s="106"/>
    </row>
    <row r="559" ht="15.75" customHeight="1">
      <c r="B559" s="106"/>
    </row>
    <row r="560" ht="15.75" customHeight="1">
      <c r="B560" s="106"/>
    </row>
    <row r="561" ht="15.75" customHeight="1">
      <c r="B561" s="106"/>
    </row>
    <row r="562" ht="15.75" customHeight="1">
      <c r="B562" s="106"/>
    </row>
    <row r="563" ht="15.75" customHeight="1">
      <c r="B563" s="106"/>
    </row>
    <row r="564" ht="15.75" customHeight="1">
      <c r="B564" s="106"/>
    </row>
    <row r="565" ht="15.75" customHeight="1">
      <c r="B565" s="106"/>
    </row>
    <row r="566" ht="15.75" customHeight="1">
      <c r="B566" s="106"/>
    </row>
    <row r="567" ht="15.75" customHeight="1">
      <c r="B567" s="106"/>
    </row>
    <row r="568" ht="15.75" customHeight="1">
      <c r="B568" s="106"/>
    </row>
    <row r="569" ht="15.75" customHeight="1">
      <c r="B569" s="106"/>
    </row>
    <row r="570" ht="15.75" customHeight="1">
      <c r="B570" s="106"/>
    </row>
    <row r="571" ht="15.75" customHeight="1">
      <c r="B571" s="106"/>
    </row>
    <row r="572" ht="15.75" customHeight="1">
      <c r="B572" s="106"/>
    </row>
    <row r="573" ht="15.75" customHeight="1">
      <c r="B573" s="106"/>
    </row>
    <row r="574" ht="15.75" customHeight="1">
      <c r="B574" s="106"/>
    </row>
    <row r="575" ht="15.75" customHeight="1">
      <c r="B575" s="106"/>
    </row>
    <row r="576" ht="15.75" customHeight="1">
      <c r="B576" s="106"/>
    </row>
    <row r="577" ht="15.75" customHeight="1">
      <c r="B577" s="106"/>
    </row>
    <row r="578" ht="15.75" customHeight="1">
      <c r="B578" s="106"/>
    </row>
    <row r="579" ht="15.75" customHeight="1">
      <c r="B579" s="106"/>
    </row>
    <row r="580" ht="15.75" customHeight="1">
      <c r="B580" s="106"/>
    </row>
    <row r="581" ht="15.75" customHeight="1">
      <c r="B581" s="106"/>
    </row>
    <row r="582" ht="15.75" customHeight="1">
      <c r="B582" s="106"/>
    </row>
    <row r="583" ht="15.75" customHeight="1">
      <c r="B583" s="106"/>
    </row>
    <row r="584" ht="15.75" customHeight="1">
      <c r="B584" s="106"/>
    </row>
    <row r="585" ht="15.75" customHeight="1">
      <c r="B585" s="106"/>
    </row>
    <row r="586" ht="15.75" customHeight="1">
      <c r="B586" s="106"/>
    </row>
    <row r="587" ht="15.75" customHeight="1">
      <c r="B587" s="106"/>
    </row>
    <row r="588" ht="15.75" customHeight="1">
      <c r="B588" s="106"/>
    </row>
    <row r="589" ht="15.75" customHeight="1">
      <c r="B589" s="106"/>
    </row>
    <row r="590" ht="15.75" customHeight="1">
      <c r="B590" s="106"/>
    </row>
    <row r="591" ht="15.75" customHeight="1">
      <c r="B591" s="106"/>
    </row>
    <row r="592" ht="15.75" customHeight="1">
      <c r="B592" s="106"/>
    </row>
    <row r="593" ht="15.75" customHeight="1">
      <c r="B593" s="106"/>
    </row>
    <row r="594" ht="15.75" customHeight="1">
      <c r="B594" s="106"/>
    </row>
    <row r="595" ht="15.75" customHeight="1">
      <c r="B595" s="106"/>
    </row>
    <row r="596" ht="15.75" customHeight="1">
      <c r="B596" s="106"/>
    </row>
    <row r="597" ht="15.75" customHeight="1">
      <c r="B597" s="106"/>
    </row>
    <row r="598" ht="15.75" customHeight="1">
      <c r="B598" s="106"/>
    </row>
    <row r="599" ht="15.75" customHeight="1">
      <c r="B599" s="106"/>
    </row>
    <row r="600" ht="15.75" customHeight="1">
      <c r="B600" s="106"/>
    </row>
    <row r="601" ht="15.75" customHeight="1">
      <c r="B601" s="106"/>
    </row>
    <row r="602" ht="15.75" customHeight="1">
      <c r="B602" s="106"/>
    </row>
    <row r="603" ht="15.75" customHeight="1">
      <c r="B603" s="106"/>
    </row>
    <row r="604" ht="15.75" customHeight="1">
      <c r="B604" s="106"/>
    </row>
    <row r="605" ht="15.75" customHeight="1">
      <c r="B605" s="106"/>
    </row>
    <row r="606" ht="15.75" customHeight="1">
      <c r="B606" s="106"/>
    </row>
    <row r="607" ht="15.75" customHeight="1">
      <c r="B607" s="106"/>
    </row>
    <row r="608" ht="15.75" customHeight="1">
      <c r="B608" s="106"/>
    </row>
    <row r="609" ht="15.75" customHeight="1">
      <c r="B609" s="106"/>
    </row>
    <row r="610" ht="15.75" customHeight="1">
      <c r="B610" s="106"/>
    </row>
    <row r="611" ht="15.75" customHeight="1">
      <c r="B611" s="106"/>
    </row>
    <row r="612" ht="15.75" customHeight="1">
      <c r="B612" s="106"/>
    </row>
    <row r="613" ht="15.75" customHeight="1">
      <c r="B613" s="106"/>
    </row>
    <row r="614" ht="15.75" customHeight="1">
      <c r="B614" s="106"/>
    </row>
    <row r="615" ht="15.75" customHeight="1">
      <c r="B615" s="106"/>
    </row>
    <row r="616" ht="15.75" customHeight="1">
      <c r="B616" s="106"/>
    </row>
    <row r="617" ht="15.75" customHeight="1">
      <c r="B617" s="106"/>
    </row>
    <row r="618" ht="15.75" customHeight="1">
      <c r="B618" s="106"/>
    </row>
    <row r="619" ht="15.75" customHeight="1">
      <c r="B619" s="106"/>
    </row>
    <row r="620" ht="15.75" customHeight="1">
      <c r="B620" s="106"/>
    </row>
    <row r="621" ht="15.75" customHeight="1">
      <c r="B621" s="106"/>
    </row>
    <row r="622" ht="15.75" customHeight="1">
      <c r="B622" s="106"/>
    </row>
    <row r="623" ht="15.75" customHeight="1">
      <c r="B623" s="106"/>
    </row>
    <row r="624" ht="15.75" customHeight="1">
      <c r="B624" s="106"/>
    </row>
    <row r="625" ht="15.75" customHeight="1">
      <c r="B625" s="106"/>
    </row>
    <row r="626" ht="15.75" customHeight="1">
      <c r="B626" s="106"/>
    </row>
    <row r="627" ht="15.75" customHeight="1">
      <c r="B627" s="106"/>
    </row>
    <row r="628" ht="15.75" customHeight="1">
      <c r="B628" s="106"/>
    </row>
    <row r="629" ht="15.75" customHeight="1">
      <c r="B629" s="106"/>
    </row>
    <row r="630" ht="15.75" customHeight="1">
      <c r="B630" s="106"/>
    </row>
    <row r="631" ht="15.75" customHeight="1">
      <c r="B631" s="106"/>
    </row>
    <row r="632" ht="15.75" customHeight="1">
      <c r="B632" s="106"/>
    </row>
    <row r="633" ht="15.75" customHeight="1">
      <c r="B633" s="106"/>
    </row>
    <row r="634" ht="15.75" customHeight="1">
      <c r="B634" s="106"/>
    </row>
    <row r="635" ht="15.75" customHeight="1">
      <c r="B635" s="106"/>
    </row>
    <row r="636" ht="15.75" customHeight="1">
      <c r="B636" s="106"/>
    </row>
    <row r="637" ht="15.75" customHeight="1">
      <c r="B637" s="106"/>
    </row>
    <row r="638" ht="15.75" customHeight="1">
      <c r="B638" s="106"/>
    </row>
    <row r="639" ht="15.75" customHeight="1">
      <c r="B639" s="106"/>
    </row>
    <row r="640" ht="15.75" customHeight="1">
      <c r="B640" s="106"/>
    </row>
    <row r="641" ht="15.75" customHeight="1">
      <c r="B641" s="106"/>
    </row>
    <row r="642" ht="15.75" customHeight="1">
      <c r="B642" s="106"/>
    </row>
    <row r="643" ht="15.75" customHeight="1">
      <c r="B643" s="106"/>
    </row>
    <row r="644" ht="15.75" customHeight="1">
      <c r="B644" s="106"/>
    </row>
    <row r="645" ht="15.75" customHeight="1">
      <c r="B645" s="106"/>
    </row>
    <row r="646" ht="15.75" customHeight="1">
      <c r="B646" s="106"/>
    </row>
    <row r="647" ht="15.75" customHeight="1">
      <c r="B647" s="106"/>
    </row>
    <row r="648" ht="15.75" customHeight="1">
      <c r="B648" s="106"/>
    </row>
    <row r="649" ht="15.75" customHeight="1">
      <c r="B649" s="106"/>
    </row>
    <row r="650" ht="15.75" customHeight="1">
      <c r="B650" s="106"/>
    </row>
    <row r="651" ht="15.75" customHeight="1">
      <c r="B651" s="106"/>
    </row>
    <row r="652" ht="15.75" customHeight="1">
      <c r="B652" s="106"/>
    </row>
    <row r="653" ht="15.75" customHeight="1">
      <c r="B653" s="106"/>
    </row>
    <row r="654" ht="15.75" customHeight="1">
      <c r="B654" s="106"/>
    </row>
    <row r="655" ht="15.75" customHeight="1">
      <c r="B655" s="106"/>
    </row>
    <row r="656" ht="15.75" customHeight="1">
      <c r="B656" s="106"/>
    </row>
    <row r="657" ht="15.75" customHeight="1">
      <c r="B657" s="106"/>
    </row>
    <row r="658" ht="15.75" customHeight="1">
      <c r="B658" s="106"/>
    </row>
    <row r="659" ht="15.75" customHeight="1">
      <c r="B659" s="106"/>
    </row>
    <row r="660" ht="15.75" customHeight="1">
      <c r="B660" s="106"/>
    </row>
    <row r="661" ht="15.75" customHeight="1">
      <c r="B661" s="106"/>
    </row>
    <row r="662" ht="15.75" customHeight="1">
      <c r="B662" s="106"/>
    </row>
    <row r="663" ht="15.75" customHeight="1">
      <c r="B663" s="106"/>
    </row>
    <row r="664" ht="15.75" customHeight="1">
      <c r="B664" s="106"/>
    </row>
    <row r="665" ht="15.75" customHeight="1">
      <c r="B665" s="106"/>
    </row>
    <row r="666" ht="15.75" customHeight="1">
      <c r="B666" s="106"/>
    </row>
    <row r="667" ht="15.75" customHeight="1">
      <c r="B667" s="106"/>
    </row>
    <row r="668" ht="15.75" customHeight="1">
      <c r="B668" s="106"/>
    </row>
    <row r="669" ht="15.75" customHeight="1">
      <c r="B669" s="106"/>
    </row>
    <row r="670" ht="15.75" customHeight="1">
      <c r="B670" s="106"/>
    </row>
    <row r="671" ht="15.75" customHeight="1">
      <c r="B671" s="106"/>
    </row>
    <row r="672" ht="15.75" customHeight="1">
      <c r="B672" s="106"/>
    </row>
    <row r="673" ht="15.75" customHeight="1">
      <c r="B673" s="106"/>
    </row>
    <row r="674" ht="15.75" customHeight="1">
      <c r="B674" s="106"/>
    </row>
    <row r="675" ht="15.75" customHeight="1">
      <c r="B675" s="106"/>
    </row>
    <row r="676" ht="15.75" customHeight="1">
      <c r="B676" s="106"/>
    </row>
    <row r="677" ht="15.75" customHeight="1">
      <c r="B677" s="106"/>
    </row>
    <row r="678" ht="15.75" customHeight="1">
      <c r="B678" s="106"/>
    </row>
    <row r="679" ht="15.75" customHeight="1">
      <c r="B679" s="106"/>
    </row>
    <row r="680" ht="15.75" customHeight="1">
      <c r="B680" s="106"/>
    </row>
    <row r="681" ht="15.75" customHeight="1">
      <c r="B681" s="106"/>
    </row>
    <row r="682" ht="15.75" customHeight="1">
      <c r="B682" s="106"/>
    </row>
    <row r="683" ht="15.75" customHeight="1">
      <c r="B683" s="106"/>
    </row>
    <row r="684" ht="15.75" customHeight="1">
      <c r="B684" s="106"/>
    </row>
    <row r="685" ht="15.75" customHeight="1">
      <c r="B685" s="106"/>
    </row>
    <row r="686" ht="15.75" customHeight="1">
      <c r="B686" s="106"/>
    </row>
    <row r="687" ht="15.75" customHeight="1">
      <c r="B687" s="106"/>
    </row>
    <row r="688" ht="15.75" customHeight="1">
      <c r="B688" s="106"/>
    </row>
    <row r="689" ht="15.75" customHeight="1">
      <c r="B689" s="106"/>
    </row>
    <row r="690" ht="15.75" customHeight="1">
      <c r="B690" s="106"/>
    </row>
    <row r="691" ht="15.75" customHeight="1">
      <c r="B691" s="106"/>
    </row>
    <row r="692" ht="15.75" customHeight="1">
      <c r="B692" s="106"/>
    </row>
    <row r="693" ht="15.75" customHeight="1">
      <c r="B693" s="106"/>
    </row>
    <row r="694" ht="15.75" customHeight="1">
      <c r="B694" s="106"/>
    </row>
    <row r="695" ht="15.75" customHeight="1">
      <c r="B695" s="106"/>
    </row>
    <row r="696" ht="15.75" customHeight="1">
      <c r="B696" s="106"/>
    </row>
    <row r="697" ht="15.75" customHeight="1">
      <c r="B697" s="106"/>
    </row>
    <row r="698" ht="15.75" customHeight="1">
      <c r="B698" s="106"/>
    </row>
    <row r="699" ht="15.75" customHeight="1">
      <c r="B699" s="106"/>
    </row>
    <row r="700" ht="15.75" customHeight="1">
      <c r="B700" s="106"/>
    </row>
    <row r="701" ht="15.75" customHeight="1">
      <c r="B701" s="106"/>
    </row>
    <row r="702" ht="15.75" customHeight="1">
      <c r="B702" s="106"/>
    </row>
    <row r="703" ht="15.75" customHeight="1">
      <c r="B703" s="106"/>
    </row>
    <row r="704" ht="15.75" customHeight="1">
      <c r="B704" s="106"/>
    </row>
    <row r="705" ht="15.75" customHeight="1">
      <c r="B705" s="106"/>
    </row>
    <row r="706" ht="15.75" customHeight="1">
      <c r="B706" s="106"/>
    </row>
    <row r="707" ht="15.75" customHeight="1">
      <c r="B707" s="106"/>
    </row>
    <row r="708" ht="15.75" customHeight="1">
      <c r="B708" s="106"/>
    </row>
    <row r="709" ht="15.75" customHeight="1">
      <c r="B709" s="106"/>
    </row>
    <row r="710" ht="15.75" customHeight="1">
      <c r="B710" s="106"/>
    </row>
    <row r="711" ht="15.75" customHeight="1">
      <c r="B711" s="106"/>
    </row>
    <row r="712" ht="15.75" customHeight="1">
      <c r="B712" s="106"/>
    </row>
    <row r="713" ht="15.75" customHeight="1">
      <c r="B713" s="106"/>
    </row>
    <row r="714" ht="15.75" customHeight="1">
      <c r="B714" s="106"/>
    </row>
    <row r="715" ht="15.75" customHeight="1">
      <c r="B715" s="106"/>
    </row>
    <row r="716" ht="15.75" customHeight="1">
      <c r="B716" s="106"/>
    </row>
    <row r="717" ht="15.75" customHeight="1">
      <c r="B717" s="106"/>
    </row>
    <row r="718" ht="15.75" customHeight="1">
      <c r="B718" s="106"/>
    </row>
    <row r="719" ht="15.75" customHeight="1">
      <c r="B719" s="106"/>
    </row>
    <row r="720" ht="15.75" customHeight="1">
      <c r="B720" s="106"/>
    </row>
    <row r="721" ht="15.75" customHeight="1">
      <c r="B721" s="106"/>
    </row>
    <row r="722" ht="15.75" customHeight="1">
      <c r="B722" s="106"/>
    </row>
    <row r="723" ht="15.75" customHeight="1">
      <c r="B723" s="106"/>
    </row>
    <row r="724" ht="15.75" customHeight="1">
      <c r="B724" s="106"/>
    </row>
    <row r="725" ht="15.75" customHeight="1">
      <c r="B725" s="106"/>
    </row>
    <row r="726" ht="15.75" customHeight="1">
      <c r="B726" s="106"/>
    </row>
    <row r="727" ht="15.75" customHeight="1">
      <c r="B727" s="106"/>
    </row>
    <row r="728" ht="15.75" customHeight="1">
      <c r="B728" s="106"/>
    </row>
    <row r="729" ht="15.75" customHeight="1">
      <c r="B729" s="106"/>
    </row>
    <row r="730" ht="15.75" customHeight="1">
      <c r="B730" s="106"/>
    </row>
    <row r="731" ht="15.75" customHeight="1">
      <c r="B731" s="106"/>
    </row>
    <row r="732" ht="15.75" customHeight="1">
      <c r="B732" s="106"/>
    </row>
    <row r="733" ht="15.75" customHeight="1">
      <c r="B733" s="106"/>
    </row>
    <row r="734" ht="15.75" customHeight="1">
      <c r="B734" s="106"/>
    </row>
    <row r="735" ht="15.75" customHeight="1">
      <c r="B735" s="106"/>
    </row>
    <row r="736" ht="15.75" customHeight="1">
      <c r="B736" s="106"/>
    </row>
    <row r="737" ht="15.75" customHeight="1">
      <c r="B737" s="106"/>
    </row>
    <row r="738" ht="15.75" customHeight="1">
      <c r="B738" s="106"/>
    </row>
    <row r="739" ht="15.75" customHeight="1">
      <c r="B739" s="106"/>
    </row>
    <row r="740" ht="15.75" customHeight="1">
      <c r="B740" s="106"/>
    </row>
    <row r="741" ht="15.75" customHeight="1">
      <c r="B741" s="106"/>
    </row>
    <row r="742" ht="15.75" customHeight="1">
      <c r="B742" s="106"/>
    </row>
    <row r="743" ht="15.75" customHeight="1">
      <c r="B743" s="106"/>
    </row>
    <row r="744" ht="15.75" customHeight="1">
      <c r="B744" s="106"/>
    </row>
    <row r="745" ht="15.75" customHeight="1">
      <c r="B745" s="106"/>
    </row>
    <row r="746" ht="15.75" customHeight="1">
      <c r="B746" s="106"/>
    </row>
    <row r="747" ht="15.75" customHeight="1">
      <c r="B747" s="106"/>
    </row>
    <row r="748" ht="15.75" customHeight="1">
      <c r="B748" s="106"/>
    </row>
    <row r="749" ht="15.75" customHeight="1">
      <c r="B749" s="106"/>
    </row>
    <row r="750" ht="15.75" customHeight="1">
      <c r="B750" s="106"/>
    </row>
    <row r="751" ht="15.75" customHeight="1">
      <c r="B751" s="106"/>
    </row>
    <row r="752" ht="15.75" customHeight="1">
      <c r="B752" s="106"/>
    </row>
    <row r="753" ht="15.75" customHeight="1">
      <c r="B753" s="106"/>
    </row>
    <row r="754" ht="15.75" customHeight="1">
      <c r="B754" s="106"/>
    </row>
    <row r="755" ht="15.75" customHeight="1">
      <c r="B755" s="106"/>
    </row>
    <row r="756" ht="15.75" customHeight="1">
      <c r="B756" s="106"/>
    </row>
    <row r="757" ht="15.75" customHeight="1">
      <c r="B757" s="106"/>
    </row>
    <row r="758" ht="15.75" customHeight="1">
      <c r="B758" s="106"/>
    </row>
    <row r="759" ht="15.75" customHeight="1">
      <c r="B759" s="106"/>
    </row>
    <row r="760" ht="15.75" customHeight="1">
      <c r="B760" s="106"/>
    </row>
    <row r="761" ht="15.75" customHeight="1">
      <c r="B761" s="106"/>
    </row>
    <row r="762" ht="15.75" customHeight="1">
      <c r="B762" s="106"/>
    </row>
    <row r="763" ht="15.75" customHeight="1">
      <c r="B763" s="106"/>
    </row>
    <row r="764" ht="15.75" customHeight="1">
      <c r="B764" s="106"/>
    </row>
    <row r="765" ht="15.75" customHeight="1">
      <c r="B765" s="106"/>
    </row>
    <row r="766" ht="15.75" customHeight="1">
      <c r="B766" s="106"/>
    </row>
    <row r="767" ht="15.75" customHeight="1">
      <c r="B767" s="106"/>
    </row>
    <row r="768" ht="15.75" customHeight="1">
      <c r="B768" s="106"/>
    </row>
    <row r="769" ht="15.75" customHeight="1">
      <c r="B769" s="106"/>
    </row>
    <row r="770" ht="15.75" customHeight="1">
      <c r="B770" s="106"/>
    </row>
    <row r="771" ht="15.75" customHeight="1">
      <c r="B771" s="106"/>
    </row>
    <row r="772" ht="15.75" customHeight="1">
      <c r="B772" s="106"/>
    </row>
    <row r="773" ht="15.75" customHeight="1">
      <c r="B773" s="106"/>
    </row>
    <row r="774" ht="15.75" customHeight="1">
      <c r="B774" s="106"/>
    </row>
    <row r="775" ht="15.75" customHeight="1">
      <c r="B775" s="106"/>
    </row>
    <row r="776" ht="15.75" customHeight="1">
      <c r="B776" s="106"/>
    </row>
    <row r="777" ht="15.75" customHeight="1">
      <c r="B777" s="106"/>
    </row>
    <row r="778" ht="15.75" customHeight="1">
      <c r="B778" s="106"/>
    </row>
    <row r="779" ht="15.75" customHeight="1">
      <c r="B779" s="106"/>
    </row>
    <row r="780" ht="15.75" customHeight="1">
      <c r="B780" s="106"/>
    </row>
    <row r="781" ht="15.75" customHeight="1">
      <c r="B781" s="106"/>
    </row>
    <row r="782" ht="15.75" customHeight="1">
      <c r="B782" s="106"/>
    </row>
    <row r="783" ht="15.75" customHeight="1">
      <c r="B783" s="106"/>
    </row>
    <row r="784" ht="15.75" customHeight="1">
      <c r="B784" s="106"/>
    </row>
    <row r="785" ht="15.75" customHeight="1">
      <c r="B785" s="106"/>
    </row>
    <row r="786" ht="15.75" customHeight="1">
      <c r="B786" s="106"/>
    </row>
    <row r="787" ht="15.75" customHeight="1">
      <c r="B787" s="106"/>
    </row>
    <row r="788" ht="15.75" customHeight="1">
      <c r="B788" s="106"/>
    </row>
    <row r="789" ht="15.75" customHeight="1">
      <c r="B789" s="106"/>
    </row>
    <row r="790" ht="15.75" customHeight="1">
      <c r="B790" s="106"/>
    </row>
    <row r="791" ht="15.75" customHeight="1">
      <c r="B791" s="106"/>
    </row>
    <row r="792" ht="15.75" customHeight="1">
      <c r="B792" s="106"/>
    </row>
    <row r="793" ht="15.75" customHeight="1">
      <c r="B793" s="106"/>
    </row>
    <row r="794" ht="15.75" customHeight="1">
      <c r="B794" s="106"/>
    </row>
    <row r="795" ht="15.75" customHeight="1">
      <c r="B795" s="106"/>
    </row>
    <row r="796" ht="15.75" customHeight="1">
      <c r="B796" s="106"/>
    </row>
    <row r="797" ht="15.75" customHeight="1">
      <c r="B797" s="106"/>
    </row>
    <row r="798" ht="15.75" customHeight="1">
      <c r="B798" s="106"/>
    </row>
    <row r="799" ht="15.75" customHeight="1">
      <c r="B799" s="106"/>
    </row>
    <row r="800" ht="15.75" customHeight="1">
      <c r="B800" s="106"/>
    </row>
    <row r="801" ht="15.75" customHeight="1">
      <c r="B801" s="106"/>
    </row>
    <row r="802" ht="15.75" customHeight="1">
      <c r="B802" s="106"/>
    </row>
    <row r="803" ht="15.75" customHeight="1">
      <c r="B803" s="106"/>
    </row>
    <row r="804" ht="15.75" customHeight="1">
      <c r="B804" s="106"/>
    </row>
    <row r="805" ht="15.75" customHeight="1">
      <c r="B805" s="106"/>
    </row>
    <row r="806" ht="15.75" customHeight="1">
      <c r="B806" s="106"/>
    </row>
    <row r="807" ht="15.75" customHeight="1">
      <c r="B807" s="106"/>
    </row>
    <row r="808" ht="15.75" customHeight="1">
      <c r="B808" s="106"/>
    </row>
    <row r="809" ht="15.75" customHeight="1">
      <c r="B809" s="106"/>
    </row>
    <row r="810" ht="15.75" customHeight="1">
      <c r="B810" s="106"/>
    </row>
    <row r="811" ht="15.75" customHeight="1">
      <c r="B811" s="106"/>
    </row>
    <row r="812" ht="15.75" customHeight="1">
      <c r="B812" s="106"/>
    </row>
    <row r="813" ht="15.75" customHeight="1">
      <c r="B813" s="106"/>
    </row>
    <row r="814" ht="15.75" customHeight="1">
      <c r="B814" s="106"/>
    </row>
    <row r="815" ht="15.75" customHeight="1">
      <c r="B815" s="106"/>
    </row>
    <row r="816" ht="15.75" customHeight="1">
      <c r="B816" s="106"/>
    </row>
    <row r="817" ht="15.75" customHeight="1">
      <c r="B817" s="106"/>
    </row>
    <row r="818" ht="15.75" customHeight="1">
      <c r="B818" s="106"/>
    </row>
    <row r="819" ht="15.75" customHeight="1">
      <c r="B819" s="106"/>
    </row>
    <row r="820" ht="15.75" customHeight="1">
      <c r="B820" s="106"/>
    </row>
    <row r="821" ht="15.75" customHeight="1">
      <c r="B821" s="106"/>
    </row>
    <row r="822" ht="15.75" customHeight="1">
      <c r="B822" s="106"/>
    </row>
    <row r="823" ht="15.75" customHeight="1">
      <c r="B823" s="106"/>
    </row>
    <row r="824" ht="15.75" customHeight="1">
      <c r="B824" s="106"/>
    </row>
    <row r="825" ht="15.75" customHeight="1">
      <c r="B825" s="106"/>
    </row>
    <row r="826" ht="15.75" customHeight="1">
      <c r="B826" s="106"/>
    </row>
    <row r="827" ht="15.75" customHeight="1">
      <c r="B827" s="106"/>
    </row>
    <row r="828" ht="15.75" customHeight="1">
      <c r="B828" s="106"/>
    </row>
    <row r="829" ht="15.75" customHeight="1">
      <c r="B829" s="106"/>
    </row>
    <row r="830" ht="15.75" customHeight="1">
      <c r="B830" s="106"/>
    </row>
    <row r="831" ht="15.75" customHeight="1">
      <c r="B831" s="106"/>
    </row>
    <row r="832" ht="15.75" customHeight="1">
      <c r="B832" s="106"/>
    </row>
    <row r="833" ht="15.75" customHeight="1">
      <c r="B833" s="106"/>
    </row>
    <row r="834" ht="15.75" customHeight="1">
      <c r="B834" s="106"/>
    </row>
    <row r="835" ht="15.75" customHeight="1">
      <c r="B835" s="106"/>
    </row>
    <row r="836" ht="15.75" customHeight="1">
      <c r="B836" s="106"/>
    </row>
    <row r="837" ht="15.75" customHeight="1">
      <c r="B837" s="106"/>
    </row>
    <row r="838" ht="15.75" customHeight="1">
      <c r="B838" s="106"/>
    </row>
    <row r="839" ht="15.75" customHeight="1">
      <c r="B839" s="106"/>
    </row>
    <row r="840" ht="15.75" customHeight="1">
      <c r="B840" s="106"/>
    </row>
    <row r="841" ht="15.75" customHeight="1">
      <c r="B841" s="106"/>
    </row>
    <row r="842" ht="15.75" customHeight="1">
      <c r="B842" s="106"/>
    </row>
    <row r="843" ht="15.75" customHeight="1">
      <c r="B843" s="106"/>
    </row>
    <row r="844" ht="15.75" customHeight="1">
      <c r="B844" s="106"/>
    </row>
    <row r="845" ht="15.75" customHeight="1">
      <c r="B845" s="106"/>
    </row>
    <row r="846" ht="15.75" customHeight="1">
      <c r="B846" s="106"/>
    </row>
    <row r="847" ht="15.75" customHeight="1">
      <c r="B847" s="106"/>
    </row>
    <row r="848" ht="15.75" customHeight="1">
      <c r="B848" s="106"/>
    </row>
    <row r="849" ht="15.75" customHeight="1">
      <c r="B849" s="106"/>
    </row>
    <row r="850" ht="15.75" customHeight="1">
      <c r="B850" s="106"/>
    </row>
    <row r="851" ht="15.75" customHeight="1">
      <c r="B851" s="106"/>
    </row>
    <row r="852" ht="15.75" customHeight="1">
      <c r="B852" s="106"/>
    </row>
    <row r="853" ht="15.75" customHeight="1">
      <c r="B853" s="106"/>
    </row>
    <row r="854" ht="15.75" customHeight="1">
      <c r="B854" s="106"/>
    </row>
    <row r="855" ht="15.75" customHeight="1">
      <c r="B855" s="106"/>
    </row>
    <row r="856" ht="15.75" customHeight="1">
      <c r="B856" s="106"/>
    </row>
    <row r="857" ht="15.75" customHeight="1">
      <c r="B857" s="106"/>
    </row>
    <row r="858" ht="15.75" customHeight="1">
      <c r="B858" s="106"/>
    </row>
    <row r="859" ht="15.75" customHeight="1">
      <c r="B859" s="106"/>
    </row>
    <row r="860" ht="15.75" customHeight="1">
      <c r="B860" s="106"/>
    </row>
    <row r="861" ht="15.75" customHeight="1">
      <c r="B861" s="106"/>
    </row>
    <row r="862" ht="15.75" customHeight="1">
      <c r="B862" s="106"/>
    </row>
    <row r="863" ht="15.75" customHeight="1">
      <c r="B863" s="106"/>
    </row>
    <row r="864" ht="15.75" customHeight="1">
      <c r="B864" s="106"/>
    </row>
    <row r="865" ht="15.75" customHeight="1">
      <c r="B865" s="106"/>
    </row>
    <row r="866" ht="15.75" customHeight="1">
      <c r="B866" s="106"/>
    </row>
    <row r="867" ht="15.75" customHeight="1">
      <c r="B867" s="106"/>
    </row>
    <row r="868" ht="15.75" customHeight="1">
      <c r="B868" s="106"/>
    </row>
    <row r="869" ht="15.75" customHeight="1">
      <c r="B869" s="106"/>
    </row>
    <row r="870" ht="15.75" customHeight="1">
      <c r="B870" s="106"/>
    </row>
    <row r="871" ht="15.75" customHeight="1">
      <c r="B871" s="106"/>
    </row>
    <row r="872" ht="15.75" customHeight="1">
      <c r="B872" s="106"/>
    </row>
    <row r="873" ht="15.75" customHeight="1">
      <c r="B873" s="106"/>
    </row>
    <row r="874" ht="15.75" customHeight="1">
      <c r="B874" s="106"/>
    </row>
    <row r="875" ht="15.75" customHeight="1">
      <c r="B875" s="106"/>
    </row>
    <row r="876" ht="15.75" customHeight="1">
      <c r="B876" s="106"/>
    </row>
    <row r="877" ht="15.75" customHeight="1">
      <c r="B877" s="106"/>
    </row>
    <row r="878" ht="15.75" customHeight="1">
      <c r="B878" s="106"/>
    </row>
    <row r="879" ht="15.75" customHeight="1">
      <c r="B879" s="106"/>
    </row>
    <row r="880" ht="15.75" customHeight="1">
      <c r="B880" s="106"/>
    </row>
    <row r="881" ht="15.75" customHeight="1">
      <c r="B881" s="106"/>
    </row>
    <row r="882" ht="15.75" customHeight="1">
      <c r="B882" s="106"/>
    </row>
    <row r="883" ht="15.75" customHeight="1">
      <c r="B883" s="106"/>
    </row>
    <row r="884" ht="15.75" customHeight="1">
      <c r="B884" s="106"/>
    </row>
    <row r="885" ht="15.75" customHeight="1">
      <c r="B885" s="106"/>
    </row>
    <row r="886" ht="15.75" customHeight="1">
      <c r="B886" s="106"/>
    </row>
    <row r="887" ht="15.75" customHeight="1">
      <c r="B887" s="106"/>
    </row>
    <row r="888" ht="15.75" customHeight="1">
      <c r="B888" s="106"/>
    </row>
    <row r="889" ht="15.75" customHeight="1">
      <c r="B889" s="106"/>
    </row>
    <row r="890" ht="15.75" customHeight="1">
      <c r="B890" s="106"/>
    </row>
    <row r="891" ht="15.75" customHeight="1">
      <c r="B891" s="106"/>
    </row>
    <row r="892" ht="15.75" customHeight="1">
      <c r="B892" s="106"/>
    </row>
    <row r="893" ht="15.75" customHeight="1">
      <c r="B893" s="106"/>
    </row>
    <row r="894" ht="15.75" customHeight="1">
      <c r="B894" s="106"/>
    </row>
    <row r="895" ht="15.75" customHeight="1">
      <c r="B895" s="106"/>
    </row>
    <row r="896" ht="15.75" customHeight="1">
      <c r="B896" s="106"/>
    </row>
    <row r="897" ht="15.75" customHeight="1">
      <c r="B897" s="106"/>
    </row>
    <row r="898" ht="15.75" customHeight="1">
      <c r="B898" s="106"/>
    </row>
    <row r="899" ht="15.75" customHeight="1">
      <c r="B899" s="106"/>
    </row>
    <row r="900" ht="15.75" customHeight="1">
      <c r="B900" s="106"/>
    </row>
    <row r="901" ht="15.75" customHeight="1">
      <c r="B901" s="106"/>
    </row>
    <row r="902" ht="15.75" customHeight="1">
      <c r="B902" s="106"/>
    </row>
    <row r="903" ht="15.75" customHeight="1">
      <c r="B903" s="106"/>
    </row>
    <row r="904" ht="15.75" customHeight="1">
      <c r="B904" s="106"/>
    </row>
    <row r="905" ht="15.75" customHeight="1">
      <c r="B905" s="106"/>
    </row>
    <row r="906" ht="15.75" customHeight="1">
      <c r="B906" s="106"/>
    </row>
    <row r="907" ht="15.75" customHeight="1">
      <c r="B907" s="106"/>
    </row>
    <row r="908" ht="15.75" customHeight="1">
      <c r="B908" s="106"/>
    </row>
    <row r="909" ht="15.75" customHeight="1">
      <c r="B909" s="106"/>
    </row>
    <row r="910" ht="15.75" customHeight="1">
      <c r="B910" s="106"/>
    </row>
    <row r="911" ht="15.75" customHeight="1">
      <c r="B911" s="106"/>
    </row>
    <row r="912" ht="15.75" customHeight="1">
      <c r="B912" s="106"/>
    </row>
    <row r="913" ht="15.75" customHeight="1">
      <c r="B913" s="106"/>
    </row>
    <row r="914" ht="15.75" customHeight="1">
      <c r="B914" s="106"/>
    </row>
    <row r="915" ht="15.75" customHeight="1">
      <c r="B915" s="106"/>
    </row>
    <row r="916" ht="15.75" customHeight="1">
      <c r="B916" s="106"/>
    </row>
    <row r="917" ht="15.75" customHeight="1">
      <c r="B917" s="106"/>
    </row>
    <row r="918" ht="15.75" customHeight="1">
      <c r="B918" s="106"/>
    </row>
    <row r="919" ht="15.75" customHeight="1">
      <c r="B919" s="106"/>
    </row>
    <row r="920" ht="15.75" customHeight="1">
      <c r="B920" s="106"/>
    </row>
    <row r="921" ht="15.75" customHeight="1">
      <c r="B921" s="106"/>
    </row>
    <row r="922" ht="15.75" customHeight="1">
      <c r="B922" s="106"/>
    </row>
    <row r="923" ht="15.75" customHeight="1">
      <c r="B923" s="106"/>
    </row>
    <row r="924" ht="15.75" customHeight="1">
      <c r="B924" s="106"/>
    </row>
    <row r="925" ht="15.75" customHeight="1">
      <c r="B925" s="106"/>
    </row>
    <row r="926" ht="15.75" customHeight="1">
      <c r="B926" s="106"/>
    </row>
    <row r="927" ht="15.75" customHeight="1">
      <c r="B927" s="106"/>
    </row>
    <row r="928" ht="15.75" customHeight="1">
      <c r="B928" s="106"/>
    </row>
    <row r="929" ht="15.75" customHeight="1">
      <c r="B929" s="106"/>
    </row>
    <row r="930" ht="15.75" customHeight="1">
      <c r="B930" s="106"/>
    </row>
    <row r="931" ht="15.75" customHeight="1">
      <c r="B931" s="106"/>
    </row>
    <row r="932" ht="15.75" customHeight="1">
      <c r="B932" s="106"/>
    </row>
    <row r="933" ht="15.75" customHeight="1">
      <c r="B933" s="106"/>
    </row>
    <row r="934" ht="15.75" customHeight="1">
      <c r="B934" s="106"/>
    </row>
    <row r="935" ht="15.75" customHeight="1">
      <c r="B935" s="106"/>
    </row>
    <row r="936" ht="15.75" customHeight="1">
      <c r="B936" s="106"/>
    </row>
    <row r="937" ht="15.75" customHeight="1">
      <c r="B937" s="106"/>
    </row>
    <row r="938" ht="15.75" customHeight="1">
      <c r="B938" s="106"/>
    </row>
    <row r="939" ht="15.75" customHeight="1">
      <c r="B939" s="106"/>
    </row>
    <row r="940" ht="15.75" customHeight="1">
      <c r="B940" s="106"/>
    </row>
    <row r="941" ht="15.75" customHeight="1">
      <c r="B941" s="106"/>
    </row>
    <row r="942" ht="15.75" customHeight="1">
      <c r="B942" s="106"/>
    </row>
    <row r="943" ht="15.75" customHeight="1">
      <c r="B943" s="106"/>
    </row>
    <row r="944" ht="15.75" customHeight="1">
      <c r="B944" s="106"/>
    </row>
    <row r="945" ht="15.75" customHeight="1">
      <c r="B945" s="106"/>
    </row>
    <row r="946" ht="15.75" customHeight="1">
      <c r="B946" s="106"/>
    </row>
    <row r="947" ht="15.75" customHeight="1">
      <c r="B947" s="106"/>
    </row>
    <row r="948" ht="15.75" customHeight="1">
      <c r="B948" s="106"/>
    </row>
    <row r="949" ht="15.75" customHeight="1">
      <c r="B949" s="106"/>
    </row>
    <row r="950" ht="15.75" customHeight="1">
      <c r="B950" s="106"/>
    </row>
    <row r="951" ht="15.75" customHeight="1">
      <c r="B951" s="106"/>
    </row>
    <row r="952" ht="15.75" customHeight="1">
      <c r="B952" s="106"/>
    </row>
    <row r="953" ht="15.75" customHeight="1">
      <c r="B953" s="106"/>
    </row>
    <row r="954" ht="15.75" customHeight="1">
      <c r="B954" s="106"/>
    </row>
    <row r="955" ht="15.75" customHeight="1">
      <c r="B955" s="106"/>
    </row>
    <row r="956" ht="15.75" customHeight="1">
      <c r="B956" s="106"/>
    </row>
    <row r="957" ht="15.75" customHeight="1">
      <c r="B957" s="106"/>
    </row>
    <row r="958" ht="15.75" customHeight="1">
      <c r="B958" s="106"/>
    </row>
    <row r="959" ht="15.75" customHeight="1">
      <c r="B959" s="106"/>
    </row>
    <row r="960" ht="15.75" customHeight="1">
      <c r="B960" s="106"/>
    </row>
    <row r="961" ht="15.75" customHeight="1">
      <c r="B961" s="106"/>
    </row>
    <row r="962" ht="15.75" customHeight="1">
      <c r="B962" s="106"/>
    </row>
    <row r="963" ht="15.75" customHeight="1">
      <c r="B963" s="106"/>
    </row>
    <row r="964" ht="15.75" customHeight="1">
      <c r="B964" s="106"/>
    </row>
    <row r="965" ht="15.75" customHeight="1">
      <c r="B965" s="106"/>
    </row>
    <row r="966" ht="15.75" customHeight="1">
      <c r="B966" s="106"/>
    </row>
    <row r="967" ht="15.75" customHeight="1">
      <c r="B967" s="106"/>
    </row>
    <row r="968" ht="15.75" customHeight="1">
      <c r="B968" s="106"/>
    </row>
    <row r="969" ht="15.75" customHeight="1">
      <c r="B969" s="106"/>
    </row>
    <row r="970" ht="15.75" customHeight="1">
      <c r="B970" s="106"/>
    </row>
    <row r="971" ht="15.75" customHeight="1">
      <c r="B971" s="106"/>
    </row>
    <row r="972" ht="15.75" customHeight="1">
      <c r="B972" s="106"/>
    </row>
    <row r="973" ht="15.75" customHeight="1">
      <c r="B973" s="106"/>
    </row>
    <row r="974" ht="15.75" customHeight="1">
      <c r="B974" s="106"/>
    </row>
    <row r="975" ht="15.75" customHeight="1">
      <c r="B975" s="106"/>
    </row>
    <row r="976" ht="15.75" customHeight="1">
      <c r="B976" s="106"/>
    </row>
    <row r="977" ht="15.75" customHeight="1">
      <c r="B977" s="106"/>
    </row>
    <row r="978" ht="15.75" customHeight="1">
      <c r="B978" s="106"/>
    </row>
    <row r="979" ht="15.75" customHeight="1">
      <c r="B979" s="106"/>
    </row>
    <row r="980" ht="15.75" customHeight="1">
      <c r="B980" s="106"/>
    </row>
    <row r="981" ht="15.75" customHeight="1">
      <c r="B981" s="106"/>
    </row>
    <row r="982" ht="15.75" customHeight="1">
      <c r="B982" s="106"/>
    </row>
    <row r="983" ht="15.75" customHeight="1">
      <c r="B983" s="106"/>
    </row>
    <row r="984" ht="15.75" customHeight="1">
      <c r="B984" s="106"/>
    </row>
    <row r="985" ht="15.75" customHeight="1">
      <c r="B985" s="106"/>
    </row>
    <row r="986" ht="15.75" customHeight="1">
      <c r="B986" s="106"/>
    </row>
    <row r="987" ht="15.75" customHeight="1">
      <c r="B987" s="106"/>
    </row>
    <row r="988" ht="15.75" customHeight="1">
      <c r="B988" s="106"/>
    </row>
    <row r="989" ht="15.75" customHeight="1">
      <c r="B989" s="106"/>
    </row>
    <row r="990" ht="15.75" customHeight="1">
      <c r="B990" s="106"/>
    </row>
    <row r="991" ht="15.75" customHeight="1">
      <c r="B991" s="106"/>
    </row>
    <row r="992" ht="15.75" customHeight="1">
      <c r="B992" s="106"/>
    </row>
    <row r="993" ht="15.75" customHeight="1">
      <c r="B993" s="106"/>
    </row>
    <row r="994" ht="15.75" customHeight="1">
      <c r="B994" s="106"/>
    </row>
    <row r="995" ht="15.75" customHeight="1">
      <c r="B995" s="106"/>
    </row>
    <row r="996" ht="15.75" customHeight="1">
      <c r="B996" s="106"/>
    </row>
    <row r="997" ht="15.75" customHeight="1">
      <c r="B997" s="106"/>
    </row>
    <row r="998" ht="15.75" customHeight="1">
      <c r="B998" s="106"/>
    </row>
    <row r="999" ht="15.75" customHeight="1">
      <c r="B999" s="106"/>
    </row>
    <row r="1000" ht="15.75" customHeight="1">
      <c r="B1000" s="10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