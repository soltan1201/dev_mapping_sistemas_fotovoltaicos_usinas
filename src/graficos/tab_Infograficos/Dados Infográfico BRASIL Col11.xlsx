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A PORT-ENG" sheetId="1" r:id="rId4"/>
    <sheet state="visible" name="BRASIL" sheetId="2" r:id="rId5"/>
    <sheet state="visible" name="AREA DOS BIOMAS" sheetId="3" r:id="rId6"/>
    <sheet state="visible" name="DADOS COBERTURA BRASIL" sheetId="4" r:id="rId7"/>
    <sheet state="visible" name="SANKEY" sheetId="5" r:id="rId8"/>
    <sheet state="visible" name="GRAFICO HISTORICO" sheetId="6" r:id="rId9"/>
    <sheet state="visible" name="MANCHETES" sheetId="7" r:id="rId10"/>
    <sheet state="hidden" name="Matriz Cerrado" sheetId="8" r:id="rId11"/>
  </sheets>
  <definedNames/>
  <calcPr/>
  <extLst>
    <ext uri="GoogleSheetsCustomDataVersion2">
      <go:sheetsCustomData xmlns:go="http://customooxmlschemas.google.com/" r:id="rId12" roundtripDataChecksum="VPWT6X17uxbTgYRLvxczPpl3+yokt23PBEJs3NbV7OY="/>
    </ext>
  </extLst>
</workbook>
</file>

<file path=xl/sharedStrings.xml><?xml version="1.0" encoding="utf-8"?>
<sst xmlns="http://schemas.openxmlformats.org/spreadsheetml/2006/main" count="896" uniqueCount="215">
  <si>
    <t>COLEÇÃO 11 - CLASSES</t>
  </si>
  <si>
    <t>BIOMAS</t>
  </si>
  <si>
    <t>Area total</t>
  </si>
  <si>
    <t>Area Mha</t>
  </si>
  <si>
    <t>%</t>
  </si>
  <si>
    <t>AMAZONIA</t>
  </si>
  <si>
    <t>COLLECTION 11 - CLASSES</t>
  </si>
  <si>
    <t>ID</t>
  </si>
  <si>
    <t>COLOR NUMBER</t>
  </si>
  <si>
    <t>COLOR</t>
  </si>
  <si>
    <t>Para o Grafico Circular da composição do uso da terra</t>
  </si>
  <si>
    <t>1. Floresta</t>
  </si>
  <si>
    <t>Area</t>
  </si>
  <si>
    <t>Area total (ha)</t>
  </si>
  <si>
    <t>1. Forest</t>
  </si>
  <si>
    <t>Mha</t>
  </si>
  <si>
    <t>#1f8d49</t>
  </si>
  <si>
    <t>CAATINGA</t>
  </si>
  <si>
    <t xml:space="preserve">    1.1 Formação Florestal</t>
  </si>
  <si>
    <t>CERRADO</t>
  </si>
  <si>
    <t>1.1. Forest Formation</t>
  </si>
  <si>
    <t>MATA ATLANTICA</t>
  </si>
  <si>
    <t>PAMPA</t>
  </si>
  <si>
    <t xml:space="preserve"> </t>
  </si>
  <si>
    <t>PANTANAL</t>
  </si>
  <si>
    <t xml:space="preserve">    1.2. Floresta Alagável</t>
  </si>
  <si>
    <t>1.2 Floodable Forest</t>
  </si>
  <si>
    <t>#007785</t>
  </si>
  <si>
    <t>Total</t>
  </si>
  <si>
    <t xml:space="preserve">    1.3. Formação Savânica</t>
  </si>
  <si>
    <t>1.3. Savanna Formation</t>
  </si>
  <si>
    <t>#7dc975</t>
  </si>
  <si>
    <t>Grand Total</t>
  </si>
  <si>
    <t xml:space="preserve">    1.4. Savana Alagada (beta)</t>
  </si>
  <si>
    <t>1.4. Flooded Savanna (beta)</t>
  </si>
  <si>
    <t>#228c70</t>
  </si>
  <si>
    <t xml:space="preserve">    1.5. Mangue</t>
  </si>
  <si>
    <t>1.5. Mangrove</t>
  </si>
  <si>
    <t>#04381d</t>
  </si>
  <si>
    <t xml:space="preserve">    1.6. Restinga Arbórea</t>
  </si>
  <si>
    <t>1.6. Wooded Sandbank Vegetation</t>
  </si>
  <si>
    <t>Floresta</t>
  </si>
  <si>
    <t>#02d659</t>
  </si>
  <si>
    <t>2. Vegetação Herbácea e Arbustiva</t>
  </si>
  <si>
    <t>2. Herbaceous or Shrubby Vegetation</t>
  </si>
  <si>
    <t>#d6bc74</t>
  </si>
  <si>
    <t xml:space="preserve">    2.1. Formação Campestre</t>
  </si>
  <si>
    <t>2.1. Grassland</t>
  </si>
  <si>
    <t>Formação Natural não Florestal</t>
  </si>
  <si>
    <t xml:space="preserve">    2.2. Formação Herbáceo Arbustiva</t>
  </si>
  <si>
    <t>2.2. Herbaceous and Shrub Formation</t>
  </si>
  <si>
    <t>#86b074</t>
  </si>
  <si>
    <t>Agropecuária</t>
  </si>
  <si>
    <t>Área não Vegetada</t>
  </si>
  <si>
    <t xml:space="preserve">    2.3. Campo Alagado e Área Pantanosa</t>
  </si>
  <si>
    <t>2.3 Wetland</t>
  </si>
  <si>
    <t>#519799</t>
  </si>
  <si>
    <t>1.2. Savanna Formation</t>
  </si>
  <si>
    <t>Corpo D'água</t>
  </si>
  <si>
    <t xml:space="preserve">    2.4. Marisma (beta)</t>
  </si>
  <si>
    <t>2.4. Salt Marsh (beta)</t>
  </si>
  <si>
    <t>#81dbbf</t>
  </si>
  <si>
    <t>Não Observado</t>
  </si>
  <si>
    <t xml:space="preserve">    2.5. Restinga Herbácea ou Arbustiva</t>
  </si>
  <si>
    <t>2.5. Herbaceous Sandbank Vegetation</t>
  </si>
  <si>
    <t>1.3. Flooded Savanna</t>
  </si>
  <si>
    <t>#d89f5c</t>
  </si>
  <si>
    <t xml:space="preserve">    2.6. Apicum</t>
  </si>
  <si>
    <t>1.4. Mangrove</t>
  </si>
  <si>
    <t>2.6. Hypersaline Tidal Flat</t>
  </si>
  <si>
    <t>#fc8114</t>
  </si>
  <si>
    <t xml:space="preserve">    2.7. Afloramento Rochoso</t>
  </si>
  <si>
    <t>2.7. Rocky Outcrop</t>
  </si>
  <si>
    <t>#ad5100</t>
  </si>
  <si>
    <t>1.5. Floodable Forest</t>
  </si>
  <si>
    <t>3. Agropecuária</t>
  </si>
  <si>
    <t>3. Farming</t>
  </si>
  <si>
    <t>#ffefc3</t>
  </si>
  <si>
    <t>Transições 1985 a 2025</t>
  </si>
  <si>
    <t xml:space="preserve">    3.1. Pastagem</t>
  </si>
  <si>
    <t>3.1. Pasture</t>
  </si>
  <si>
    <t>2. Herbaceous and Shrubby Vegetation</t>
  </si>
  <si>
    <t>#edde8e</t>
  </si>
  <si>
    <t>2.1. Wetland</t>
  </si>
  <si>
    <t>2. Formação Natural não Florestal</t>
  </si>
  <si>
    <t xml:space="preserve">    3.2. Agricultura</t>
  </si>
  <si>
    <t>3.2. Agriculture</t>
  </si>
  <si>
    <t>Classes</t>
  </si>
  <si>
    <t>#E974ED</t>
  </si>
  <si>
    <t>4. Non vegetated area</t>
  </si>
  <si>
    <t xml:space="preserve">         3.2.1. Lavoura Temporária</t>
  </si>
  <si>
    <t>5. Water</t>
  </si>
  <si>
    <t>Total 1985</t>
  </si>
  <si>
    <t>3.2.1. Temporary Crop</t>
  </si>
  <si>
    <t>2.2. Marisma</t>
  </si>
  <si>
    <t>#C27BA0</t>
  </si>
  <si>
    <t xml:space="preserve">                 3.2.1.1. Soja</t>
  </si>
  <si>
    <t>2.3. Grassland Formation</t>
  </si>
  <si>
    <t>3.2.1.1. Soybean</t>
  </si>
  <si>
    <t>#f5b3c8</t>
  </si>
  <si>
    <t xml:space="preserve">                 3.2.1.2. Cana</t>
  </si>
  <si>
    <t>3.2.1.2. Sugar cane</t>
  </si>
  <si>
    <t>#db7093</t>
  </si>
  <si>
    <t>2.4. Herbaceous-Shrub Mosaic</t>
  </si>
  <si>
    <t xml:space="preserve"> Outros</t>
  </si>
  <si>
    <t xml:space="preserve">                 3.2.1.3. Arroz</t>
  </si>
  <si>
    <t>3.2.1.3. Rice</t>
  </si>
  <si>
    <t>#c71585</t>
  </si>
  <si>
    <t xml:space="preserve">                 3.2.1.4. Algodão (beta)</t>
  </si>
  <si>
    <t>3.2.1.4. Cotton (beta)</t>
  </si>
  <si>
    <t>#ff69b4</t>
  </si>
  <si>
    <t xml:space="preserve">                 3.2.1.5. Outras Lavouras Temporárias</t>
  </si>
  <si>
    <t>3.2.1.5. Other Temporary Crops</t>
  </si>
  <si>
    <t>#f54ca9</t>
  </si>
  <si>
    <t xml:space="preserve">         3.2.2. Lavoura Perene</t>
  </si>
  <si>
    <t>3.2.2. Perennial Crop</t>
  </si>
  <si>
    <t>#d082de</t>
  </si>
  <si>
    <t>2.5. Hypersaline Tidal Flat</t>
  </si>
  <si>
    <t xml:space="preserve">                 3.2.2.1. Café</t>
  </si>
  <si>
    <t>3.2.2.1. Coffee</t>
  </si>
  <si>
    <t>Total 2025</t>
  </si>
  <si>
    <t>#d68fe2</t>
  </si>
  <si>
    <t xml:space="preserve">                 3.2.2.2. Citrus</t>
  </si>
  <si>
    <t>3.2.2.2. Citrus</t>
  </si>
  <si>
    <t>#9932cc</t>
  </si>
  <si>
    <t xml:space="preserve">                 3.2.2.3. Dendê</t>
  </si>
  <si>
    <t>3.2.2.3. Palm Oil</t>
  </si>
  <si>
    <t>#9065d0</t>
  </si>
  <si>
    <t xml:space="preserve">                 3.2.1.4. Outras Lavouras Perenes</t>
  </si>
  <si>
    <t>3.2.1.4. Other Perennial Crops</t>
  </si>
  <si>
    <t>2.6. Rocky Outcrop</t>
  </si>
  <si>
    <t>#e6ccff</t>
  </si>
  <si>
    <t xml:space="preserve">    3.3. Silvicultura</t>
  </si>
  <si>
    <t>Row Labels</t>
  </si>
  <si>
    <t>3.3. Forest Plantation</t>
  </si>
  <si>
    <t>#7a5900</t>
  </si>
  <si>
    <t xml:space="preserve">    3.4. Mosaico de Usos</t>
  </si>
  <si>
    <t>3.4. Mosaic of Uses</t>
  </si>
  <si>
    <t>Grand Total 1985</t>
  </si>
  <si>
    <t>4. Área não vegetada</t>
  </si>
  <si>
    <t>#d4271e</t>
  </si>
  <si>
    <t xml:space="preserve">    4.1. Praia, Duna e Areal</t>
  </si>
  <si>
    <t>2.7. Herbaceous Sandbank Vegetation</t>
  </si>
  <si>
    <t>4.1. Beach, Dune and Sand Spot</t>
  </si>
  <si>
    <t>#ffa07a</t>
  </si>
  <si>
    <t xml:space="preserve">    4.2. Área Urbanizada</t>
  </si>
  <si>
    <t>4.2. Urban Area</t>
  </si>
  <si>
    <t xml:space="preserve">    4.3. Mineração</t>
  </si>
  <si>
    <t>4.3. Mining</t>
  </si>
  <si>
    <t>#9c0027</t>
  </si>
  <si>
    <t xml:space="preserve">    4.4. Usina Fotovoltaica</t>
  </si>
  <si>
    <t>4.4 Photovoltaic Power Plant</t>
  </si>
  <si>
    <t>#757272</t>
  </si>
  <si>
    <t xml:space="preserve">    4.5. Parque eólico (beta)</t>
  </si>
  <si>
    <t>4.5. Wind farm (beta)</t>
  </si>
  <si>
    <t>#403d3e</t>
  </si>
  <si>
    <t xml:space="preserve">    4.6. Outras Áreas não Vegetadas</t>
  </si>
  <si>
    <t>4.6. Other non Vegetated Areas</t>
  </si>
  <si>
    <t>#db4d4f</t>
  </si>
  <si>
    <t>5. Corpo D'água</t>
  </si>
  <si>
    <t>4. Área não Vegetada</t>
  </si>
  <si>
    <t>#2532e4</t>
  </si>
  <si>
    <t xml:space="preserve">    5.1 Rio, Lago e Oceano</t>
  </si>
  <si>
    <t>5.1. River, Lake and Ocean</t>
  </si>
  <si>
    <t xml:space="preserve">    5.2 Aquicultura</t>
  </si>
  <si>
    <t>5.2. Aquaculture</t>
  </si>
  <si>
    <t>#091077</t>
  </si>
  <si>
    <t>6. Não observado</t>
  </si>
  <si>
    <t>6. Not Observed</t>
  </si>
  <si>
    <t>#ffffff</t>
  </si>
  <si>
    <t>Grand Total 2025</t>
  </si>
  <si>
    <t>4.4. Photovoltaic Power Plant (beta)</t>
  </si>
  <si>
    <t>4.5. Wind Farm</t>
  </si>
  <si>
    <t>Total Geral</t>
  </si>
  <si>
    <t>BRASIL</t>
  </si>
  <si>
    <t>Vegetação nativa 2025</t>
  </si>
  <si>
    <t>% do Brasil</t>
  </si>
  <si>
    <t>Perda de vegetação nativa entre 1985 e 2025</t>
  </si>
  <si>
    <t>Crescimento da agricultura entre 1985 e 2025</t>
  </si>
  <si>
    <t>Manchetes para o Brasil</t>
  </si>
  <si>
    <t>Perda líquida de vegetação nativa entre 1985 e 2025</t>
  </si>
  <si>
    <t>Crescimento da pastagem entre 1985 e 2025</t>
  </si>
  <si>
    <t>Crescimento das áreas de agricultura entre 1985 e 2025</t>
  </si>
  <si>
    <t>Crescimento da área de pastagem entre 1985 e 2025</t>
  </si>
  <si>
    <t>Cobertura de vegetação nativa</t>
  </si>
  <si>
    <t/>
  </si>
  <si>
    <t>Pastagem</t>
  </si>
  <si>
    <t>Formação Campestre (Campo)</t>
  </si>
  <si>
    <t>Formações Florestais</t>
  </si>
  <si>
    <t>Formações Savanicas</t>
  </si>
  <si>
    <t>Florestas Plantadas</t>
  </si>
  <si>
    <t>Cultivo Anual e Perene</t>
  </si>
  <si>
    <t>Cultivo Semi-Perene</t>
  </si>
  <si>
    <t>Mosaico de Cultivos</t>
  </si>
  <si>
    <t>Mosaico de Agricultura ou Pastagem</t>
  </si>
  <si>
    <t>Outros</t>
  </si>
  <si>
    <t>Praias e dunas</t>
  </si>
  <si>
    <t>Agricultura</t>
  </si>
  <si>
    <t>Formações Florestais Naturais</t>
  </si>
  <si>
    <t>Mangue</t>
  </si>
  <si>
    <t>Infraestrutura Urbana</t>
  </si>
  <si>
    <t>Outras áreas não vegetadas</t>
  </si>
  <si>
    <t>Corpos Dágua</t>
  </si>
  <si>
    <t>Não observado</t>
  </si>
  <si>
    <t>Apicum</t>
  </si>
  <si>
    <t>Aquicultura</t>
  </si>
  <si>
    <t>Afloramento Rochoso</t>
  </si>
  <si>
    <t>Mineração</t>
  </si>
  <si>
    <t>Área Úmida Natural não Florestal</t>
  </si>
  <si>
    <t>Outra formação não Florestal</t>
  </si>
  <si>
    <t>Rios, Lagos e Oceanos</t>
  </si>
  <si>
    <t>-</t>
  </si>
  <si>
    <t>Vegetação Nativa</t>
  </si>
  <si>
    <t>Floresta Plantada</t>
  </si>
  <si>
    <t>EM MILHOES DE HECTARES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</si>
</sst>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_(* #,##0.000_);_(* \(#,##0.000\);_(* &quot;-&quot;??_);_(@_)"/>
    <numFmt numFmtId="168" formatCode="_-* #,##0.0_-;\-* #,##0.0_-;_-* &quot;-&quot;??_-;_-@"/>
    <numFmt numFmtId="169" formatCode="0.0"/>
    <numFmt numFmtId="170" formatCode="0.000%"/>
    <numFmt numFmtId="171" formatCode="0.000"/>
    <numFmt numFmtId="172" formatCode="_-* #,##0.00_-;\-* #,##0.00_-;_-* &quot;-&quot;??_-;_-@"/>
  </numFmts>
  <fonts count="24">
    <font>
      <sz val="12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color theme="1"/>
      <name val="Calibri"/>
    </font>
    <font>
      <b/>
      <sz val="20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9.0"/>
      <color rgb="FF000000"/>
      <name val="Lato"/>
    </font>
    <font/>
    <font>
      <b/>
      <sz val="22.0"/>
      <color theme="1"/>
      <name val="Calibri"/>
    </font>
    <font>
      <sz val="22.0"/>
      <color rgb="FFFF0000"/>
      <name val="Calibri"/>
    </font>
    <font>
      <sz val="12.0"/>
      <color rgb="FF7F7F7F"/>
      <name val="Calibri"/>
    </font>
    <font>
      <sz val="12.0"/>
      <color rgb="FF006100"/>
      <name val="Calibri"/>
    </font>
    <font>
      <b/>
      <color theme="1"/>
      <name val="Calibri"/>
      <scheme val="minor"/>
    </font>
    <font>
      <b/>
      <sz val="20.0"/>
      <color rgb="FFFF0000"/>
      <name val="Calibri"/>
    </font>
    <font>
      <sz val="12.0"/>
      <color rgb="FF9C5700"/>
      <name val="Calibri"/>
    </font>
    <font>
      <sz val="12.0"/>
      <color theme="1"/>
      <name val="Arial"/>
    </font>
    <font>
      <sz val="15.0"/>
      <color rgb="FF4B4B4B"/>
      <name val="Arial"/>
    </font>
    <font>
      <b/>
      <sz val="24.0"/>
      <color theme="1"/>
      <name val="Calibri"/>
    </font>
    <font>
      <sz val="18.0"/>
      <color rgb="FF000000"/>
      <name val="Calibri"/>
    </font>
    <font>
      <sz val="18.0"/>
      <color theme="1"/>
      <name val="Calibri"/>
    </font>
    <font>
      <b/>
      <sz val="11.0"/>
      <color rgb="FF000000"/>
      <name val="Calibri"/>
    </font>
  </fonts>
  <fills count="60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E2EFD9"/>
        <bgColor rgb="FFE2EFD9"/>
      </patternFill>
    </fill>
    <fill>
      <patternFill patternType="solid">
        <fgColor rgb="FF6AA84F"/>
        <bgColor rgb="FF6AA84F"/>
      </patternFill>
    </fill>
    <fill>
      <patternFill patternType="solid">
        <fgColor rgb="FFFFD965"/>
        <bgColor rgb="FFFFD965"/>
      </patternFill>
    </fill>
    <fill>
      <patternFill patternType="solid">
        <fgColor rgb="FF1F8D49"/>
        <bgColor rgb="FF1F8D49"/>
      </patternFill>
    </fill>
    <fill>
      <patternFill patternType="solid">
        <fgColor rgb="FFC5E0B3"/>
        <bgColor rgb="FFC5E0B3"/>
      </patternFill>
    </fill>
    <fill>
      <patternFill patternType="solid">
        <fgColor rgb="FF007785"/>
        <bgColor rgb="FF007785"/>
      </patternFill>
    </fill>
    <fill>
      <patternFill patternType="solid">
        <fgColor rgb="FF7DC975"/>
        <bgColor rgb="FF7DC975"/>
      </patternFill>
    </fill>
    <fill>
      <patternFill patternType="solid">
        <fgColor rgb="FF228C70"/>
        <bgColor rgb="FF228C70"/>
      </patternFill>
    </fill>
    <fill>
      <patternFill patternType="solid">
        <fgColor rgb="FF04381D"/>
        <bgColor rgb="FF04381D"/>
      </patternFill>
    </fill>
    <fill>
      <patternFill patternType="solid">
        <fgColor rgb="FF02D659"/>
        <bgColor rgb="FF02D659"/>
      </patternFill>
    </fill>
    <fill>
      <patternFill patternType="solid">
        <fgColor rgb="FFD6BC74"/>
        <bgColor rgb="FFD6BC74"/>
      </patternFill>
    </fill>
    <fill>
      <patternFill patternType="solid">
        <fgColor rgb="FFFEF2CB"/>
        <bgColor rgb="FFFEF2CB"/>
      </patternFill>
    </fill>
    <fill>
      <patternFill patternType="solid">
        <fgColor rgb="FF86B074"/>
        <bgColor rgb="FF86B074"/>
      </patternFill>
    </fill>
    <fill>
      <patternFill patternType="solid">
        <fgColor rgb="FF519799"/>
        <bgColor rgb="FF519799"/>
      </patternFill>
    </fill>
    <fill>
      <patternFill patternType="solid">
        <fgColor rgb="FFD8D8D8"/>
        <bgColor rgb="FFD8D8D8"/>
      </patternFill>
    </fill>
    <fill>
      <patternFill patternType="solid">
        <fgColor rgb="FF81DBBF"/>
        <bgColor rgb="FF81DBBF"/>
      </patternFill>
    </fill>
    <fill>
      <patternFill patternType="solid">
        <fgColor rgb="FFFFAA5F"/>
        <bgColor rgb="FFFFAA5F"/>
      </patternFill>
    </fill>
    <fill>
      <patternFill patternType="solid">
        <fgColor rgb="FFFC8114"/>
        <bgColor rgb="FFFC8114"/>
      </patternFill>
    </fill>
    <fill>
      <patternFill patternType="solid">
        <fgColor rgb="FFAD5100"/>
        <bgColor rgb="FFAD5100"/>
      </patternFill>
    </fill>
    <fill>
      <patternFill patternType="solid">
        <fgColor rgb="FFF1C232"/>
        <bgColor rgb="FFF1C232"/>
      </patternFill>
    </fill>
    <fill>
      <patternFill patternType="solid">
        <fgColor rgb="FFFFEFC3"/>
        <bgColor rgb="FFFFEFC3"/>
      </patternFill>
    </fill>
    <fill>
      <patternFill patternType="solid">
        <fgColor rgb="FFFFE599"/>
        <bgColor rgb="FFFFE599"/>
      </patternFill>
    </fill>
    <fill>
      <patternFill patternType="solid">
        <fgColor rgb="FFEDDE8E"/>
        <bgColor rgb="FFEDDE8E"/>
      </patternFill>
    </fill>
    <fill>
      <patternFill patternType="solid">
        <fgColor rgb="FFC6EFCE"/>
        <bgColor rgb="FFC6EFCE"/>
      </patternFill>
    </fill>
    <fill>
      <patternFill patternType="solid">
        <fgColor rgb="FFE974ED"/>
        <bgColor rgb="FFE974ED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F5B3C8"/>
        <bgColor rgb="FFF5B3C8"/>
      </patternFill>
    </fill>
    <fill>
      <patternFill patternType="solid">
        <fgColor rgb="FFDB7093"/>
        <bgColor rgb="FFDB7093"/>
      </patternFill>
    </fill>
    <fill>
      <patternFill patternType="solid">
        <fgColor rgb="FFC71585"/>
        <bgColor rgb="FFC71585"/>
      </patternFill>
    </fill>
    <fill>
      <patternFill patternType="solid">
        <fgColor rgb="FFFF69B4"/>
        <bgColor rgb="FFFF69B4"/>
      </patternFill>
    </fill>
    <fill>
      <patternFill patternType="solid">
        <fgColor rgb="FFF54CA9"/>
        <bgColor rgb="FFF54CA9"/>
      </patternFill>
    </fill>
    <fill>
      <patternFill patternType="solid">
        <fgColor rgb="FFD082DE"/>
        <bgColor rgb="FFD082DE"/>
      </patternFill>
    </fill>
    <fill>
      <patternFill patternType="solid">
        <fgColor rgb="FFD68FE2"/>
        <bgColor rgb="FFD68FE2"/>
      </patternFill>
    </fill>
    <fill>
      <patternFill patternType="solid">
        <fgColor rgb="FF9932CC"/>
        <bgColor rgb="FF9932CC"/>
      </patternFill>
    </fill>
    <fill>
      <patternFill patternType="solid">
        <fgColor rgb="FF9065D0"/>
        <bgColor rgb="FF9065D0"/>
      </patternFill>
    </fill>
    <fill>
      <patternFill patternType="solid">
        <fgColor rgb="FFE6CCFF"/>
        <bgColor rgb="FFE6CCFF"/>
      </patternFill>
    </fill>
    <fill>
      <patternFill patternType="solid">
        <fgColor rgb="FF7A5900"/>
        <bgColor rgb="FF7A5900"/>
      </patternFill>
    </fill>
    <fill>
      <patternFill patternType="solid">
        <fgColor rgb="FFEA9999"/>
        <bgColor rgb="FFEA9999"/>
      </patternFill>
    </fill>
    <fill>
      <patternFill patternType="solid">
        <fgColor rgb="FFD4271E"/>
        <bgColor rgb="FFD4271E"/>
      </patternFill>
    </fill>
    <fill>
      <patternFill patternType="solid">
        <fgColor rgb="FFF4CCCC"/>
        <bgColor rgb="FFF4CCCC"/>
      </patternFill>
    </fill>
    <fill>
      <patternFill patternType="solid">
        <fgColor rgb="FFFFA07A"/>
        <bgColor rgb="FFFFA07A"/>
      </patternFill>
    </fill>
    <fill>
      <patternFill patternType="solid">
        <fgColor rgb="FF9C0027"/>
        <bgColor rgb="FF9C0027"/>
      </patternFill>
    </fill>
    <fill>
      <patternFill patternType="solid">
        <fgColor rgb="FF757272"/>
        <bgColor rgb="FF757272"/>
      </patternFill>
    </fill>
    <fill>
      <patternFill patternType="solid">
        <fgColor rgb="FF403D3E"/>
        <bgColor rgb="FF403D3E"/>
      </patternFill>
    </fill>
    <fill>
      <patternFill patternType="solid">
        <fgColor rgb="FFDB4D4F"/>
        <bgColor rgb="FFDB4D4F"/>
      </patternFill>
    </fill>
    <fill>
      <patternFill patternType="solid">
        <fgColor rgb="FF3D85C6"/>
        <bgColor rgb="FF3D85C6"/>
      </patternFill>
    </fill>
    <fill>
      <patternFill patternType="solid">
        <fgColor rgb="FF2532E4"/>
        <bgColor rgb="FF2532E4"/>
      </patternFill>
    </fill>
    <fill>
      <patternFill patternType="solid">
        <fgColor rgb="FF9FC5E8"/>
        <bgColor rgb="FF9FC5E8"/>
      </patternFill>
    </fill>
    <fill>
      <patternFill patternType="solid">
        <fgColor rgb="FF091077"/>
        <bgColor rgb="FF091077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rgb="FFFFEB9C"/>
        <bgColor rgb="FFFFEB9C"/>
      </patternFill>
    </fill>
  </fills>
  <borders count="2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8EAADB"/>
      </bottom>
    </border>
    <border>
      <bottom style="thin">
        <color rgb="FF8EAADB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</border>
    <border>
      <left/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</border>
    <border>
      <left/>
      <right/>
      <bottom/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top style="thick">
        <color rgb="FF000000"/>
      </top>
    </border>
    <border>
      <left/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/>
      <right/>
      <top style="thin">
        <color rgb="FF8EAADB"/>
      </top>
      <bottom/>
    </border>
    <border>
      <left/>
      <right/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top style="thin">
        <color rgb="FF2E75B5"/>
      </top>
      <bottom style="medium">
        <color rgb="FF2E75B5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/>
    </xf>
    <xf borderId="0" fillId="0" fontId="1" numFmtId="164" xfId="0" applyFont="1" applyNumberFormat="1"/>
    <xf borderId="0" fillId="0" fontId="1" numFmtId="0" xfId="0" applyFont="1"/>
    <xf borderId="2" fillId="4" fontId="2" numFmtId="0" xfId="0" applyAlignment="1" applyBorder="1" applyFill="1" applyFont="1">
      <alignment horizontal="center" readingOrder="0" shrinkToFit="0" wrapText="1"/>
    </xf>
    <xf borderId="0" fillId="0" fontId="1" numFmtId="9" xfId="0" applyAlignment="1" applyFont="1" applyNumberFormat="1">
      <alignment horizontal="center"/>
    </xf>
    <xf borderId="2" fillId="4" fontId="3" numFmtId="0" xfId="0" applyAlignment="1" applyBorder="1" applyFont="1">
      <alignment horizontal="center" readingOrder="0" shrinkToFit="0" wrapText="1"/>
    </xf>
    <xf borderId="1" fillId="5" fontId="2" numFmtId="0" xfId="0" applyAlignment="1" applyBorder="1" applyFill="1" applyFont="1">
      <alignment horizontal="center" vertical="center"/>
    </xf>
    <xf borderId="0" fillId="0" fontId="4" numFmtId="0" xfId="0" applyFont="1"/>
    <xf borderId="0" fillId="0" fontId="5" numFmtId="165" xfId="0" applyAlignment="1" applyFont="1" applyNumberFormat="1">
      <alignment horizontal="right" readingOrder="0"/>
    </xf>
    <xf borderId="1" fillId="5" fontId="1" numFmtId="0" xfId="0" applyAlignment="1" applyBorder="1" applyFont="1">
      <alignment horizontal="center"/>
    </xf>
    <xf borderId="2" fillId="6" fontId="2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horizontal="right"/>
    </xf>
    <xf borderId="2" fillId="0" fontId="1" numFmtId="0" xfId="0" applyAlignment="1" applyBorder="1" applyFont="1">
      <alignment horizontal="center" shrinkToFit="0" vertical="bottom" wrapText="1"/>
    </xf>
    <xf borderId="0" fillId="0" fontId="1" numFmtId="165" xfId="0" applyFont="1" applyNumberFormat="1"/>
    <xf borderId="3" fillId="0" fontId="5" numFmtId="49" xfId="0" applyAlignment="1" applyBorder="1" applyFont="1" applyNumberFormat="1">
      <alignment horizontal="center" vertical="bottom"/>
    </xf>
    <xf borderId="0" fillId="0" fontId="1" numFmtId="166" xfId="0" applyFont="1" applyNumberFormat="1"/>
    <xf borderId="4" fillId="7" fontId="6" numFmtId="165" xfId="0" applyAlignment="1" applyBorder="1" applyFill="1" applyFont="1" applyNumberFormat="1">
      <alignment horizontal="left"/>
    </xf>
    <xf borderId="0" fillId="8" fontId="7" numFmtId="49" xfId="0" applyAlignment="1" applyFill="1" applyFont="1" applyNumberFormat="1">
      <alignment vertical="bottom"/>
    </xf>
    <xf borderId="4" fillId="7" fontId="6" numFmtId="165" xfId="0" applyBorder="1" applyFont="1" applyNumberFormat="1"/>
    <xf borderId="0" fillId="0" fontId="1" numFmtId="164" xfId="0" applyAlignment="1" applyFont="1" applyNumberFormat="1">
      <alignment horizontal="right"/>
    </xf>
    <xf borderId="2" fillId="9" fontId="1" numFmtId="0" xfId="0" applyAlignment="1" applyBorder="1" applyFill="1" applyFont="1">
      <alignment shrinkToFit="0" vertical="bottom" wrapText="1"/>
    </xf>
    <xf borderId="4" fillId="7" fontId="6" numFmtId="167" xfId="0" applyBorder="1" applyFont="1" applyNumberFormat="1"/>
    <xf borderId="4" fillId="7" fontId="6" numFmtId="10" xfId="0" applyBorder="1" applyFont="1" applyNumberFormat="1"/>
    <xf borderId="0" fillId="0" fontId="8" numFmtId="0" xfId="0" applyAlignment="1" applyFont="1">
      <alignment readingOrder="0"/>
    </xf>
    <xf borderId="0" fillId="0" fontId="6" numFmtId="165" xfId="0" applyAlignment="1" applyFont="1" applyNumberFormat="1">
      <alignment horizontal="left" vertical="center"/>
    </xf>
    <xf borderId="0" fillId="0" fontId="6" numFmtId="165" xfId="0" applyAlignment="1" applyFont="1" applyNumberFormat="1">
      <alignment vertical="center"/>
    </xf>
    <xf borderId="0" fillId="0" fontId="6" numFmtId="166" xfId="0" applyAlignment="1" applyFont="1" applyNumberFormat="1">
      <alignment vertical="center"/>
    </xf>
    <xf borderId="0" fillId="0" fontId="6" numFmtId="164" xfId="0" applyAlignment="1" applyFont="1" applyNumberFormat="1">
      <alignment vertical="center"/>
    </xf>
    <xf borderId="0" fillId="0" fontId="6" numFmtId="165" xfId="0" applyAlignment="1" applyFont="1" applyNumberFormat="1">
      <alignment horizontal="left"/>
    </xf>
    <xf borderId="0" fillId="10" fontId="7" numFmtId="0" xfId="0" applyAlignment="1" applyFill="1" applyFont="1">
      <alignment vertical="bottom"/>
    </xf>
    <xf borderId="1" fillId="2" fontId="2" numFmtId="0" xfId="0" applyBorder="1" applyFont="1"/>
    <xf borderId="5" fillId="0" fontId="6" numFmtId="165" xfId="0" applyBorder="1" applyFont="1" applyNumberFormat="1"/>
    <xf borderId="6" fillId="11" fontId="7" numFmtId="49" xfId="0" applyAlignment="1" applyBorder="1" applyFill="1" applyFont="1" applyNumberFormat="1">
      <alignment vertical="bottom"/>
    </xf>
    <xf borderId="1" fillId="2" fontId="2" numFmtId="165" xfId="0" applyBorder="1" applyFont="1" applyNumberFormat="1"/>
    <xf borderId="1" fillId="5" fontId="2" numFmtId="165" xfId="0" applyBorder="1" applyFont="1" applyNumberFormat="1"/>
    <xf borderId="6" fillId="12" fontId="7" numFmtId="49" xfId="0" applyAlignment="1" applyBorder="1" applyFill="1" applyFont="1" applyNumberFormat="1">
      <alignment vertical="bottom"/>
    </xf>
    <xf borderId="6" fillId="13" fontId="7" numFmtId="49" xfId="0" applyAlignment="1" applyBorder="1" applyFill="1" applyFont="1" applyNumberFormat="1">
      <alignment vertical="bottom"/>
    </xf>
    <xf borderId="0" fillId="0" fontId="6" numFmtId="167" xfId="0" applyFont="1" applyNumberFormat="1"/>
    <xf borderId="1" fillId="2" fontId="1" numFmtId="166" xfId="0" applyBorder="1" applyFont="1" applyNumberFormat="1"/>
    <xf borderId="0" fillId="0" fontId="6" numFmtId="10" xfId="0" applyFont="1" applyNumberFormat="1"/>
    <xf borderId="2" fillId="0" fontId="7" numFmtId="0" xfId="0" applyAlignment="1" applyBorder="1" applyFont="1">
      <alignment horizontal="center" vertical="bottom"/>
    </xf>
    <xf borderId="7" fillId="7" fontId="6" numFmtId="165" xfId="0" applyAlignment="1" applyBorder="1" applyFont="1" applyNumberFormat="1">
      <alignment horizontal="center" vertical="center"/>
    </xf>
    <xf borderId="1" fillId="5" fontId="1" numFmtId="0" xfId="0" applyBorder="1" applyFont="1"/>
    <xf borderId="6" fillId="14" fontId="7" numFmtId="49" xfId="0" applyAlignment="1" applyBorder="1" applyFill="1" applyFont="1" applyNumberFormat="1">
      <alignment vertical="bottom"/>
    </xf>
    <xf borderId="0" fillId="0" fontId="5" numFmtId="165" xfId="0" applyAlignment="1" applyFont="1" applyNumberFormat="1">
      <alignment horizontal="right"/>
    </xf>
    <xf borderId="7" fillId="7" fontId="6" numFmtId="166" xfId="0" applyAlignment="1" applyBorder="1" applyFont="1" applyNumberFormat="1">
      <alignment horizontal="center" vertical="center"/>
    </xf>
    <xf borderId="0" fillId="15" fontId="7" numFmtId="49" xfId="0" applyAlignment="1" applyFill="1" applyFont="1" applyNumberFormat="1">
      <alignment vertical="bottom"/>
    </xf>
    <xf borderId="2" fillId="5" fontId="1" numFmtId="0" xfId="0" applyAlignment="1" applyBorder="1" applyFont="1">
      <alignment shrinkToFit="0" vertical="bottom" wrapText="1"/>
    </xf>
    <xf borderId="7" fillId="7" fontId="6" numFmtId="164" xfId="0" applyAlignment="1" applyBorder="1" applyFont="1" applyNumberFormat="1">
      <alignment horizontal="center" vertical="center"/>
    </xf>
    <xf borderId="6" fillId="15" fontId="7" numFmtId="49" xfId="0" applyAlignment="1" applyBorder="1" applyFont="1" applyNumberFormat="1">
      <alignment vertical="bottom"/>
    </xf>
    <xf borderId="8" fillId="16" fontId="6" numFmtId="165" xfId="0" applyAlignment="1" applyBorder="1" applyFill="1" applyFont="1" applyNumberFormat="1">
      <alignment horizontal="left"/>
    </xf>
    <xf borderId="2" fillId="0" fontId="9" numFmtId="49" xfId="0" applyAlignment="1" applyBorder="1" applyFont="1" applyNumberFormat="1">
      <alignment horizontal="center" shrinkToFit="0" vertical="bottom" wrapText="1"/>
    </xf>
    <xf borderId="8" fillId="16" fontId="6" numFmtId="168" xfId="0" applyBorder="1" applyFont="1" applyNumberFormat="1"/>
    <xf borderId="0" fillId="17" fontId="7" numFmtId="0" xfId="0" applyAlignment="1" applyFill="1" applyFont="1">
      <alignment vertical="bottom"/>
    </xf>
    <xf borderId="8" fillId="16" fontId="6" numFmtId="9" xfId="0" applyAlignment="1" applyBorder="1" applyFont="1" applyNumberFormat="1">
      <alignment horizontal="center"/>
    </xf>
    <xf borderId="9" fillId="18" fontId="7" numFmtId="49" xfId="0" applyAlignment="1" applyBorder="1" applyFill="1" applyFont="1" applyNumberFormat="1">
      <alignment vertical="bottom"/>
    </xf>
    <xf borderId="1" fillId="19" fontId="1" numFmtId="0" xfId="0" applyBorder="1" applyFill="1" applyFont="1"/>
    <xf borderId="10" fillId="0" fontId="10" numFmtId="0" xfId="0" applyBorder="1" applyFont="1"/>
    <xf borderId="2" fillId="20" fontId="7" numFmtId="0" xfId="0" applyAlignment="1" applyBorder="1" applyFill="1" applyFont="1">
      <alignment vertical="bottom"/>
    </xf>
    <xf borderId="1" fillId="19" fontId="5" numFmtId="165" xfId="0" applyAlignment="1" applyBorder="1" applyFont="1" applyNumberFormat="1">
      <alignment horizontal="right"/>
    </xf>
    <xf borderId="3" fillId="0" fontId="5" numFmtId="49" xfId="0" applyAlignment="1" applyBorder="1" applyFont="1" applyNumberFormat="1">
      <alignment horizontal="center" readingOrder="0" vertical="bottom"/>
    </xf>
    <xf borderId="6" fillId="21" fontId="7" numFmtId="49" xfId="0" applyAlignment="1" applyBorder="1" applyFill="1" applyFont="1" applyNumberFormat="1">
      <alignment vertical="bottom"/>
    </xf>
    <xf borderId="1" fillId="19" fontId="1" numFmtId="166" xfId="0" applyBorder="1" applyFont="1" applyNumberFormat="1"/>
    <xf borderId="0" fillId="0" fontId="1" numFmtId="9" xfId="0" applyFont="1" applyNumberFormat="1"/>
    <xf borderId="1" fillId="19" fontId="1" numFmtId="164" xfId="0" applyBorder="1" applyFont="1" applyNumberFormat="1"/>
    <xf borderId="6" fillId="22" fontId="7" numFmtId="49" xfId="0" applyAlignment="1" applyBorder="1" applyFill="1" applyFont="1" applyNumberFormat="1">
      <alignment vertical="bottom"/>
    </xf>
    <xf borderId="6" fillId="23" fontId="7" numFmtId="49" xfId="0" applyAlignment="1" applyBorder="1" applyFill="1" applyFont="1" applyNumberFormat="1">
      <alignment vertical="bottom"/>
    </xf>
    <xf borderId="2" fillId="24" fontId="2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horizontal="center"/>
    </xf>
    <xf borderId="0" fillId="0" fontId="9" numFmtId="49" xfId="0" applyAlignment="1" applyFont="1" applyNumberFormat="1">
      <alignment horizontal="center" shrinkToFit="0" vertical="bottom" wrapText="1"/>
    </xf>
    <xf borderId="11" fillId="0" fontId="10" numFmtId="0" xfId="0" applyBorder="1" applyFont="1"/>
    <xf borderId="0" fillId="0" fontId="11" numFmtId="0" xfId="0" applyFont="1"/>
    <xf borderId="6" fillId="25" fontId="7" numFmtId="49" xfId="0" applyAlignment="1" applyBorder="1" applyFill="1" applyFont="1" applyNumberFormat="1">
      <alignment vertical="bottom"/>
    </xf>
    <xf borderId="0" fillId="0" fontId="12" numFmtId="0" xfId="0" applyFont="1"/>
    <xf borderId="2" fillId="26" fontId="1" numFmtId="0" xfId="0" applyAlignment="1" applyBorder="1" applyFill="1" applyFont="1">
      <alignment shrinkToFit="0" vertical="bottom" wrapText="1"/>
    </xf>
    <xf borderId="0" fillId="0" fontId="13" numFmtId="0" xfId="0" applyFont="1"/>
    <xf borderId="0" fillId="0" fontId="13" numFmtId="165" xfId="0" applyFont="1" applyNumberFormat="1"/>
    <xf borderId="2" fillId="0" fontId="5" numFmtId="49" xfId="0" applyAlignment="1" applyBorder="1" applyFont="1" applyNumberFormat="1">
      <alignment horizontal="center" vertical="bottom"/>
    </xf>
    <xf borderId="7" fillId="7" fontId="6" numFmtId="165" xfId="0" applyAlignment="1" applyBorder="1" applyFont="1" applyNumberFormat="1">
      <alignment horizontal="left" vertical="center"/>
    </xf>
    <xf borderId="9" fillId="27" fontId="7" numFmtId="49" xfId="0" applyAlignment="1" applyBorder="1" applyFill="1" applyFont="1" applyNumberFormat="1">
      <alignment vertical="bottom"/>
    </xf>
    <xf borderId="7" fillId="7" fontId="6" numFmtId="166" xfId="0" applyAlignment="1" applyBorder="1" applyFont="1" applyNumberFormat="1">
      <alignment horizontal="left" vertical="center"/>
    </xf>
    <xf borderId="0" fillId="0" fontId="1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1" fillId="28" fontId="13" numFmtId="0" xfId="0" applyAlignment="1" applyBorder="1" applyFill="1" applyFont="1">
      <alignment horizontal="center" shrinkToFit="0" vertical="center" wrapText="1"/>
    </xf>
    <xf borderId="6" fillId="29" fontId="7" numFmtId="49" xfId="0" applyAlignment="1" applyBorder="1" applyFill="1" applyFont="1" applyNumberFormat="1">
      <alignment vertical="bottom"/>
    </xf>
    <xf borderId="8" fillId="16" fontId="6" numFmtId="166" xfId="0" applyBorder="1" applyFont="1" applyNumberFormat="1"/>
    <xf borderId="2" fillId="16" fontId="1" numFmtId="0" xfId="0" applyAlignment="1" applyBorder="1" applyFont="1">
      <alignment shrinkToFit="0" vertical="bottom" wrapText="1"/>
    </xf>
    <xf borderId="1" fillId="19" fontId="13" numFmtId="0" xfId="0" applyAlignment="1" applyBorder="1" applyFont="1">
      <alignment horizontal="center" shrinkToFit="0" vertical="center" wrapText="1"/>
    </xf>
    <xf borderId="6" fillId="30" fontId="7" numFmtId="49" xfId="0" applyAlignment="1" applyBorder="1" applyFill="1" applyFont="1" applyNumberFormat="1">
      <alignment vertical="bottom"/>
    </xf>
    <xf borderId="2" fillId="31" fontId="1" numFmtId="0" xfId="0" applyAlignment="1" applyBorder="1" applyFill="1" applyFont="1">
      <alignment shrinkToFit="0" vertical="bottom" wrapText="1"/>
    </xf>
    <xf borderId="1" fillId="28" fontId="13" numFmtId="0" xfId="0" applyBorder="1" applyFont="1"/>
    <xf borderId="6" fillId="32" fontId="7" numFmtId="49" xfId="0" applyAlignment="1" applyBorder="1" applyFill="1" applyFont="1" applyNumberFormat="1">
      <alignment vertical="bottom"/>
    </xf>
    <xf borderId="0" fillId="0" fontId="6" numFmtId="166" xfId="0" applyFont="1" applyNumberFormat="1"/>
    <xf borderId="1" fillId="19" fontId="13" numFmtId="165" xfId="0" applyBorder="1" applyFont="1" applyNumberFormat="1"/>
    <xf borderId="12" fillId="0" fontId="10" numFmtId="0" xfId="0" applyBorder="1" applyFont="1"/>
    <xf borderId="6" fillId="33" fontId="7" numFmtId="49" xfId="0" applyAlignment="1" applyBorder="1" applyFill="1" applyFont="1" applyNumberFormat="1">
      <alignment vertical="bottom"/>
    </xf>
    <xf borderId="13" fillId="16" fontId="6" numFmtId="165" xfId="0" applyAlignment="1" applyBorder="1" applyFont="1" applyNumberFormat="1">
      <alignment horizontal="left"/>
    </xf>
    <xf borderId="3" fillId="0" fontId="5" numFmtId="49" xfId="0" applyAlignment="1" applyBorder="1" applyFont="1" applyNumberFormat="1">
      <alignment horizontal="center" shrinkToFit="0" vertical="bottom" wrapText="1"/>
    </xf>
    <xf borderId="6" fillId="34" fontId="7" numFmtId="49" xfId="0" applyAlignment="1" applyBorder="1" applyFill="1" applyFont="1" applyNumberFormat="1">
      <alignment vertical="bottom"/>
    </xf>
    <xf borderId="13" fillId="16" fontId="6" numFmtId="165" xfId="0" applyBorder="1" applyFont="1" applyNumberFormat="1"/>
    <xf borderId="6" fillId="35" fontId="7" numFmtId="49" xfId="0" applyAlignment="1" applyBorder="1" applyFill="1" applyFont="1" applyNumberFormat="1">
      <alignment vertical="bottom"/>
    </xf>
    <xf borderId="13" fillId="16" fontId="6" numFmtId="166" xfId="0" applyBorder="1" applyFont="1" applyNumberFormat="1"/>
    <xf borderId="6" fillId="36" fontId="7" numFmtId="49" xfId="0" applyAlignment="1" applyBorder="1" applyFill="1" applyFont="1" applyNumberFormat="1">
      <alignment vertical="bottom"/>
    </xf>
    <xf borderId="6" fillId="37" fontId="7" numFmtId="49" xfId="0" applyAlignment="1" applyBorder="1" applyFill="1" applyFont="1" applyNumberFormat="1">
      <alignment vertical="bottom"/>
    </xf>
    <xf borderId="1" fillId="19" fontId="13" numFmtId="0" xfId="0" applyBorder="1" applyFont="1"/>
    <xf borderId="6" fillId="38" fontId="7" numFmtId="49" xfId="0" applyAlignment="1" applyBorder="1" applyFill="1" applyFont="1" applyNumberFormat="1">
      <alignment vertical="bottom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6" fillId="39" fontId="7" numFmtId="49" xfId="0" applyAlignment="1" applyBorder="1" applyFill="1" applyFont="1" applyNumberFormat="1">
      <alignment vertical="bottom"/>
    </xf>
    <xf borderId="0" fillId="0" fontId="1" numFmtId="164" xfId="0" applyAlignment="1" applyFont="1" applyNumberFormat="1">
      <alignment vertical="center"/>
    </xf>
    <xf borderId="6" fillId="40" fontId="7" numFmtId="49" xfId="0" applyAlignment="1" applyBorder="1" applyFill="1" applyFont="1" applyNumberFormat="1">
      <alignment vertical="bottom"/>
    </xf>
    <xf borderId="14" fillId="0" fontId="1" numFmtId="9" xfId="0" applyAlignment="1" applyBorder="1" applyFont="1" applyNumberFormat="1">
      <alignment horizontal="center"/>
    </xf>
    <xf borderId="6" fillId="41" fontId="7" numFmtId="49" xfId="0" applyAlignment="1" applyBorder="1" applyFill="1" applyFont="1" applyNumberFormat="1">
      <alignment vertical="bottom"/>
    </xf>
    <xf borderId="15" fillId="0" fontId="1" numFmtId="0" xfId="0" applyAlignment="1" applyBorder="1" applyFont="1">
      <alignment horizontal="center" shrinkToFit="0" vertical="center" wrapText="1"/>
    </xf>
    <xf borderId="16" fillId="28" fontId="14" numFmtId="0" xfId="0" applyAlignment="1" applyBorder="1" applyFont="1">
      <alignment horizontal="center" shrinkToFit="0" vertical="center" wrapText="1"/>
    </xf>
    <xf borderId="6" fillId="42" fontId="7" numFmtId="49" xfId="0" applyAlignment="1" applyBorder="1" applyFill="1" applyFont="1" applyNumberFormat="1">
      <alignment vertical="bottom"/>
    </xf>
    <xf borderId="17" fillId="19" fontId="1" numFmtId="0" xfId="0" applyAlignment="1" applyBorder="1" applyFont="1">
      <alignment horizontal="center" readingOrder="0" shrinkToFit="0" vertical="center" wrapText="1"/>
    </xf>
    <xf borderId="18" fillId="28" fontId="14" numFmtId="0" xfId="0" applyBorder="1" applyFont="1"/>
    <xf borderId="2" fillId="43" fontId="2" numFmtId="0" xfId="0" applyAlignment="1" applyBorder="1" applyFill="1" applyFont="1">
      <alignment shrinkToFit="0" vertical="bottom" wrapText="1"/>
    </xf>
    <xf borderId="0" fillId="0" fontId="1" numFmtId="169" xfId="0" applyFont="1" applyNumberFormat="1"/>
    <xf borderId="9" fillId="44" fontId="7" numFmtId="49" xfId="0" applyAlignment="1" applyBorder="1" applyFill="1" applyFont="1" applyNumberFormat="1">
      <alignment vertical="bottom"/>
    </xf>
    <xf borderId="2" fillId="45" fontId="1" numFmtId="0" xfId="0" applyAlignment="1" applyBorder="1" applyFill="1" applyFont="1">
      <alignment shrinkToFit="0" vertical="bottom" wrapText="1"/>
    </xf>
    <xf borderId="6" fillId="46" fontId="7" numFmtId="49" xfId="0" applyAlignment="1" applyBorder="1" applyFill="1" applyFont="1" applyNumberFormat="1">
      <alignment vertical="bottom"/>
    </xf>
    <xf borderId="6" fillId="44" fontId="7" numFmtId="49" xfId="0" applyAlignment="1" applyBorder="1" applyFont="1" applyNumberFormat="1">
      <alignment vertical="bottom"/>
    </xf>
    <xf borderId="19" fillId="19" fontId="1" numFmtId="169" xfId="0" applyBorder="1" applyFont="1" applyNumberFormat="1"/>
    <xf borderId="6" fillId="47" fontId="7" numFmtId="49" xfId="0" applyAlignment="1" applyBorder="1" applyFill="1" applyFont="1" applyNumberFormat="1">
      <alignment vertical="bottom"/>
    </xf>
    <xf borderId="6" fillId="48" fontId="7" numFmtId="49" xfId="0" applyAlignment="1" applyBorder="1" applyFill="1" applyFont="1" applyNumberFormat="1">
      <alignment vertical="bottom"/>
    </xf>
    <xf borderId="5" fillId="0" fontId="6" numFmtId="165" xfId="0" applyAlignment="1" applyBorder="1" applyFont="1" applyNumberFormat="1">
      <alignment horizontal="left"/>
    </xf>
    <xf borderId="3" fillId="49" fontId="7" numFmtId="49" xfId="0" applyAlignment="1" applyBorder="1" applyFill="1" applyFont="1" applyNumberFormat="1">
      <alignment vertical="bottom"/>
    </xf>
    <xf borderId="5" fillId="0" fontId="6" numFmtId="167" xfId="0" applyBorder="1" applyFont="1" applyNumberFormat="1"/>
    <xf borderId="5" fillId="0" fontId="6" numFmtId="10" xfId="0" applyBorder="1" applyFont="1" applyNumberFormat="1"/>
    <xf borderId="14" fillId="0" fontId="1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14" fillId="0" fontId="1" numFmtId="164" xfId="0" applyAlignment="1" applyBorder="1" applyFont="1" applyNumberFormat="1">
      <alignment vertical="center"/>
    </xf>
    <xf borderId="6" fillId="50" fontId="7" numFmtId="49" xfId="0" applyAlignment="1" applyBorder="1" applyFill="1" applyFont="1" applyNumberFormat="1">
      <alignment vertical="bottom"/>
    </xf>
    <xf borderId="14" fillId="0" fontId="1" numFmtId="0" xfId="0" applyBorder="1" applyFont="1"/>
    <xf borderId="2" fillId="51" fontId="2" numFmtId="0" xfId="0" applyAlignment="1" applyBorder="1" applyFill="1" applyFont="1">
      <alignment shrinkToFit="0" vertical="bottom" wrapText="1"/>
    </xf>
    <xf borderId="0" fillId="52" fontId="7" numFmtId="49" xfId="0" applyAlignment="1" applyFill="1" applyFont="1" applyNumberFormat="1">
      <alignment vertical="bottom"/>
    </xf>
    <xf borderId="2" fillId="53" fontId="1" numFmtId="0" xfId="0" applyAlignment="1" applyBorder="1" applyFill="1" applyFont="1">
      <alignment shrinkToFit="0" vertical="bottom" wrapText="1"/>
    </xf>
    <xf borderId="0" fillId="0" fontId="15" numFmtId="0" xfId="0" applyFont="1"/>
    <xf borderId="6" fillId="52" fontId="7" numFmtId="49" xfId="0" applyAlignment="1" applyBorder="1" applyFont="1" applyNumberFormat="1">
      <alignment vertical="bottom"/>
    </xf>
    <xf borderId="6" fillId="54" fontId="7" numFmtId="49" xfId="0" applyAlignment="1" applyBorder="1" applyFill="1" applyFont="1" applyNumberFormat="1">
      <alignment vertical="bottom"/>
    </xf>
    <xf borderId="2" fillId="55" fontId="1" numFmtId="0" xfId="0" applyAlignment="1" applyBorder="1" applyFill="1" applyFont="1">
      <alignment shrinkToFit="0" vertical="bottom" wrapText="1"/>
    </xf>
    <xf borderId="3" fillId="0" fontId="5" numFmtId="0" xfId="0" applyAlignment="1" applyBorder="1" applyFont="1">
      <alignment horizontal="center" vertical="bottom"/>
    </xf>
    <xf borderId="6" fillId="56" fontId="7" numFmtId="0" xfId="0" applyAlignment="1" applyBorder="1" applyFill="1" applyFont="1">
      <alignment vertical="bottom"/>
    </xf>
    <xf borderId="20" fillId="19" fontId="1" numFmtId="0" xfId="0" applyAlignment="1" applyBorder="1" applyFont="1">
      <alignment readingOrder="0"/>
    </xf>
    <xf borderId="21" fillId="19" fontId="1" numFmtId="169" xfId="0" applyBorder="1" applyFont="1" applyNumberFormat="1"/>
    <xf borderId="22" fillId="19" fontId="1" numFmtId="169" xfId="0" applyBorder="1" applyFont="1" applyNumberFormat="1"/>
    <xf borderId="0" fillId="0" fontId="6" numFmtId="0" xfId="0" applyAlignment="1" applyFont="1">
      <alignment horizontal="left"/>
    </xf>
    <xf borderId="5" fillId="0" fontId="6" numFmtId="170" xfId="0" applyBorder="1" applyFont="1" applyNumberFormat="1"/>
    <xf borderId="14" fillId="0" fontId="1" numFmtId="164" xfId="0" applyBorder="1" applyFont="1" applyNumberFormat="1"/>
    <xf borderId="8" fillId="7" fontId="6" numFmtId="165" xfId="0" applyAlignment="1" applyBorder="1" applyFont="1" applyNumberFormat="1">
      <alignment horizontal="left" vertical="center"/>
    </xf>
    <xf borderId="8" fillId="7" fontId="6" numFmtId="165" xfId="0" applyAlignment="1" applyBorder="1" applyFont="1" applyNumberFormat="1">
      <alignment vertical="center"/>
    </xf>
    <xf borderId="8" fillId="7" fontId="6" numFmtId="166" xfId="0" applyAlignment="1" applyBorder="1" applyFont="1" applyNumberFormat="1">
      <alignment vertical="center"/>
    </xf>
    <xf borderId="8" fillId="7" fontId="6" numFmtId="164" xfId="0" applyAlignment="1" applyBorder="1" applyFont="1" applyNumberFormat="1">
      <alignment horizontal="center" vertical="center"/>
    </xf>
    <xf borderId="0" fillId="0" fontId="6" numFmtId="165" xfId="0" applyFont="1" applyNumberFormat="1"/>
    <xf borderId="0" fillId="0" fontId="6" numFmtId="164" xfId="0" applyFont="1" applyNumberFormat="1"/>
    <xf borderId="0" fillId="0" fontId="1" numFmtId="164" xfId="0" applyAlignment="1" applyFont="1" applyNumberFormat="1">
      <alignment horizontal="center" vertical="center"/>
    </xf>
    <xf borderId="23" fillId="2" fontId="6" numFmtId="10" xfId="0" applyBorder="1" applyFont="1" applyNumberFormat="1"/>
    <xf borderId="23" fillId="2" fontId="6" numFmtId="165" xfId="0" applyBorder="1" applyFont="1" applyNumberFormat="1"/>
    <xf borderId="23" fillId="2" fontId="6" numFmtId="171" xfId="0" applyBorder="1" applyFont="1" applyNumberFormat="1"/>
    <xf borderId="0" fillId="0" fontId="11" numFmtId="165" xfId="0" applyFont="1" applyNumberFormat="1"/>
    <xf borderId="0" fillId="0" fontId="16" numFmtId="165" xfId="0" applyFont="1" applyNumberFormat="1"/>
    <xf borderId="1" fillId="28" fontId="14" numFmtId="0" xfId="0" applyBorder="1" applyFont="1"/>
    <xf borderId="0" fillId="0" fontId="14" numFmtId="0" xfId="0" applyFont="1"/>
    <xf borderId="24" fillId="57" fontId="6" numFmtId="165" xfId="0" applyAlignment="1" applyBorder="1" applyFill="1" applyFont="1" applyNumberFormat="1">
      <alignment horizontal="left"/>
    </xf>
    <xf borderId="1" fillId="57" fontId="6" numFmtId="165" xfId="0" applyAlignment="1" applyBorder="1" applyFont="1" applyNumberFormat="1">
      <alignment horizontal="left"/>
    </xf>
    <xf borderId="25" fillId="0" fontId="6" numFmtId="165" xfId="0" applyBorder="1" applyFont="1" applyNumberFormat="1"/>
    <xf borderId="24" fillId="57" fontId="6" numFmtId="164" xfId="0" applyBorder="1" applyFont="1" applyNumberFormat="1"/>
    <xf borderId="1" fillId="58" fontId="17" numFmtId="0" xfId="0" applyBorder="1" applyFill="1" applyFont="1"/>
    <xf borderId="0" fillId="0" fontId="18" numFmtId="165" xfId="0" applyFont="1" applyNumberFormat="1"/>
    <xf borderId="25" fillId="0" fontId="6" numFmtId="165" xfId="0" applyAlignment="1" applyBorder="1" applyFont="1" applyNumberFormat="1">
      <alignment horizontal="left"/>
    </xf>
    <xf borderId="0" fillId="0" fontId="6" numFmtId="0" xfId="0" applyFont="1"/>
    <xf borderId="25" fillId="0" fontId="7" numFmtId="165" xfId="0" applyAlignment="1" applyBorder="1" applyFont="1" applyNumberFormat="1">
      <alignment horizontal="left"/>
    </xf>
    <xf borderId="0" fillId="0" fontId="7" numFmtId="165" xfId="0" applyAlignment="1" applyFont="1" applyNumberFormat="1">
      <alignment horizontal="left"/>
    </xf>
    <xf borderId="0" fillId="0" fontId="19" numFmtId="0" xfId="0" applyFont="1"/>
    <xf borderId="0" fillId="0" fontId="20" numFmtId="172" xfId="0" applyAlignment="1" applyFont="1" applyNumberFormat="1">
      <alignment horizontal="center"/>
    </xf>
    <xf borderId="0" fillId="0" fontId="21" numFmtId="0" xfId="0" applyFont="1"/>
    <xf borderId="0" fillId="0" fontId="11" numFmtId="9" xfId="0" applyAlignment="1" applyFont="1" applyNumberFormat="1">
      <alignment horizontal="center"/>
    </xf>
    <xf borderId="0" fillId="0" fontId="22" numFmtId="0" xfId="0" applyFont="1"/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/>
    </xf>
    <xf borderId="0" fillId="0" fontId="5" numFmtId="165" xfId="0" applyAlignment="1" applyFont="1" applyNumberFormat="1">
      <alignment horizontal="left"/>
    </xf>
    <xf borderId="26" fillId="0" fontId="6" numFmtId="165" xfId="0" applyAlignment="1" applyBorder="1" applyFont="1" applyNumberFormat="1">
      <alignment horizontal="left"/>
    </xf>
    <xf borderId="26" fillId="0" fontId="6" numFmtId="165" xfId="0" applyBorder="1" applyFont="1" applyNumberFormat="1"/>
    <xf borderId="0" fillId="0" fontId="23" numFmtId="10" xfId="0" applyAlignment="1" applyFont="1" applyNumberFormat="1">
      <alignment horizontal="right"/>
    </xf>
    <xf borderId="0" fillId="0" fontId="23" numFmtId="0" xfId="0" applyAlignment="1" applyFont="1">
      <alignment horizontal="right"/>
    </xf>
    <xf borderId="0" fillId="0" fontId="23" numFmtId="165" xfId="0" applyAlignment="1" applyFont="1" applyNumberFormat="1">
      <alignment horizontal="right"/>
    </xf>
    <xf borderId="0" fillId="0" fontId="1" numFmtId="165" xfId="0" applyAlignment="1" applyFont="1" applyNumberFormat="1">
      <alignment readingOrder="0"/>
    </xf>
    <xf borderId="0" fillId="0" fontId="2" numFmtId="0" xfId="0" applyFont="1"/>
    <xf borderId="1" fillId="59" fontId="17" numFmtId="0" xfId="0" applyBorder="1" applyFill="1" applyFont="1"/>
    <xf borderId="1" fillId="59" fontId="17" numFmtId="172" xfId="0" applyBorder="1" applyFont="1" applyNumberFormat="1"/>
    <xf borderId="0" fillId="0" fontId="17" numFmtId="0" xfId="0" applyFont="1"/>
    <xf borderId="0" fillId="0" fontId="17" numFmtId="172" xfId="0" applyFont="1" applyNumberFormat="1"/>
    <xf borderId="1" fillId="59" fontId="17" numFmtId="0" xfId="0" applyAlignment="1" applyBorder="1" applyFont="1">
      <alignment readingOrder="0"/>
    </xf>
    <xf borderId="1" fillId="59" fontId="17" numFmtId="165" xfId="0" applyBorder="1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HISTORICO'!$B$4:$AM$4</c:f>
            </c:strRef>
          </c:cat>
          <c:val>
            <c:numRef>
              <c:f>'GRAFICO HISTORICO'!$B$51:$AN$51</c:f>
              <c:numCache/>
            </c:numRef>
          </c:val>
          <c:smooth val="0"/>
        </c:ser>
        <c:axId val="1899403444"/>
        <c:axId val="1307336575"/>
      </c:lineChart>
      <c:catAx>
        <c:axId val="1899403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307336575"/>
      </c:catAx>
      <c:valAx>
        <c:axId val="1307336575"/>
        <c:scaling>
          <c:orientation val="minMax"/>
          <c:max val="1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940344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Vegetação Nativa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HISTORICO'!$B$4:$AK$4</c:f>
            </c:strRef>
          </c:cat>
          <c:val>
            <c:numRef>
              <c:f>'GRAFICO HISTORICO'!$B$5:$AK$5</c:f>
              <c:numCache/>
            </c:numRef>
          </c:val>
          <c:smooth val="0"/>
        </c:ser>
        <c:axId val="446191040"/>
        <c:axId val="1949273946"/>
      </c:lineChart>
      <c:catAx>
        <c:axId val="446191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949273946"/>
      </c:catAx>
      <c:valAx>
        <c:axId val="1949273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4619104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HISTORICO'!$B$41:$AM$41</c:f>
            </c:strRef>
          </c:cat>
          <c:val>
            <c:numRef>
              <c:f>'GRAFICO HISTORICO'!$B$49:$AN$49</c:f>
              <c:numCache/>
            </c:numRef>
          </c:val>
          <c:smooth val="0"/>
        </c:ser>
        <c:axId val="629619255"/>
        <c:axId val="1850666502"/>
      </c:lineChart>
      <c:catAx>
        <c:axId val="629619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850666502"/>
      </c:catAx>
      <c:valAx>
        <c:axId val="18506665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9619255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HISTORICO'!$B$4:$AK$4</c:f>
            </c:strRef>
          </c:cat>
          <c:val>
            <c:numRef>
              <c:f>'GRAFICO HISTORICO'!$B$50:$AN$50</c:f>
              <c:numCache/>
            </c:numRef>
          </c:val>
          <c:smooth val="0"/>
        </c:ser>
        <c:axId val="1405684874"/>
        <c:axId val="1777874945"/>
      </c:lineChart>
      <c:catAx>
        <c:axId val="1405684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777874945"/>
      </c:catAx>
      <c:valAx>
        <c:axId val="1777874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5684874"/>
      </c:valAx>
    </c:plotArea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781050</xdr:colOff>
      <xdr:row>66</xdr:row>
      <xdr:rowOff>76200</xdr:rowOff>
    </xdr:from>
    <xdr:ext cx="5143500" cy="2705100"/>
    <xdr:graphicFrame>
      <xdr:nvGraphicFramePr>
        <xdr:cNvPr id="124379357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123825</xdr:colOff>
      <xdr:row>66</xdr:row>
      <xdr:rowOff>85725</xdr:rowOff>
    </xdr:from>
    <xdr:ext cx="5191125" cy="2705100"/>
    <xdr:graphicFrame>
      <xdr:nvGraphicFramePr>
        <xdr:cNvPr id="2062564105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95250</xdr:colOff>
      <xdr:row>52</xdr:row>
      <xdr:rowOff>28575</xdr:rowOff>
    </xdr:from>
    <xdr:ext cx="5210175" cy="2705100"/>
    <xdr:graphicFrame>
      <xdr:nvGraphicFramePr>
        <xdr:cNvPr id="100586915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781050</xdr:colOff>
      <xdr:row>52</xdr:row>
      <xdr:rowOff>47625</xdr:rowOff>
    </xdr:from>
    <xdr:ext cx="5143500" cy="2705100"/>
    <xdr:graphicFrame>
      <xdr:nvGraphicFramePr>
        <xdr:cNvPr id="309719703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2" width="33.44"/>
    <col customWidth="1" min="3" max="26" width="11.11"/>
  </cols>
  <sheetData>
    <row r="1">
      <c r="A1" s="2" t="s">
        <v>0</v>
      </c>
      <c r="B1" s="2" t="s">
        <v>6</v>
      </c>
      <c r="C1" s="5" t="s">
        <v>7</v>
      </c>
      <c r="D1" s="7" t="s">
        <v>8</v>
      </c>
      <c r="E1" s="7" t="s">
        <v>9</v>
      </c>
      <c r="F1" s="4"/>
    </row>
    <row r="2" ht="17.25" customHeight="1">
      <c r="A2" s="12" t="s">
        <v>11</v>
      </c>
      <c r="B2" s="12" t="s">
        <v>14</v>
      </c>
      <c r="C2" s="14">
        <v>1.0</v>
      </c>
      <c r="D2" s="16" t="s">
        <v>16</v>
      </c>
      <c r="E2" s="19"/>
      <c r="F2" s="4"/>
    </row>
    <row r="3" ht="17.25" customHeight="1">
      <c r="A3" s="22" t="s">
        <v>18</v>
      </c>
      <c r="B3" s="22" t="s">
        <v>20</v>
      </c>
      <c r="C3" s="14">
        <v>3.0</v>
      </c>
      <c r="D3" s="16" t="s">
        <v>16</v>
      </c>
      <c r="E3" s="19"/>
      <c r="F3" s="4"/>
      <c r="G3" s="25" t="s">
        <v>23</v>
      </c>
    </row>
    <row r="4" ht="17.25" customHeight="1">
      <c r="A4" s="22" t="s">
        <v>25</v>
      </c>
      <c r="B4" s="22" t="s">
        <v>26</v>
      </c>
      <c r="C4" s="14">
        <v>6.0</v>
      </c>
      <c r="D4" s="16" t="s">
        <v>27</v>
      </c>
      <c r="E4" s="31"/>
      <c r="F4" s="4"/>
    </row>
    <row r="5" ht="17.25" customHeight="1">
      <c r="A5" s="22" t="s">
        <v>29</v>
      </c>
      <c r="B5" s="22" t="s">
        <v>30</v>
      </c>
      <c r="C5" s="14">
        <v>4.0</v>
      </c>
      <c r="D5" s="16" t="s">
        <v>31</v>
      </c>
      <c r="E5" s="34"/>
      <c r="F5" s="4"/>
    </row>
    <row r="6" ht="17.25" customHeight="1">
      <c r="A6" s="22" t="s">
        <v>33</v>
      </c>
      <c r="B6" s="22" t="s">
        <v>34</v>
      </c>
      <c r="C6" s="14">
        <v>7.0</v>
      </c>
      <c r="D6" s="16" t="s">
        <v>35</v>
      </c>
      <c r="E6" s="37"/>
      <c r="F6" s="4"/>
    </row>
    <row r="7" ht="17.25" customHeight="1">
      <c r="A7" s="22" t="s">
        <v>36</v>
      </c>
      <c r="B7" s="22" t="s">
        <v>37</v>
      </c>
      <c r="C7" s="14">
        <v>5.0</v>
      </c>
      <c r="D7" s="16" t="s">
        <v>38</v>
      </c>
      <c r="E7" s="38"/>
      <c r="F7" s="4"/>
    </row>
    <row r="8" ht="17.25" customHeight="1">
      <c r="A8" s="22" t="s">
        <v>39</v>
      </c>
      <c r="B8" s="22" t="s">
        <v>40</v>
      </c>
      <c r="C8" s="42">
        <v>49.0</v>
      </c>
      <c r="D8" s="16" t="s">
        <v>42</v>
      </c>
      <c r="E8" s="45"/>
      <c r="F8" s="4"/>
    </row>
    <row r="9" ht="17.25" customHeight="1">
      <c r="A9" s="12" t="s">
        <v>43</v>
      </c>
      <c r="B9" s="12" t="s">
        <v>44</v>
      </c>
      <c r="C9" s="42">
        <v>10.0</v>
      </c>
      <c r="D9" s="16" t="s">
        <v>45</v>
      </c>
      <c r="E9" s="48"/>
      <c r="F9" s="4"/>
    </row>
    <row r="10" ht="17.25" customHeight="1">
      <c r="A10" s="49" t="s">
        <v>46</v>
      </c>
      <c r="B10" s="49" t="s">
        <v>47</v>
      </c>
      <c r="C10" s="42">
        <v>12.0</v>
      </c>
      <c r="D10" s="16" t="s">
        <v>45</v>
      </c>
      <c r="E10" s="51"/>
      <c r="F10" s="4"/>
    </row>
    <row r="11" ht="17.25" customHeight="1">
      <c r="A11" s="49" t="s">
        <v>49</v>
      </c>
      <c r="B11" s="49" t="s">
        <v>50</v>
      </c>
      <c r="C11" s="42">
        <v>77.0</v>
      </c>
      <c r="D11" s="53" t="s">
        <v>51</v>
      </c>
      <c r="E11" s="55"/>
      <c r="F11" s="4"/>
    </row>
    <row r="12" ht="17.25" customHeight="1">
      <c r="A12" s="49" t="s">
        <v>54</v>
      </c>
      <c r="B12" s="49" t="s">
        <v>55</v>
      </c>
      <c r="C12" s="42">
        <v>11.0</v>
      </c>
      <c r="D12" s="16" t="s">
        <v>56</v>
      </c>
      <c r="E12" s="57"/>
      <c r="F12" s="4"/>
    </row>
    <row r="13" ht="17.25" customHeight="1">
      <c r="A13" s="49" t="s">
        <v>59</v>
      </c>
      <c r="B13" s="49" t="s">
        <v>60</v>
      </c>
      <c r="C13" s="42">
        <v>84.0</v>
      </c>
      <c r="D13" s="53" t="s">
        <v>61</v>
      </c>
      <c r="E13" s="60"/>
      <c r="F13" s="4"/>
    </row>
    <row r="14" ht="17.25" customHeight="1">
      <c r="A14" s="49" t="s">
        <v>63</v>
      </c>
      <c r="B14" s="49" t="s">
        <v>64</v>
      </c>
      <c r="C14" s="42">
        <v>50.0</v>
      </c>
      <c r="D14" s="62" t="s">
        <v>66</v>
      </c>
      <c r="E14" s="63"/>
      <c r="F14" s="4"/>
    </row>
    <row r="15" ht="17.25" customHeight="1">
      <c r="A15" s="49" t="s">
        <v>67</v>
      </c>
      <c r="B15" s="49" t="s">
        <v>69</v>
      </c>
      <c r="C15" s="42">
        <v>32.0</v>
      </c>
      <c r="D15" s="16" t="s">
        <v>70</v>
      </c>
      <c r="E15" s="67"/>
      <c r="F15" s="4"/>
    </row>
    <row r="16" ht="17.25" customHeight="1">
      <c r="A16" s="49" t="s">
        <v>71</v>
      </c>
      <c r="B16" s="49" t="s">
        <v>72</v>
      </c>
      <c r="C16" s="42">
        <v>29.0</v>
      </c>
      <c r="D16" s="16" t="s">
        <v>73</v>
      </c>
      <c r="E16" s="68"/>
      <c r="F16" s="4"/>
    </row>
    <row r="17" ht="17.25" customHeight="1">
      <c r="A17" s="69" t="s">
        <v>75</v>
      </c>
      <c r="B17" s="69" t="s">
        <v>76</v>
      </c>
      <c r="C17" s="42">
        <v>14.0</v>
      </c>
      <c r="D17" s="71" t="s">
        <v>77</v>
      </c>
      <c r="E17" s="74"/>
      <c r="F17" s="4"/>
    </row>
    <row r="18" ht="17.25" customHeight="1">
      <c r="A18" s="76" t="s">
        <v>79</v>
      </c>
      <c r="B18" s="76" t="s">
        <v>80</v>
      </c>
      <c r="C18" s="42">
        <v>15.0</v>
      </c>
      <c r="D18" s="79" t="s">
        <v>82</v>
      </c>
      <c r="E18" s="81"/>
      <c r="F18" s="4"/>
    </row>
    <row r="19" ht="17.25" customHeight="1">
      <c r="A19" s="76" t="s">
        <v>85</v>
      </c>
      <c r="B19" s="76" t="s">
        <v>86</v>
      </c>
      <c r="C19" s="42">
        <v>18.0</v>
      </c>
      <c r="D19" s="16" t="s">
        <v>88</v>
      </c>
      <c r="E19" s="86"/>
      <c r="F19" s="4"/>
    </row>
    <row r="20" ht="17.25" customHeight="1">
      <c r="A20" s="88" t="s">
        <v>90</v>
      </c>
      <c r="B20" s="88" t="s">
        <v>93</v>
      </c>
      <c r="C20" s="42">
        <v>19.0</v>
      </c>
      <c r="D20" s="16" t="s">
        <v>95</v>
      </c>
      <c r="E20" s="90"/>
      <c r="F20" s="4"/>
    </row>
    <row r="21" ht="17.25" customHeight="1">
      <c r="A21" s="91" t="s">
        <v>96</v>
      </c>
      <c r="B21" s="91" t="s">
        <v>98</v>
      </c>
      <c r="C21" s="42">
        <v>39.0</v>
      </c>
      <c r="D21" s="16" t="s">
        <v>99</v>
      </c>
      <c r="E21" s="93"/>
      <c r="F21" s="4"/>
    </row>
    <row r="22" ht="17.25" customHeight="1">
      <c r="A22" s="91" t="s">
        <v>100</v>
      </c>
      <c r="B22" s="91" t="s">
        <v>101</v>
      </c>
      <c r="C22" s="42">
        <v>20.0</v>
      </c>
      <c r="D22" s="16" t="s">
        <v>102</v>
      </c>
      <c r="E22" s="97"/>
      <c r="F22" s="4"/>
    </row>
    <row r="23" ht="17.25" customHeight="1">
      <c r="A23" s="91" t="s">
        <v>105</v>
      </c>
      <c r="B23" s="91" t="s">
        <v>106</v>
      </c>
      <c r="C23" s="42">
        <v>40.0</v>
      </c>
      <c r="D23" s="99" t="s">
        <v>107</v>
      </c>
      <c r="E23" s="100"/>
      <c r="F23" s="4"/>
    </row>
    <row r="24" ht="17.25" customHeight="1">
      <c r="A24" s="91" t="s">
        <v>108</v>
      </c>
      <c r="B24" s="91" t="s">
        <v>109</v>
      </c>
      <c r="C24" s="42">
        <v>62.0</v>
      </c>
      <c r="D24" s="16" t="s">
        <v>110</v>
      </c>
      <c r="E24" s="102"/>
      <c r="F24" s="4"/>
    </row>
    <row r="25" ht="30.0" customHeight="1">
      <c r="A25" s="91" t="s">
        <v>111</v>
      </c>
      <c r="B25" s="91" t="s">
        <v>112</v>
      </c>
      <c r="C25" s="42">
        <v>41.0</v>
      </c>
      <c r="D25" s="16" t="s">
        <v>113</v>
      </c>
      <c r="E25" s="104"/>
      <c r="F25" s="4"/>
    </row>
    <row r="26" ht="17.25" customHeight="1">
      <c r="A26" s="88" t="s">
        <v>114</v>
      </c>
      <c r="B26" s="91" t="s">
        <v>115</v>
      </c>
      <c r="C26" s="42">
        <v>36.0</v>
      </c>
      <c r="D26" s="16" t="s">
        <v>116</v>
      </c>
      <c r="E26" s="105"/>
      <c r="F26" s="4"/>
    </row>
    <row r="27" ht="17.25" customHeight="1">
      <c r="A27" s="88" t="s">
        <v>118</v>
      </c>
      <c r="B27" s="88" t="s">
        <v>119</v>
      </c>
      <c r="C27" s="42">
        <v>46.0</v>
      </c>
      <c r="D27" s="16" t="s">
        <v>121</v>
      </c>
      <c r="E27" s="107"/>
      <c r="F27" s="4"/>
    </row>
    <row r="28" ht="17.25" customHeight="1">
      <c r="A28" s="88" t="s">
        <v>122</v>
      </c>
      <c r="B28" s="88" t="s">
        <v>123</v>
      </c>
      <c r="C28" s="42">
        <v>47.0</v>
      </c>
      <c r="D28" s="16" t="s">
        <v>124</v>
      </c>
      <c r="E28" s="110"/>
      <c r="F28" s="4"/>
    </row>
    <row r="29" ht="17.25" customHeight="1">
      <c r="A29" s="88" t="s">
        <v>125</v>
      </c>
      <c r="B29" s="88" t="s">
        <v>126</v>
      </c>
      <c r="C29" s="42">
        <v>35.0</v>
      </c>
      <c r="D29" s="16" t="s">
        <v>127</v>
      </c>
      <c r="E29" s="112"/>
      <c r="F29" s="4"/>
    </row>
    <row r="30" ht="17.25" customHeight="1">
      <c r="A30" s="88" t="s">
        <v>128</v>
      </c>
      <c r="B30" s="88" t="s">
        <v>129</v>
      </c>
      <c r="C30" s="42">
        <v>48.0</v>
      </c>
      <c r="D30" s="16" t="s">
        <v>131</v>
      </c>
      <c r="E30" s="114"/>
      <c r="F30" s="4"/>
    </row>
    <row r="31" ht="17.25" customHeight="1">
      <c r="A31" s="76" t="s">
        <v>132</v>
      </c>
      <c r="B31" s="76" t="s">
        <v>134</v>
      </c>
      <c r="C31" s="42">
        <v>9.0</v>
      </c>
      <c r="D31" s="16" t="s">
        <v>135</v>
      </c>
      <c r="E31" s="117"/>
      <c r="F31" s="4"/>
    </row>
    <row r="32" ht="17.25" customHeight="1">
      <c r="A32" s="76" t="s">
        <v>136</v>
      </c>
      <c r="B32" s="76" t="s">
        <v>137</v>
      </c>
      <c r="C32" s="42">
        <v>21.0</v>
      </c>
      <c r="D32" s="16" t="s">
        <v>77</v>
      </c>
      <c r="E32" s="74"/>
      <c r="F32" s="4"/>
    </row>
    <row r="33" ht="17.25" customHeight="1">
      <c r="A33" s="120" t="s">
        <v>139</v>
      </c>
      <c r="B33" s="120" t="s">
        <v>89</v>
      </c>
      <c r="C33" s="42">
        <v>22.0</v>
      </c>
      <c r="D33" s="79" t="s">
        <v>140</v>
      </c>
      <c r="E33" s="122"/>
      <c r="F33" s="4"/>
    </row>
    <row r="34" ht="17.25" customHeight="1">
      <c r="A34" s="123" t="s">
        <v>141</v>
      </c>
      <c r="B34" s="123" t="s">
        <v>143</v>
      </c>
      <c r="C34" s="42">
        <v>23.0</v>
      </c>
      <c r="D34" s="16" t="s">
        <v>144</v>
      </c>
      <c r="E34" s="124"/>
      <c r="F34" s="4"/>
    </row>
    <row r="35" ht="17.25" customHeight="1">
      <c r="A35" s="123" t="s">
        <v>145</v>
      </c>
      <c r="B35" s="123" t="s">
        <v>146</v>
      </c>
      <c r="C35" s="42">
        <v>24.0</v>
      </c>
      <c r="D35" s="16" t="s">
        <v>140</v>
      </c>
      <c r="E35" s="125"/>
      <c r="F35" s="4"/>
    </row>
    <row r="36" ht="17.25" customHeight="1">
      <c r="A36" s="123" t="s">
        <v>147</v>
      </c>
      <c r="B36" s="123" t="s">
        <v>148</v>
      </c>
      <c r="C36" s="42">
        <v>30.0</v>
      </c>
      <c r="D36" s="16" t="s">
        <v>149</v>
      </c>
      <c r="E36" s="127"/>
      <c r="F36" s="4"/>
    </row>
    <row r="37" ht="17.25" customHeight="1">
      <c r="A37" s="123" t="s">
        <v>150</v>
      </c>
      <c r="B37" s="123" t="s">
        <v>151</v>
      </c>
      <c r="C37" s="42">
        <v>75.0</v>
      </c>
      <c r="D37" s="16" t="s">
        <v>152</v>
      </c>
      <c r="E37" s="128"/>
      <c r="F37" s="4"/>
    </row>
    <row r="38" ht="17.25" customHeight="1">
      <c r="A38" s="123" t="s">
        <v>153</v>
      </c>
      <c r="B38" s="123" t="s">
        <v>154</v>
      </c>
      <c r="C38" s="42">
        <v>91.0</v>
      </c>
      <c r="D38" s="16" t="s">
        <v>155</v>
      </c>
      <c r="E38" s="130"/>
      <c r="F38" s="4"/>
    </row>
    <row r="39" ht="17.25" customHeight="1">
      <c r="A39" s="123" t="s">
        <v>156</v>
      </c>
      <c r="B39" s="123" t="s">
        <v>157</v>
      </c>
      <c r="C39" s="42">
        <v>25.0</v>
      </c>
      <c r="D39" s="16" t="s">
        <v>158</v>
      </c>
      <c r="E39" s="136"/>
      <c r="F39" s="4"/>
    </row>
    <row r="40">
      <c r="A40" s="138" t="s">
        <v>159</v>
      </c>
      <c r="B40" s="138" t="s">
        <v>91</v>
      </c>
      <c r="C40" s="42">
        <v>26.0</v>
      </c>
      <c r="D40" s="71" t="s">
        <v>161</v>
      </c>
      <c r="E40" s="139"/>
    </row>
    <row r="41">
      <c r="A41" s="140" t="s">
        <v>162</v>
      </c>
      <c r="B41" s="140" t="s">
        <v>163</v>
      </c>
      <c r="C41" s="42">
        <v>33.0</v>
      </c>
      <c r="D41" s="16" t="s">
        <v>161</v>
      </c>
      <c r="E41" s="142"/>
    </row>
    <row r="42">
      <c r="A42" s="140" t="s">
        <v>164</v>
      </c>
      <c r="B42" s="140" t="s">
        <v>165</v>
      </c>
      <c r="C42" s="42">
        <v>31.0</v>
      </c>
      <c r="D42" s="16" t="s">
        <v>166</v>
      </c>
      <c r="E42" s="143"/>
    </row>
    <row r="43">
      <c r="A43" s="144" t="s">
        <v>167</v>
      </c>
      <c r="B43" s="144" t="s">
        <v>168</v>
      </c>
      <c r="C43" s="42">
        <v>27.0</v>
      </c>
      <c r="D43" s="145" t="s">
        <v>169</v>
      </c>
      <c r="E43" s="146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  <row r="301">
      <c r="A301" s="4"/>
      <c r="B301" s="4"/>
      <c r="C301" s="4"/>
      <c r="D301" s="4"/>
    </row>
    <row r="302">
      <c r="A302" s="4"/>
      <c r="B302" s="4"/>
      <c r="C302" s="4"/>
      <c r="D302" s="4"/>
    </row>
    <row r="303">
      <c r="A303" s="4"/>
      <c r="B303" s="4"/>
      <c r="C303" s="4"/>
      <c r="D303" s="4"/>
    </row>
    <row r="304">
      <c r="A304" s="4"/>
      <c r="B304" s="4"/>
      <c r="C304" s="4"/>
      <c r="D304" s="4"/>
    </row>
    <row r="305">
      <c r="A305" s="4"/>
      <c r="B305" s="4"/>
      <c r="C305" s="4"/>
      <c r="D305" s="4"/>
    </row>
    <row r="306">
      <c r="A306" s="4"/>
      <c r="B306" s="4"/>
      <c r="C306" s="4"/>
      <c r="D306" s="4"/>
    </row>
    <row r="307">
      <c r="A307" s="4"/>
      <c r="B307" s="4"/>
      <c r="C307" s="4"/>
      <c r="D307" s="4"/>
    </row>
    <row r="308">
      <c r="A308" s="4"/>
      <c r="B308" s="4"/>
      <c r="C308" s="4"/>
      <c r="D308" s="4"/>
    </row>
    <row r="309">
      <c r="A309" s="4"/>
      <c r="B309" s="4"/>
      <c r="C309" s="4"/>
      <c r="D309" s="4"/>
    </row>
    <row r="310">
      <c r="A310" s="4"/>
      <c r="B310" s="4"/>
      <c r="C310" s="4"/>
      <c r="D310" s="4"/>
    </row>
    <row r="311">
      <c r="A311" s="4"/>
      <c r="B311" s="4"/>
      <c r="C311" s="4"/>
      <c r="D311" s="4"/>
    </row>
    <row r="312">
      <c r="A312" s="4"/>
      <c r="B312" s="4"/>
      <c r="C312" s="4"/>
      <c r="D312" s="4"/>
    </row>
    <row r="313">
      <c r="A313" s="4"/>
      <c r="B313" s="4"/>
      <c r="C313" s="4"/>
      <c r="D313" s="4"/>
    </row>
    <row r="314">
      <c r="A314" s="4"/>
      <c r="B314" s="4"/>
      <c r="C314" s="4"/>
      <c r="D314" s="4"/>
    </row>
    <row r="315">
      <c r="A315" s="4"/>
      <c r="B315" s="4"/>
      <c r="C315" s="4"/>
      <c r="D315" s="4"/>
    </row>
    <row r="316">
      <c r="A316" s="4"/>
      <c r="B316" s="4"/>
      <c r="C316" s="4"/>
      <c r="D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  <row r="319">
      <c r="A319" s="4"/>
      <c r="B319" s="4"/>
      <c r="C319" s="4"/>
      <c r="D319" s="4"/>
    </row>
    <row r="320">
      <c r="A320" s="4"/>
      <c r="B320" s="4"/>
      <c r="C320" s="4"/>
      <c r="D320" s="4"/>
    </row>
    <row r="321">
      <c r="A321" s="4"/>
      <c r="B321" s="4"/>
      <c r="C321" s="4"/>
      <c r="D321" s="4"/>
    </row>
    <row r="322">
      <c r="A322" s="4"/>
      <c r="B322" s="4"/>
      <c r="C322" s="4"/>
      <c r="D322" s="4"/>
    </row>
    <row r="323">
      <c r="A323" s="4"/>
      <c r="B323" s="4"/>
      <c r="C323" s="4"/>
      <c r="D323" s="4"/>
    </row>
    <row r="324">
      <c r="A324" s="4"/>
      <c r="B324" s="4"/>
      <c r="C324" s="4"/>
      <c r="D324" s="4"/>
    </row>
    <row r="325">
      <c r="A325" s="4"/>
      <c r="B325" s="4"/>
      <c r="C325" s="4"/>
      <c r="D325" s="4"/>
    </row>
    <row r="326">
      <c r="A326" s="4"/>
      <c r="B326" s="4"/>
      <c r="C326" s="4"/>
      <c r="D326" s="4"/>
    </row>
    <row r="327">
      <c r="A327" s="4"/>
      <c r="B327" s="4"/>
      <c r="C327" s="4"/>
      <c r="D327" s="4"/>
    </row>
    <row r="328">
      <c r="A328" s="4"/>
      <c r="B328" s="4"/>
      <c r="C328" s="4"/>
      <c r="D328" s="4"/>
    </row>
    <row r="329">
      <c r="A329" s="4"/>
      <c r="B329" s="4"/>
      <c r="C329" s="4"/>
      <c r="D329" s="4"/>
    </row>
    <row r="330">
      <c r="A330" s="4"/>
      <c r="B330" s="4"/>
      <c r="C330" s="4"/>
      <c r="D330" s="4"/>
    </row>
    <row r="331">
      <c r="A331" s="4"/>
      <c r="B331" s="4"/>
      <c r="C331" s="4"/>
      <c r="D331" s="4"/>
    </row>
    <row r="332">
      <c r="A332" s="4"/>
      <c r="B332" s="4"/>
      <c r="C332" s="4"/>
      <c r="D332" s="4"/>
    </row>
    <row r="333">
      <c r="A333" s="4"/>
      <c r="B333" s="4"/>
      <c r="C333" s="4"/>
      <c r="D333" s="4"/>
    </row>
    <row r="334">
      <c r="A334" s="4"/>
      <c r="B334" s="4"/>
      <c r="C334" s="4"/>
      <c r="D334" s="4"/>
    </row>
    <row r="335">
      <c r="A335" s="4"/>
      <c r="B335" s="4"/>
      <c r="C335" s="4"/>
      <c r="D335" s="4"/>
    </row>
    <row r="336">
      <c r="A336" s="4"/>
      <c r="B336" s="4"/>
      <c r="C336" s="4"/>
      <c r="D336" s="4"/>
    </row>
    <row r="337">
      <c r="A337" s="4"/>
      <c r="B337" s="4"/>
      <c r="C337" s="4"/>
      <c r="D337" s="4"/>
    </row>
    <row r="338">
      <c r="A338" s="4"/>
      <c r="B338" s="4"/>
      <c r="C338" s="4"/>
      <c r="D338" s="4"/>
    </row>
    <row r="339">
      <c r="A339" s="4"/>
      <c r="B339" s="4"/>
      <c r="C339" s="4"/>
      <c r="D339" s="4"/>
    </row>
    <row r="340">
      <c r="A340" s="4"/>
      <c r="B340" s="4"/>
      <c r="C340" s="4"/>
      <c r="D340" s="4"/>
    </row>
    <row r="341">
      <c r="A341" s="4"/>
      <c r="B341" s="4"/>
      <c r="C341" s="4"/>
      <c r="D341" s="4"/>
    </row>
    <row r="342">
      <c r="A342" s="4"/>
      <c r="B342" s="4"/>
      <c r="C342" s="4"/>
      <c r="D342" s="4"/>
    </row>
    <row r="343">
      <c r="A343" s="4"/>
      <c r="B343" s="4"/>
      <c r="C343" s="4"/>
      <c r="D343" s="4"/>
    </row>
    <row r="344">
      <c r="A344" s="4"/>
      <c r="B344" s="4"/>
      <c r="C344" s="4"/>
      <c r="D344" s="4"/>
    </row>
    <row r="345">
      <c r="A345" s="4"/>
      <c r="B345" s="4"/>
      <c r="C345" s="4"/>
      <c r="D345" s="4"/>
    </row>
    <row r="346">
      <c r="A346" s="4"/>
      <c r="B346" s="4"/>
      <c r="C346" s="4"/>
      <c r="D346" s="4"/>
    </row>
    <row r="347">
      <c r="A347" s="4"/>
      <c r="B347" s="4"/>
      <c r="C347" s="4"/>
      <c r="D347" s="4"/>
    </row>
    <row r="348">
      <c r="A348" s="4"/>
      <c r="B348" s="4"/>
      <c r="C348" s="4"/>
      <c r="D348" s="4"/>
    </row>
    <row r="349">
      <c r="A349" s="4"/>
      <c r="B349" s="4"/>
      <c r="C349" s="4"/>
      <c r="D349" s="4"/>
    </row>
    <row r="350">
      <c r="A350" s="4"/>
      <c r="B350" s="4"/>
      <c r="C350" s="4"/>
      <c r="D350" s="4"/>
    </row>
    <row r="351">
      <c r="A351" s="4"/>
      <c r="B351" s="4"/>
      <c r="C351" s="4"/>
      <c r="D351" s="4"/>
    </row>
    <row r="352">
      <c r="A352" s="4"/>
      <c r="B352" s="4"/>
      <c r="C352" s="4"/>
      <c r="D352" s="4"/>
    </row>
    <row r="353">
      <c r="A353" s="4"/>
      <c r="B353" s="4"/>
      <c r="C353" s="4"/>
      <c r="D353" s="4"/>
    </row>
    <row r="354">
      <c r="A354" s="4"/>
      <c r="B354" s="4"/>
      <c r="C354" s="4"/>
      <c r="D354" s="4"/>
    </row>
    <row r="355">
      <c r="A355" s="4"/>
      <c r="B355" s="4"/>
      <c r="C355" s="4"/>
      <c r="D355" s="4"/>
    </row>
    <row r="356">
      <c r="A356" s="4"/>
      <c r="B356" s="4"/>
      <c r="C356" s="4"/>
      <c r="D356" s="4"/>
    </row>
    <row r="357">
      <c r="A357" s="4"/>
      <c r="B357" s="4"/>
      <c r="C357" s="4"/>
      <c r="D357" s="4"/>
    </row>
    <row r="358">
      <c r="A358" s="4"/>
      <c r="B358" s="4"/>
      <c r="C358" s="4"/>
      <c r="D358" s="4"/>
    </row>
    <row r="359">
      <c r="A359" s="4"/>
      <c r="B359" s="4"/>
      <c r="C359" s="4"/>
      <c r="D359" s="4"/>
    </row>
    <row r="360">
      <c r="A360" s="4"/>
      <c r="B360" s="4"/>
      <c r="C360" s="4"/>
      <c r="D360" s="4"/>
    </row>
    <row r="361">
      <c r="A361" s="4"/>
      <c r="B361" s="4"/>
      <c r="C361" s="4"/>
      <c r="D361" s="4"/>
    </row>
    <row r="362">
      <c r="A362" s="4"/>
      <c r="B362" s="4"/>
      <c r="C362" s="4"/>
      <c r="D362" s="4"/>
    </row>
    <row r="363">
      <c r="A363" s="4"/>
      <c r="B363" s="4"/>
      <c r="C363" s="4"/>
      <c r="D363" s="4"/>
    </row>
    <row r="364">
      <c r="A364" s="4"/>
      <c r="B364" s="4"/>
      <c r="C364" s="4"/>
      <c r="D364" s="4"/>
    </row>
    <row r="365">
      <c r="A365" s="4"/>
      <c r="B365" s="4"/>
      <c r="C365" s="4"/>
      <c r="D365" s="4"/>
    </row>
    <row r="366">
      <c r="A366" s="4"/>
      <c r="B366" s="4"/>
      <c r="C366" s="4"/>
      <c r="D366" s="4"/>
    </row>
    <row r="367">
      <c r="A367" s="4"/>
      <c r="B367" s="4"/>
      <c r="C367" s="4"/>
      <c r="D367" s="4"/>
    </row>
    <row r="368">
      <c r="A368" s="4"/>
      <c r="B368" s="4"/>
      <c r="C368" s="4"/>
      <c r="D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  <row r="998">
      <c r="A998" s="4"/>
      <c r="B998" s="4"/>
      <c r="C998" s="4"/>
      <c r="D998" s="4"/>
    </row>
    <row r="999">
      <c r="A999" s="4"/>
      <c r="B999" s="4"/>
      <c r="C999" s="4"/>
      <c r="D999" s="4"/>
    </row>
    <row r="1000">
      <c r="A1000" s="4"/>
      <c r="B1000" s="4"/>
      <c r="C1000" s="4"/>
      <c r="D1000" s="4"/>
    </row>
    <row r="1001">
      <c r="A1001" s="4"/>
      <c r="B1001" s="4"/>
      <c r="C1001" s="4"/>
      <c r="D1001" s="4"/>
    </row>
  </sheetData>
  <printOptions/>
  <pageMargins bottom="0.787401575" footer="0.0" header="0.0" left="0.511811024" right="0.511811024" top="0.787401575"/>
  <pageSetup paperSize="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56"/>
    <col customWidth="1" min="2" max="2" width="18.56"/>
    <col customWidth="1" min="3" max="26" width="11.0"/>
  </cols>
  <sheetData>
    <row r="1" ht="15.75" customHeight="1"/>
    <row r="2" ht="15.75" customHeight="1">
      <c r="A2" s="1"/>
      <c r="B2" s="1" t="s">
        <v>2</v>
      </c>
      <c r="C2" s="1" t="s">
        <v>3</v>
      </c>
      <c r="D2" s="1" t="s">
        <v>4</v>
      </c>
    </row>
    <row r="3" ht="15.75" customHeight="1">
      <c r="A3" s="4" t="s">
        <v>5</v>
      </c>
      <c r="B3" s="10">
        <v>4.207828033E8</v>
      </c>
      <c r="C3" s="17">
        <f t="shared" ref="C3:C9" si="1">B3/1000000</f>
        <v>420.7828033</v>
      </c>
      <c r="D3" s="3">
        <f t="shared" ref="D3:D8" si="2">C3/C$9</f>
        <v>0.4946632649</v>
      </c>
    </row>
    <row r="4" ht="15.75" customHeight="1">
      <c r="A4" s="4" t="s">
        <v>17</v>
      </c>
      <c r="B4" s="10">
        <v>8.626110405E7</v>
      </c>
      <c r="C4" s="17">
        <f t="shared" si="1"/>
        <v>86.26110405</v>
      </c>
      <c r="D4" s="3">
        <f t="shared" si="2"/>
        <v>0.1014067092</v>
      </c>
    </row>
    <row r="5" ht="15.75" customHeight="1">
      <c r="A5" s="4" t="s">
        <v>19</v>
      </c>
      <c r="B5" s="10">
        <v>2.004390674E8</v>
      </c>
      <c r="C5" s="17">
        <f t="shared" si="1"/>
        <v>200.4390674</v>
      </c>
      <c r="D5" s="3">
        <f t="shared" si="2"/>
        <v>0.2356318811</v>
      </c>
    </row>
    <row r="6" ht="15.75" customHeight="1">
      <c r="A6" s="4" t="s">
        <v>21</v>
      </c>
      <c r="B6" s="10">
        <v>1.086744891E8</v>
      </c>
      <c r="C6" s="17">
        <f t="shared" si="1"/>
        <v>108.6744891</v>
      </c>
      <c r="D6" s="3">
        <f t="shared" si="2"/>
        <v>0.1277554053</v>
      </c>
    </row>
    <row r="7" ht="15.75" customHeight="1">
      <c r="A7" s="4" t="s">
        <v>22</v>
      </c>
      <c r="B7" s="10">
        <v>1.939351615E7</v>
      </c>
      <c r="C7" s="17">
        <f t="shared" si="1"/>
        <v>19.39351615</v>
      </c>
      <c r="D7" s="3">
        <f t="shared" si="2"/>
        <v>0.02279860285</v>
      </c>
    </row>
    <row r="8" ht="15.75" customHeight="1">
      <c r="A8" s="4" t="s">
        <v>24</v>
      </c>
      <c r="B8" s="10">
        <v>1.509396001E7</v>
      </c>
      <c r="C8" s="17">
        <f t="shared" si="1"/>
        <v>15.09396001</v>
      </c>
      <c r="D8" s="3">
        <f t="shared" si="2"/>
        <v>0.0177441366</v>
      </c>
    </row>
    <row r="9" ht="15.75" customHeight="1">
      <c r="A9" s="32" t="s">
        <v>28</v>
      </c>
      <c r="B9" s="35">
        <f>SUM(B3:B8)</f>
        <v>850644940</v>
      </c>
      <c r="C9" s="40">
        <f t="shared" si="1"/>
        <v>850.64494</v>
      </c>
      <c r="D9" s="1"/>
    </row>
    <row r="10" ht="15.75" customHeight="1"/>
    <row r="11" ht="15.75" customHeight="1"/>
    <row r="12" ht="15.75" customHeight="1">
      <c r="A12" s="1"/>
      <c r="B12" s="1" t="s">
        <v>2</v>
      </c>
      <c r="C12" s="1" t="s">
        <v>3</v>
      </c>
      <c r="D12" s="1" t="s">
        <v>4</v>
      </c>
    </row>
    <row r="13" ht="15.75" customHeight="1">
      <c r="A13" s="4" t="s">
        <v>41</v>
      </c>
      <c r="B13" s="46">
        <v>5.05743963971196E8</v>
      </c>
      <c r="C13" s="17">
        <f t="shared" ref="C13:C19" si="3">B13/1000000</f>
        <v>505.743964</v>
      </c>
      <c r="D13" s="3">
        <f t="shared" ref="D13:D18" si="4">C13/C$9</f>
        <v>0.5945417885</v>
      </c>
    </row>
    <row r="14" ht="15.75" customHeight="1">
      <c r="A14" s="4" t="s">
        <v>48</v>
      </c>
      <c r="B14" s="46">
        <v>4.5916553319222786E7</v>
      </c>
      <c r="C14" s="17">
        <f t="shared" si="3"/>
        <v>45.91655332</v>
      </c>
      <c r="D14" s="3">
        <f t="shared" si="4"/>
        <v>0.05397851813</v>
      </c>
    </row>
    <row r="15" ht="15.75" customHeight="1">
      <c r="A15" s="4" t="s">
        <v>52</v>
      </c>
      <c r="B15" s="46">
        <v>2.733145849763439E8</v>
      </c>
      <c r="C15" s="17">
        <f t="shared" si="3"/>
        <v>273.314585</v>
      </c>
      <c r="D15" s="3">
        <f t="shared" si="4"/>
        <v>0.3213027811</v>
      </c>
    </row>
    <row r="16" ht="15.75" customHeight="1">
      <c r="A16" s="4" t="s">
        <v>53</v>
      </c>
      <c r="B16" s="46">
        <v>6374980.097670273</v>
      </c>
      <c r="C16" s="17">
        <f t="shared" si="3"/>
        <v>6.374980098</v>
      </c>
      <c r="D16" s="3">
        <f t="shared" si="4"/>
        <v>0.007494290271</v>
      </c>
    </row>
    <row r="17" ht="15.75" customHeight="1">
      <c r="A17" s="4" t="s">
        <v>58</v>
      </c>
      <c r="B17" s="46">
        <v>1.929361521263376E7</v>
      </c>
      <c r="C17" s="17">
        <f t="shared" si="3"/>
        <v>19.29361521</v>
      </c>
      <c r="D17" s="3">
        <f t="shared" si="4"/>
        <v>0.02268116144</v>
      </c>
    </row>
    <row r="18" ht="15.75" customHeight="1">
      <c r="A18" s="58" t="s">
        <v>62</v>
      </c>
      <c r="B18" s="61">
        <v>1242.4168973205565</v>
      </c>
      <c r="C18" s="64">
        <f t="shared" si="3"/>
        <v>0.001242416897</v>
      </c>
      <c r="D18" s="66">
        <f t="shared" si="4"/>
        <v>0.000001460558735</v>
      </c>
    </row>
    <row r="19" ht="15.75" customHeight="1">
      <c r="A19" s="32" t="s">
        <v>28</v>
      </c>
      <c r="B19" s="35">
        <f>SUM(B13:B18)</f>
        <v>850644940</v>
      </c>
      <c r="C19" s="40">
        <f t="shared" si="3"/>
        <v>850.64494</v>
      </c>
      <c r="D19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3" width="17.44"/>
    <col customWidth="1" min="4" max="26" width="10.44"/>
  </cols>
  <sheetData>
    <row r="1" ht="15.75" customHeight="1"/>
    <row r="2" ht="15.75" customHeight="1">
      <c r="B2" s="8" t="s">
        <v>1</v>
      </c>
      <c r="C2" s="8" t="s">
        <v>12</v>
      </c>
      <c r="D2" s="11" t="s">
        <v>4</v>
      </c>
    </row>
    <row r="3" ht="15.75" customHeight="1">
      <c r="B3" s="15" t="s">
        <v>5</v>
      </c>
      <c r="C3" s="10">
        <v>4.207828033E8</v>
      </c>
      <c r="D3" s="21">
        <f t="shared" ref="D3:D8" si="1">C3/C$9</f>
        <v>0.4946632649</v>
      </c>
    </row>
    <row r="4" ht="15.75" customHeight="1">
      <c r="B4" s="15" t="s">
        <v>17</v>
      </c>
      <c r="C4" s="10">
        <v>8.626110405E7</v>
      </c>
      <c r="D4" s="21">
        <f t="shared" si="1"/>
        <v>0.1014067092</v>
      </c>
    </row>
    <row r="5" ht="15.75" customHeight="1">
      <c r="B5" s="15" t="s">
        <v>19</v>
      </c>
      <c r="C5" s="10">
        <v>2.004390674E8</v>
      </c>
      <c r="D5" s="21">
        <f t="shared" si="1"/>
        <v>0.2356318811</v>
      </c>
    </row>
    <row r="6" ht="15.75" customHeight="1">
      <c r="B6" s="15" t="s">
        <v>21</v>
      </c>
      <c r="C6" s="10">
        <v>1.086744891E8</v>
      </c>
      <c r="D6" s="21">
        <f t="shared" si="1"/>
        <v>0.1277554053</v>
      </c>
    </row>
    <row r="7" ht="15.75" customHeight="1">
      <c r="B7" s="15" t="s">
        <v>22</v>
      </c>
      <c r="C7" s="10">
        <v>1.939351615E7</v>
      </c>
      <c r="D7" s="21">
        <f t="shared" si="1"/>
        <v>0.02279860285</v>
      </c>
    </row>
    <row r="8" ht="15.75" customHeight="1">
      <c r="B8" s="15" t="s">
        <v>24</v>
      </c>
      <c r="C8" s="10">
        <v>1.509396001E7</v>
      </c>
      <c r="D8" s="21">
        <f t="shared" si="1"/>
        <v>0.0177441366</v>
      </c>
    </row>
    <row r="9" ht="15.75" customHeight="1">
      <c r="B9" s="36" t="s">
        <v>32</v>
      </c>
      <c r="C9" s="36">
        <f>SUM(C3:C8)</f>
        <v>850644940</v>
      </c>
      <c r="D9" s="44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34.0"/>
    <col customWidth="1" min="3" max="3" width="21.56"/>
    <col customWidth="1" min="4" max="4" width="22.44"/>
    <col customWidth="1" min="5" max="5" width="16.44"/>
    <col customWidth="1" min="6" max="6" width="11.0"/>
    <col customWidth="1" min="7" max="7" width="18.11"/>
    <col customWidth="1" min="8" max="8" width="12.11"/>
    <col customWidth="1" min="9" max="9" width="6.56"/>
    <col customWidth="1" min="10" max="10" width="6.67"/>
    <col customWidth="1" min="11" max="11" width="17.44"/>
    <col customWidth="1" min="12" max="12" width="13.56"/>
    <col customWidth="1" min="13" max="13" width="11.0"/>
    <col customWidth="1" min="14" max="14" width="10.56"/>
    <col customWidth="1" min="15" max="15" width="21.11"/>
    <col customWidth="1" min="16" max="16" width="13.56"/>
    <col customWidth="1" min="17" max="22" width="11.0"/>
    <col customWidth="1" min="23" max="26" width="11.44"/>
  </cols>
  <sheetData>
    <row r="1">
      <c r="J1" s="3"/>
      <c r="N1" s="6"/>
    </row>
    <row r="2">
      <c r="A2" s="9" t="s">
        <v>10</v>
      </c>
      <c r="J2" s="3"/>
      <c r="N2" s="6"/>
    </row>
    <row r="3" ht="15.75" customHeight="1">
      <c r="G3" s="4"/>
      <c r="H3" s="4"/>
      <c r="I3" s="4"/>
      <c r="J3" s="3"/>
      <c r="K3" s="4"/>
      <c r="L3" s="4"/>
      <c r="M3" s="4"/>
      <c r="N3" s="6"/>
    </row>
    <row r="4" ht="15.75" customHeight="1">
      <c r="C4" s="13" t="s">
        <v>13</v>
      </c>
      <c r="D4" s="13" t="s">
        <v>15</v>
      </c>
      <c r="G4" s="4"/>
      <c r="H4" s="4"/>
      <c r="I4" s="4"/>
      <c r="J4" s="3"/>
      <c r="K4" s="4"/>
      <c r="L4" s="4"/>
      <c r="M4" s="4"/>
      <c r="N4" s="6"/>
    </row>
    <row r="5" ht="15.75" customHeight="1">
      <c r="B5" s="18" t="s">
        <v>14</v>
      </c>
      <c r="C5" s="20">
        <v>5.05743963971196E8</v>
      </c>
      <c r="D5" s="23">
        <f t="shared" ref="D5:D34" si="1">C5/1000000</f>
        <v>505.743964</v>
      </c>
      <c r="E5" s="24">
        <f t="shared" ref="E5:E35" si="2">C5/$C$36</f>
        <v>0.5945417885</v>
      </c>
      <c r="G5" s="26"/>
      <c r="H5" s="27"/>
      <c r="I5" s="28"/>
      <c r="J5" s="29"/>
      <c r="K5" s="4"/>
      <c r="L5" s="4"/>
      <c r="M5" s="4"/>
      <c r="N5" s="6"/>
    </row>
    <row r="6" ht="15.75" customHeight="1">
      <c r="B6" s="30" t="s">
        <v>20</v>
      </c>
      <c r="C6" s="33">
        <v>3.59441149137014E8</v>
      </c>
      <c r="D6" s="39">
        <f t="shared" si="1"/>
        <v>359.4411491</v>
      </c>
      <c r="E6" s="41">
        <f t="shared" si="2"/>
        <v>0.4225513281</v>
      </c>
      <c r="G6" s="43" t="s">
        <v>11</v>
      </c>
      <c r="H6" s="43">
        <f>C5</f>
        <v>505743964</v>
      </c>
      <c r="I6" s="47">
        <f>H6/1000000</f>
        <v>505.743964</v>
      </c>
      <c r="J6" s="50">
        <f>E5</f>
        <v>0.5945417885</v>
      </c>
      <c r="K6" s="52" t="str">
        <f t="shared" ref="K6:L6" si="3">B6</f>
        <v>1.1. Forest Formation</v>
      </c>
      <c r="L6" s="52">
        <f t="shared" si="3"/>
        <v>359441149.1</v>
      </c>
      <c r="M6" s="54">
        <f t="shared" ref="M6:M11" si="5">L6/1000000</f>
        <v>359.4411491</v>
      </c>
      <c r="N6" s="56">
        <f t="shared" ref="N6:N11" si="6">M6/I$6</f>
        <v>0.7107176254</v>
      </c>
    </row>
    <row r="7" ht="15.75" customHeight="1">
      <c r="B7" s="30" t="s">
        <v>57</v>
      </c>
      <c r="C7" s="33">
        <v>1.0675104888053593E8</v>
      </c>
      <c r="D7" s="39">
        <f t="shared" si="1"/>
        <v>106.7510489</v>
      </c>
      <c r="E7" s="41">
        <f t="shared" si="2"/>
        <v>0.1254942501</v>
      </c>
      <c r="G7" s="59"/>
      <c r="H7" s="59"/>
      <c r="I7" s="59"/>
      <c r="J7" s="59"/>
      <c r="K7" s="52" t="str">
        <f t="shared" ref="K7:L7" si="4">B7</f>
        <v>1.2. Savanna Formation</v>
      </c>
      <c r="L7" s="52">
        <f t="shared" si="4"/>
        <v>106751048.9</v>
      </c>
      <c r="M7" s="54">
        <f t="shared" si="5"/>
        <v>106.7510489</v>
      </c>
      <c r="N7" s="56">
        <f t="shared" si="6"/>
        <v>0.2110772574</v>
      </c>
    </row>
    <row r="8" ht="15.75" customHeight="1">
      <c r="B8" s="30" t="s">
        <v>65</v>
      </c>
      <c r="C8" s="33">
        <v>174266.54173482704</v>
      </c>
      <c r="D8" s="39">
        <f t="shared" si="1"/>
        <v>0.1742665417</v>
      </c>
      <c r="E8" s="41">
        <f t="shared" si="2"/>
        <v>0.0002048640197</v>
      </c>
      <c r="G8" s="59"/>
      <c r="H8" s="59"/>
      <c r="I8" s="59"/>
      <c r="J8" s="59"/>
      <c r="K8" s="52" t="str">
        <f t="shared" ref="K8:L8" si="7">B8</f>
        <v>1.3. Flooded Savanna</v>
      </c>
      <c r="L8" s="52">
        <f t="shared" si="7"/>
        <v>174266.5417</v>
      </c>
      <c r="M8" s="54">
        <f t="shared" si="5"/>
        <v>0.1742665417</v>
      </c>
      <c r="N8" s="56">
        <f t="shared" si="6"/>
        <v>0.0003445746349</v>
      </c>
      <c r="O8" s="65"/>
    </row>
    <row r="9" ht="15.75" customHeight="1">
      <c r="B9" s="30" t="s">
        <v>68</v>
      </c>
      <c r="C9" s="33">
        <v>1043628.9534560528</v>
      </c>
      <c r="D9" s="39">
        <f t="shared" si="1"/>
        <v>1.043628953</v>
      </c>
      <c r="E9" s="41">
        <f t="shared" si="2"/>
        <v>0.001226867879</v>
      </c>
      <c r="G9" s="59"/>
      <c r="H9" s="59"/>
      <c r="I9" s="59"/>
      <c r="J9" s="59"/>
      <c r="K9" s="52" t="str">
        <f t="shared" ref="K9:L9" si="8">B9</f>
        <v>1.4. Mangrove</v>
      </c>
      <c r="L9" s="52">
        <f t="shared" si="8"/>
        <v>1043628.953</v>
      </c>
      <c r="M9" s="54">
        <f t="shared" si="5"/>
        <v>1.043628953</v>
      </c>
      <c r="N9" s="56">
        <f t="shared" si="6"/>
        <v>0.002063551971</v>
      </c>
      <c r="O9" s="65"/>
    </row>
    <row r="10" ht="15.75" customHeight="1">
      <c r="B10" s="30" t="s">
        <v>74</v>
      </c>
      <c r="C10" s="33">
        <v>3.780385751910921E7</v>
      </c>
      <c r="D10" s="39">
        <f t="shared" si="1"/>
        <v>37.80385752</v>
      </c>
      <c r="E10" s="41">
        <f t="shared" si="2"/>
        <v>0.04444140645</v>
      </c>
      <c r="G10" s="59"/>
      <c r="H10" s="59"/>
      <c r="I10" s="59"/>
      <c r="J10" s="59"/>
      <c r="K10" s="52" t="str">
        <f t="shared" ref="K10:L10" si="9">B10</f>
        <v>1.5. Floodable Forest</v>
      </c>
      <c r="L10" s="52">
        <f t="shared" si="9"/>
        <v>37803857.52</v>
      </c>
      <c r="M10" s="54">
        <f t="shared" si="5"/>
        <v>37.80385752</v>
      </c>
      <c r="N10" s="56">
        <f t="shared" si="6"/>
        <v>0.07474900387</v>
      </c>
    </row>
    <row r="11" ht="15.75" customHeight="1">
      <c r="B11" s="30" t="s">
        <v>40</v>
      </c>
      <c r="C11" s="30">
        <v>530012.9393460725</v>
      </c>
      <c r="D11" s="39">
        <f t="shared" si="1"/>
        <v>0.5300129393</v>
      </c>
      <c r="E11" s="41">
        <f t="shared" si="2"/>
        <v>0.0006230718769</v>
      </c>
      <c r="G11" s="72"/>
      <c r="H11" s="72"/>
      <c r="I11" s="72"/>
      <c r="J11" s="72"/>
      <c r="K11" s="52" t="str">
        <f t="shared" ref="K11:L11" si="10">B11</f>
        <v>1.6. Wooded Sandbank Vegetation</v>
      </c>
      <c r="L11" s="52">
        <f t="shared" si="10"/>
        <v>530012.9393</v>
      </c>
      <c r="M11" s="54">
        <f t="shared" si="5"/>
        <v>0.5300129393</v>
      </c>
      <c r="N11" s="56">
        <f t="shared" si="6"/>
        <v>0.001047986683</v>
      </c>
    </row>
    <row r="12" ht="15.75" customHeight="1">
      <c r="B12" s="18" t="s">
        <v>81</v>
      </c>
      <c r="C12" s="20">
        <v>4.5916553319222786E7</v>
      </c>
      <c r="D12" s="23">
        <f t="shared" si="1"/>
        <v>45.91655332</v>
      </c>
      <c r="E12" s="24">
        <f t="shared" si="2"/>
        <v>0.05397851813</v>
      </c>
      <c r="G12" s="26"/>
      <c r="H12" s="27"/>
      <c r="I12" s="28"/>
      <c r="J12" s="29"/>
      <c r="K12" s="4"/>
      <c r="L12" s="4"/>
      <c r="M12" s="4"/>
      <c r="N12" s="6"/>
    </row>
    <row r="13" ht="15.75" customHeight="1">
      <c r="B13" s="30" t="s">
        <v>83</v>
      </c>
      <c r="C13" s="33">
        <v>1.865475598932744E7</v>
      </c>
      <c r="D13" s="39">
        <f t="shared" si="1"/>
        <v>18.65475599</v>
      </c>
      <c r="E13" s="41">
        <f t="shared" si="2"/>
        <v>0.0219301322</v>
      </c>
      <c r="G13" s="80" t="s">
        <v>84</v>
      </c>
      <c r="H13" s="80">
        <f>C12</f>
        <v>45916553.32</v>
      </c>
      <c r="I13" s="82">
        <f>H13/1000000</f>
        <v>45.91655332</v>
      </c>
      <c r="J13" s="50">
        <f>E12</f>
        <v>0.05397851813</v>
      </c>
      <c r="K13" s="52" t="str">
        <f t="shared" ref="K13:L13" si="11">B13</f>
        <v>2.1. Wetland</v>
      </c>
      <c r="L13" s="52">
        <f t="shared" si="11"/>
        <v>18654755.99</v>
      </c>
      <c r="M13" s="87">
        <f t="shared" ref="M13:M16" si="13">L13/1000000</f>
        <v>18.65475599</v>
      </c>
      <c r="N13" s="56">
        <f t="shared" ref="N13:N16" si="14">M13/I$13</f>
        <v>0.4062751805</v>
      </c>
    </row>
    <row r="14" ht="15.75" customHeight="1">
      <c r="B14" s="30" t="s">
        <v>94</v>
      </c>
      <c r="C14" s="33">
        <v>6973.638068194614</v>
      </c>
      <c r="D14" s="39">
        <f t="shared" si="1"/>
        <v>0.006973638068</v>
      </c>
      <c r="E14" s="41">
        <f t="shared" si="2"/>
        <v>0.000008198059778</v>
      </c>
      <c r="G14" s="59"/>
      <c r="H14" s="59"/>
      <c r="I14" s="59"/>
      <c r="J14" s="59"/>
      <c r="K14" s="52" t="str">
        <f t="shared" ref="K14:L14" si="12">B15</f>
        <v>2.3. Grassland Formation</v>
      </c>
      <c r="L14" s="52">
        <f t="shared" si="12"/>
        <v>24067018.89</v>
      </c>
      <c r="M14" s="87">
        <f t="shared" si="13"/>
        <v>24.06701889</v>
      </c>
      <c r="N14" s="56">
        <f t="shared" si="14"/>
        <v>0.5241468958</v>
      </c>
    </row>
    <row r="15" ht="15.75" customHeight="1">
      <c r="B15" s="30" t="s">
        <v>97</v>
      </c>
      <c r="C15" s="33">
        <v>2.40670188866139E7</v>
      </c>
      <c r="D15" s="39">
        <f t="shared" si="1"/>
        <v>24.06701889</v>
      </c>
      <c r="E15" s="41">
        <f t="shared" si="2"/>
        <v>0.02829267272</v>
      </c>
      <c r="G15" s="59"/>
      <c r="H15" s="59"/>
      <c r="I15" s="59"/>
      <c r="J15" s="59"/>
      <c r="K15" s="52" t="str">
        <f t="shared" ref="K15:L15" si="15">B18</f>
        <v>2.6. Rocky Outcrop</v>
      </c>
      <c r="L15" s="52">
        <f t="shared" si="15"/>
        <v>1885597.357</v>
      </c>
      <c r="M15" s="87">
        <f t="shared" si="13"/>
        <v>1.885597357</v>
      </c>
      <c r="N15" s="56">
        <f t="shared" si="14"/>
        <v>0.04106574254</v>
      </c>
      <c r="O15" s="94"/>
    </row>
    <row r="16" ht="15.75" customHeight="1">
      <c r="B16" s="30" t="s">
        <v>103</v>
      </c>
      <c r="C16" s="33">
        <v>629110.7381951921</v>
      </c>
      <c r="D16" s="39">
        <f t="shared" si="1"/>
        <v>0.6291107382</v>
      </c>
      <c r="E16" s="41">
        <f t="shared" si="2"/>
        <v>0.00073956913</v>
      </c>
      <c r="G16" s="96"/>
      <c r="H16" s="96"/>
      <c r="I16" s="96"/>
      <c r="J16" s="96"/>
      <c r="K16" s="98" t="s">
        <v>104</v>
      </c>
      <c r="L16" s="101">
        <f>SUM(C14,C16,C17,C19,)</f>
        <v>1309181.086</v>
      </c>
      <c r="M16" s="103">
        <f t="shared" si="13"/>
        <v>1.309181086</v>
      </c>
      <c r="N16" s="56">
        <f t="shared" si="14"/>
        <v>0.02851218116</v>
      </c>
      <c r="O16" s="94"/>
    </row>
    <row r="17" ht="15.75" customHeight="1">
      <c r="B17" s="30" t="s">
        <v>117</v>
      </c>
      <c r="C17" s="33">
        <v>46998.27686505753</v>
      </c>
      <c r="D17" s="39">
        <f t="shared" si="1"/>
        <v>0.04699827687</v>
      </c>
      <c r="E17" s="41">
        <f t="shared" si="2"/>
        <v>0.0000552501692</v>
      </c>
      <c r="G17" s="108"/>
      <c r="H17" s="109"/>
      <c r="I17" s="109"/>
      <c r="J17" s="111"/>
      <c r="K17" s="4"/>
      <c r="L17" s="4"/>
      <c r="M17" s="4"/>
      <c r="N17" s="113"/>
    </row>
    <row r="18" ht="15.75" customHeight="1">
      <c r="B18" s="30" t="s">
        <v>130</v>
      </c>
      <c r="C18" s="33">
        <v>1885597.356872018</v>
      </c>
      <c r="D18" s="39">
        <f t="shared" si="1"/>
        <v>1.885597357</v>
      </c>
      <c r="E18" s="41">
        <f t="shared" si="2"/>
        <v>0.002216667928</v>
      </c>
      <c r="G18" s="80" t="s">
        <v>75</v>
      </c>
      <c r="H18" s="43">
        <f>C20</f>
        <v>273314585</v>
      </c>
      <c r="I18" s="47">
        <f>H18/1000000</f>
        <v>273.314585</v>
      </c>
      <c r="J18" s="50">
        <f>E20</f>
        <v>0.3213027811</v>
      </c>
      <c r="K18" s="52" t="str">
        <f t="shared" ref="K18:L18" si="16">B21</f>
        <v>3.1. Pasture</v>
      </c>
      <c r="L18" s="52">
        <f t="shared" si="16"/>
        <v>165617358.5</v>
      </c>
      <c r="M18" s="87">
        <f t="shared" ref="M18:M21" si="18">L18/1000000</f>
        <v>165.6173585</v>
      </c>
      <c r="N18" s="56">
        <f t="shared" ref="N18:N21" si="19">M18/I$18</f>
        <v>0.605958729</v>
      </c>
      <c r="O18" s="94"/>
    </row>
    <row r="19" ht="15.75" customHeight="1">
      <c r="B19" s="30" t="s">
        <v>142</v>
      </c>
      <c r="C19" s="33">
        <v>626098.4332809828</v>
      </c>
      <c r="D19" s="39">
        <f t="shared" si="1"/>
        <v>0.6260984333</v>
      </c>
      <c r="E19" s="41">
        <f t="shared" si="2"/>
        <v>0.0007360279287</v>
      </c>
      <c r="G19" s="59"/>
      <c r="H19" s="59"/>
      <c r="I19" s="59"/>
      <c r="J19" s="59"/>
      <c r="K19" s="52" t="str">
        <f t="shared" ref="K19:L19" si="17">B22</f>
        <v>3.2. Agriculture</v>
      </c>
      <c r="L19" s="52">
        <f t="shared" si="17"/>
        <v>66511155.98</v>
      </c>
      <c r="M19" s="87">
        <f t="shared" si="18"/>
        <v>66.51115598</v>
      </c>
      <c r="N19" s="56">
        <f t="shared" si="19"/>
        <v>0.2433501893</v>
      </c>
      <c r="O19" s="94"/>
    </row>
    <row r="20" ht="15.75" customHeight="1">
      <c r="B20" s="18" t="s">
        <v>76</v>
      </c>
      <c r="C20" s="20">
        <v>2.733145849763439E8</v>
      </c>
      <c r="D20" s="23">
        <f t="shared" si="1"/>
        <v>273.314585</v>
      </c>
      <c r="E20" s="24">
        <f t="shared" si="2"/>
        <v>0.3213027811</v>
      </c>
      <c r="G20" s="59"/>
      <c r="H20" s="59"/>
      <c r="I20" s="59"/>
      <c r="J20" s="59"/>
      <c r="K20" s="52" t="str">
        <f t="shared" ref="K20:L20" si="20">B23</f>
        <v>3.3. Forest Plantation</v>
      </c>
      <c r="L20" s="52">
        <f t="shared" si="20"/>
        <v>9875749.946</v>
      </c>
      <c r="M20" s="87">
        <f t="shared" si="18"/>
        <v>9.875749946</v>
      </c>
      <c r="N20" s="56">
        <f t="shared" si="19"/>
        <v>0.03613327092</v>
      </c>
      <c r="O20" s="94"/>
    </row>
    <row r="21" ht="15.75" customHeight="1">
      <c r="B21" s="30" t="s">
        <v>80</v>
      </c>
      <c r="C21" s="33">
        <v>1.656173585403075E8</v>
      </c>
      <c r="D21" s="39">
        <f t="shared" si="1"/>
        <v>165.6173585</v>
      </c>
      <c r="E21" s="41">
        <f t="shared" si="2"/>
        <v>0.1946962249</v>
      </c>
      <c r="G21" s="72"/>
      <c r="H21" s="72"/>
      <c r="I21" s="72"/>
      <c r="J21" s="72"/>
      <c r="K21" s="52" t="str">
        <f t="shared" ref="K21:L21" si="21">B24</f>
        <v>3.4. Mosaic of Uses</v>
      </c>
      <c r="L21" s="52">
        <f t="shared" si="21"/>
        <v>31310320.51</v>
      </c>
      <c r="M21" s="87">
        <f t="shared" si="18"/>
        <v>31.31032051</v>
      </c>
      <c r="N21" s="56">
        <f t="shared" si="19"/>
        <v>0.1145578108</v>
      </c>
      <c r="O21" s="94"/>
    </row>
    <row r="22" ht="15.75" customHeight="1">
      <c r="B22" s="129" t="s">
        <v>86</v>
      </c>
      <c r="C22" s="33">
        <v>6.651115598177094E7</v>
      </c>
      <c r="D22" s="131">
        <f t="shared" si="1"/>
        <v>66.51115598</v>
      </c>
      <c r="E22" s="132">
        <f t="shared" si="2"/>
        <v>0.0781890926</v>
      </c>
      <c r="G22" s="133"/>
      <c r="H22" s="133"/>
      <c r="I22" s="133"/>
      <c r="J22" s="135"/>
      <c r="K22" s="137"/>
      <c r="L22" s="137"/>
      <c r="M22" s="137"/>
      <c r="N22" s="113"/>
    </row>
    <row r="23" ht="15.75" customHeight="1">
      <c r="B23" s="30" t="s">
        <v>134</v>
      </c>
      <c r="C23" s="33">
        <v>9875749.945986465</v>
      </c>
      <c r="D23" s="39">
        <f t="shared" si="1"/>
        <v>9.875749946</v>
      </c>
      <c r="E23" s="41">
        <f t="shared" si="2"/>
        <v>0.01160972044</v>
      </c>
      <c r="G23" s="43" t="s">
        <v>160</v>
      </c>
      <c r="H23" s="43">
        <f>C25</f>
        <v>6374980.098</v>
      </c>
      <c r="I23" s="47">
        <f>H23/1000000</f>
        <v>6.374980098</v>
      </c>
      <c r="J23" s="50">
        <f>E25</f>
        <v>0.007494290271</v>
      </c>
      <c r="K23" s="52" t="str">
        <f t="shared" ref="K23:L23" si="22">B26</f>
        <v>4.1. Beach, Dune and Sand Spot</v>
      </c>
      <c r="L23" s="52">
        <f t="shared" si="22"/>
        <v>469129.1763</v>
      </c>
      <c r="M23" s="87">
        <f t="shared" ref="M23:M28" si="24">L23/1000000</f>
        <v>0.4691291763</v>
      </c>
      <c r="N23" s="56">
        <f t="shared" ref="N23:N28" si="25">M23/$I$23</f>
        <v>0.07358912014</v>
      </c>
    </row>
    <row r="24" ht="15.75" customHeight="1">
      <c r="B24" s="30" t="s">
        <v>137</v>
      </c>
      <c r="C24" s="33">
        <v>3.131032050827903E7</v>
      </c>
      <c r="D24" s="39">
        <f t="shared" si="1"/>
        <v>31.31032051</v>
      </c>
      <c r="E24" s="41">
        <f t="shared" si="2"/>
        <v>0.0368077432</v>
      </c>
      <c r="G24" s="59"/>
      <c r="H24" s="59"/>
      <c r="I24" s="59"/>
      <c r="J24" s="59"/>
      <c r="K24" s="52" t="str">
        <f t="shared" ref="K24:L24" si="23">B27</f>
        <v>4.2. Urban Area</v>
      </c>
      <c r="L24" s="52">
        <f t="shared" si="23"/>
        <v>4439128.659</v>
      </c>
      <c r="M24" s="87">
        <f t="shared" si="24"/>
        <v>4.439128659</v>
      </c>
      <c r="N24" s="56">
        <f t="shared" si="25"/>
        <v>0.6963360812</v>
      </c>
      <c r="O24" s="94"/>
    </row>
    <row r="25" ht="15.75" customHeight="1">
      <c r="B25" s="18" t="s">
        <v>89</v>
      </c>
      <c r="C25" s="20">
        <v>6374980.097670273</v>
      </c>
      <c r="D25" s="23">
        <f t="shared" si="1"/>
        <v>6.374980098</v>
      </c>
      <c r="E25" s="24">
        <f t="shared" si="2"/>
        <v>0.007494290271</v>
      </c>
      <c r="G25" s="59"/>
      <c r="H25" s="59"/>
      <c r="I25" s="59"/>
      <c r="J25" s="59"/>
      <c r="K25" s="52" t="str">
        <f t="shared" ref="K25:L25" si="26">B28</f>
        <v>4.3. Mining</v>
      </c>
      <c r="L25" s="52">
        <f t="shared" si="26"/>
        <v>606769.0924</v>
      </c>
      <c r="M25" s="87">
        <f t="shared" si="24"/>
        <v>0.6067690924</v>
      </c>
      <c r="N25" s="56">
        <f t="shared" si="25"/>
        <v>0.09517976261</v>
      </c>
      <c r="O25" s="94"/>
    </row>
    <row r="26" ht="15.75" customHeight="1">
      <c r="B26" s="150" t="s">
        <v>143</v>
      </c>
      <c r="C26" s="33">
        <v>469129.1763165639</v>
      </c>
      <c r="D26" s="39">
        <f t="shared" si="1"/>
        <v>0.4691291763</v>
      </c>
      <c r="E26" s="41">
        <f t="shared" si="2"/>
        <v>0.0005514982271</v>
      </c>
      <c r="G26" s="59"/>
      <c r="H26" s="59"/>
      <c r="I26" s="59"/>
      <c r="J26" s="59"/>
      <c r="K26" s="52" t="str">
        <f t="shared" ref="K26:L26" si="27">B29</f>
        <v>4.4. Photovoltaic Power Plant (beta)</v>
      </c>
      <c r="L26" s="52">
        <f t="shared" si="27"/>
        <v>43259.25493</v>
      </c>
      <c r="M26" s="87">
        <f t="shared" si="24"/>
        <v>0.04325925493</v>
      </c>
      <c r="N26" s="56">
        <f t="shared" si="25"/>
        <v>0.006785786664</v>
      </c>
      <c r="O26" s="94"/>
    </row>
    <row r="27" ht="15.75" customHeight="1">
      <c r="B27" s="30" t="s">
        <v>146</v>
      </c>
      <c r="C27" s="33">
        <v>4439128.65922234</v>
      </c>
      <c r="D27" s="39">
        <f t="shared" si="1"/>
        <v>4.439128659</v>
      </c>
      <c r="E27" s="41">
        <f t="shared" si="2"/>
        <v>0.005218544719</v>
      </c>
      <c r="G27" s="59"/>
      <c r="H27" s="59"/>
      <c r="I27" s="59"/>
      <c r="J27" s="59"/>
      <c r="K27" s="52" t="str">
        <f t="shared" ref="K27:L27" si="28">B30</f>
        <v>4.5. Wind Farm</v>
      </c>
      <c r="L27" s="52">
        <f t="shared" si="28"/>
        <v>28678.99849</v>
      </c>
      <c r="M27" s="87">
        <f t="shared" si="24"/>
        <v>0.02867899849</v>
      </c>
      <c r="N27" s="56">
        <f t="shared" si="25"/>
        <v>0.004498680475</v>
      </c>
      <c r="O27" s="94"/>
    </row>
    <row r="28" ht="15.75" customHeight="1">
      <c r="B28" s="129" t="s">
        <v>148</v>
      </c>
      <c r="C28" s="33">
        <v>606769.0923633323</v>
      </c>
      <c r="D28" s="131">
        <f t="shared" si="1"/>
        <v>0.6067690924</v>
      </c>
      <c r="E28" s="151">
        <f t="shared" si="2"/>
        <v>0.0007133047689</v>
      </c>
      <c r="G28" s="96"/>
      <c r="H28" s="96"/>
      <c r="I28" s="96"/>
      <c r="J28" s="96"/>
      <c r="K28" s="52" t="str">
        <f t="shared" ref="K28:L28" si="29">B31</f>
        <v>4.6. Other non Vegetated Areas</v>
      </c>
      <c r="L28" s="52">
        <f t="shared" si="29"/>
        <v>788014.9163</v>
      </c>
      <c r="M28" s="87">
        <f t="shared" si="24"/>
        <v>0.7880149163</v>
      </c>
      <c r="N28" s="56">
        <f t="shared" si="25"/>
        <v>0.1236105689</v>
      </c>
      <c r="O28" s="94"/>
    </row>
    <row r="29" ht="15.75" customHeight="1">
      <c r="B29" s="30" t="s">
        <v>171</v>
      </c>
      <c r="C29" s="33">
        <v>43259.25492918725</v>
      </c>
      <c r="D29" s="39">
        <f t="shared" si="1"/>
        <v>0.04325925493</v>
      </c>
      <c r="E29" s="41">
        <f t="shared" si="2"/>
        <v>0.00005085465497</v>
      </c>
      <c r="G29" s="137"/>
      <c r="H29" s="137"/>
      <c r="I29" s="137"/>
      <c r="J29" s="152"/>
      <c r="K29" s="137"/>
      <c r="L29" s="137"/>
      <c r="M29" s="137"/>
      <c r="N29" s="113"/>
    </row>
    <row r="30" ht="15.75" customHeight="1">
      <c r="B30" s="30" t="s">
        <v>172</v>
      </c>
      <c r="C30" s="33">
        <v>28678.998492529325</v>
      </c>
      <c r="D30" s="39">
        <f t="shared" si="1"/>
        <v>0.02867899849</v>
      </c>
      <c r="E30" s="41">
        <f t="shared" si="2"/>
        <v>0.00003371441731</v>
      </c>
      <c r="G30" s="153" t="s">
        <v>159</v>
      </c>
      <c r="H30" s="154">
        <f>C32</f>
        <v>19293615.21</v>
      </c>
      <c r="I30" s="155">
        <f>H30/1000000</f>
        <v>19.29361521</v>
      </c>
      <c r="J30" s="156">
        <f>E32</f>
        <v>0.02268116144</v>
      </c>
      <c r="K30" s="30"/>
      <c r="L30" s="157"/>
      <c r="M30" s="94"/>
      <c r="N30" s="6"/>
      <c r="O30" s="94"/>
    </row>
    <row r="31" ht="15.75" customHeight="1">
      <c r="B31" s="129" t="s">
        <v>157</v>
      </c>
      <c r="C31" s="33">
        <v>788014.916346319</v>
      </c>
      <c r="D31" s="131">
        <f t="shared" si="1"/>
        <v>0.7880149163</v>
      </c>
      <c r="E31" s="132">
        <f t="shared" si="2"/>
        <v>0.0009263734836</v>
      </c>
      <c r="G31" s="133"/>
      <c r="H31" s="133"/>
      <c r="I31" s="133"/>
      <c r="J31" s="135"/>
      <c r="K31" s="30"/>
      <c r="L31" s="157"/>
      <c r="M31" s="94"/>
      <c r="N31" s="6"/>
      <c r="O31" s="94"/>
    </row>
    <row r="32" ht="15.75" customHeight="1">
      <c r="B32" s="18" t="s">
        <v>91</v>
      </c>
      <c r="C32" s="20">
        <v>1.929361521263376E7</v>
      </c>
      <c r="D32" s="23">
        <f t="shared" si="1"/>
        <v>19.29361521</v>
      </c>
      <c r="E32" s="24">
        <f t="shared" si="2"/>
        <v>0.02268116144</v>
      </c>
      <c r="G32" s="109"/>
      <c r="H32" s="109"/>
      <c r="I32" s="109"/>
      <c r="J32" s="111"/>
      <c r="K32" s="4"/>
      <c r="L32" s="4"/>
      <c r="M32" s="4"/>
      <c r="N32" s="6"/>
    </row>
    <row r="33" ht="15.75" customHeight="1">
      <c r="B33" s="141" t="s">
        <v>163</v>
      </c>
      <c r="C33" s="141">
        <v>1.9215107453691486E7</v>
      </c>
      <c r="D33" s="131">
        <f t="shared" si="1"/>
        <v>19.21510745</v>
      </c>
      <c r="E33" s="132">
        <f t="shared" si="2"/>
        <v>0.0225888694</v>
      </c>
      <c r="G33" s="30"/>
      <c r="H33" s="157"/>
      <c r="I33" s="94"/>
      <c r="J33" s="158"/>
      <c r="K33" s="4"/>
      <c r="L33" s="4"/>
      <c r="M33" s="4"/>
      <c r="N33" s="6"/>
    </row>
    <row r="34" ht="15.75" customHeight="1">
      <c r="B34" s="141" t="s">
        <v>165</v>
      </c>
      <c r="C34" s="141">
        <v>78507.75894227404</v>
      </c>
      <c r="D34" s="131">
        <f t="shared" si="1"/>
        <v>0.07850775894</v>
      </c>
      <c r="E34" s="132">
        <f t="shared" si="2"/>
        <v>0.00009229204249</v>
      </c>
      <c r="G34" s="158"/>
      <c r="H34" s="4"/>
      <c r="I34" s="4"/>
      <c r="J34" s="4"/>
      <c r="K34" s="6"/>
      <c r="L34" s="94"/>
    </row>
    <row r="35" ht="15.75" customHeight="1">
      <c r="B35" s="18" t="s">
        <v>168</v>
      </c>
      <c r="C35" s="20">
        <v>1242.4168973205565</v>
      </c>
      <c r="D35" s="23"/>
      <c r="E35" s="24">
        <f t="shared" si="2"/>
        <v>0.000001460558735</v>
      </c>
      <c r="G35" s="159"/>
      <c r="H35" s="4"/>
      <c r="I35" s="4"/>
      <c r="J35" s="4"/>
      <c r="K35" s="6"/>
    </row>
    <row r="36" ht="15.75" customHeight="1">
      <c r="B36" s="160" t="s">
        <v>173</v>
      </c>
      <c r="C36" s="161">
        <f>SUM(C5,C12,C20,C25,C32,C35)</f>
        <v>850644940</v>
      </c>
      <c r="D36" s="162">
        <f>C36/1000000</f>
        <v>850.64494</v>
      </c>
      <c r="E36" s="160"/>
      <c r="G36" s="3"/>
      <c r="K36" s="6"/>
    </row>
    <row r="37" ht="15.75" customHeight="1">
      <c r="G37" s="3"/>
      <c r="K37" s="6"/>
    </row>
    <row r="38" ht="15.75" customHeight="1">
      <c r="G38" s="3"/>
      <c r="K38" s="6"/>
    </row>
    <row r="39" ht="15.75" customHeight="1">
      <c r="G39" s="3"/>
      <c r="K39" s="6"/>
    </row>
    <row r="40" ht="15.75" customHeight="1">
      <c r="G40" s="3"/>
      <c r="K40" s="6"/>
    </row>
    <row r="41" ht="15.75" customHeight="1">
      <c r="G41" s="3"/>
      <c r="K41" s="6"/>
    </row>
    <row r="42" ht="15.75" customHeight="1">
      <c r="G42" s="3"/>
      <c r="K42" s="6"/>
    </row>
    <row r="43" ht="15.75" customHeight="1">
      <c r="G43" s="3"/>
      <c r="K43" s="6"/>
    </row>
    <row r="44" ht="15.75" customHeight="1">
      <c r="G44" s="3"/>
      <c r="K44" s="6"/>
    </row>
    <row r="45" ht="15.75" customHeight="1">
      <c r="G45" s="3"/>
      <c r="K45" s="6"/>
    </row>
    <row r="46" ht="15.75" customHeight="1">
      <c r="G46" s="3"/>
      <c r="K46" s="6"/>
    </row>
    <row r="47" ht="15.75" customHeight="1">
      <c r="G47" s="3"/>
      <c r="K47" s="6"/>
    </row>
    <row r="48" ht="15.75" customHeight="1">
      <c r="G48" s="3"/>
      <c r="K48" s="6"/>
    </row>
    <row r="49" ht="15.75" customHeight="1">
      <c r="G49" s="3"/>
      <c r="K49" s="6"/>
    </row>
    <row r="50" ht="15.75" customHeight="1">
      <c r="G50" s="3"/>
      <c r="K50" s="6"/>
    </row>
    <row r="51" ht="15.75" customHeight="1">
      <c r="G51" s="3"/>
      <c r="K51" s="6"/>
    </row>
    <row r="52" ht="15.75" customHeight="1">
      <c r="G52" s="3"/>
      <c r="K52" s="6"/>
    </row>
    <row r="53" ht="15.75" customHeight="1">
      <c r="G53" s="3"/>
      <c r="K53" s="6"/>
    </row>
    <row r="54" ht="15.75" customHeight="1">
      <c r="J54" s="3"/>
      <c r="N54" s="6"/>
    </row>
    <row r="55" ht="15.75" customHeight="1">
      <c r="J55" s="3"/>
      <c r="N55" s="6"/>
    </row>
    <row r="56" ht="15.75" customHeight="1">
      <c r="J56" s="3"/>
      <c r="N56" s="6"/>
    </row>
    <row r="57" ht="15.75" customHeight="1">
      <c r="J57" s="3"/>
      <c r="N57" s="6"/>
    </row>
    <row r="58" ht="15.75" customHeight="1">
      <c r="J58" s="3"/>
      <c r="N58" s="6"/>
    </row>
    <row r="59" ht="15.75" customHeight="1">
      <c r="J59" s="3"/>
      <c r="N59" s="6"/>
    </row>
    <row r="60" ht="15.75" customHeight="1">
      <c r="J60" s="3"/>
      <c r="N60" s="6"/>
    </row>
    <row r="61" ht="15.75" customHeight="1">
      <c r="J61" s="3"/>
      <c r="N61" s="6"/>
    </row>
    <row r="62" ht="15.75" customHeight="1">
      <c r="J62" s="3"/>
      <c r="N62" s="6"/>
    </row>
    <row r="63" ht="15.75" customHeight="1">
      <c r="J63" s="3"/>
      <c r="N63" s="6"/>
    </row>
    <row r="64" ht="15.75" customHeight="1">
      <c r="J64" s="3"/>
      <c r="N64" s="6"/>
    </row>
    <row r="65" ht="15.75" customHeight="1">
      <c r="J65" s="3"/>
      <c r="N65" s="6"/>
    </row>
    <row r="66" ht="15.75" customHeight="1">
      <c r="J66" s="3"/>
      <c r="N66" s="6"/>
    </row>
    <row r="67" ht="15.75" customHeight="1">
      <c r="J67" s="3"/>
      <c r="N67" s="6"/>
    </row>
    <row r="68" ht="15.75" customHeight="1">
      <c r="J68" s="3"/>
      <c r="N68" s="6"/>
    </row>
    <row r="69" ht="15.75" customHeight="1">
      <c r="J69" s="3"/>
      <c r="N69" s="6"/>
    </row>
    <row r="70" ht="15.75" customHeight="1">
      <c r="J70" s="3"/>
      <c r="N70" s="6"/>
    </row>
    <row r="71" ht="15.75" customHeight="1">
      <c r="J71" s="3"/>
      <c r="N71" s="6"/>
    </row>
    <row r="72" ht="15.75" customHeight="1">
      <c r="J72" s="3"/>
      <c r="N72" s="6"/>
    </row>
    <row r="73" ht="15.75" customHeight="1">
      <c r="J73" s="3"/>
      <c r="N73" s="6"/>
    </row>
    <row r="74" ht="15.75" customHeight="1">
      <c r="J74" s="3"/>
      <c r="N74" s="6"/>
    </row>
    <row r="75" ht="15.75" customHeight="1">
      <c r="J75" s="3"/>
      <c r="N75" s="6"/>
    </row>
    <row r="76" ht="15.75" customHeight="1">
      <c r="J76" s="3"/>
      <c r="N76" s="6"/>
    </row>
    <row r="77" ht="15.75" customHeight="1">
      <c r="J77" s="3"/>
      <c r="N77" s="6"/>
    </row>
    <row r="78" ht="15.75" customHeight="1">
      <c r="J78" s="3"/>
      <c r="N78" s="6"/>
    </row>
    <row r="79" ht="15.75" customHeight="1">
      <c r="J79" s="3"/>
      <c r="N79" s="6"/>
    </row>
    <row r="80" ht="15.75" customHeight="1">
      <c r="J80" s="3"/>
      <c r="N80" s="6"/>
    </row>
    <row r="81" ht="15.75" customHeight="1">
      <c r="J81" s="3"/>
      <c r="N81" s="6"/>
    </row>
    <row r="82" ht="15.75" customHeight="1">
      <c r="J82" s="3"/>
      <c r="N82" s="6"/>
    </row>
    <row r="83" ht="15.75" customHeight="1">
      <c r="J83" s="3"/>
      <c r="N83" s="6"/>
    </row>
    <row r="84" ht="15.75" customHeight="1">
      <c r="J84" s="3"/>
      <c r="N84" s="6"/>
    </row>
    <row r="85" ht="15.75" customHeight="1">
      <c r="J85" s="3"/>
      <c r="N85" s="6"/>
    </row>
    <row r="86" ht="15.75" customHeight="1">
      <c r="J86" s="3"/>
      <c r="N86" s="6"/>
    </row>
    <row r="87" ht="15.75" customHeight="1">
      <c r="J87" s="3"/>
      <c r="N87" s="6"/>
    </row>
    <row r="88" ht="15.75" customHeight="1">
      <c r="J88" s="3"/>
      <c r="N88" s="6"/>
    </row>
    <row r="89" ht="15.75" customHeight="1">
      <c r="J89" s="3"/>
      <c r="N89" s="6"/>
    </row>
    <row r="90" ht="15.75" customHeight="1">
      <c r="J90" s="3"/>
      <c r="N90" s="6"/>
    </row>
    <row r="91" ht="15.75" customHeight="1">
      <c r="J91" s="3"/>
      <c r="N91" s="6"/>
    </row>
    <row r="92" ht="15.75" customHeight="1">
      <c r="J92" s="3"/>
      <c r="N92" s="6"/>
    </row>
    <row r="93" ht="15.75" customHeight="1">
      <c r="J93" s="3"/>
      <c r="N93" s="6"/>
    </row>
    <row r="94" ht="15.75" customHeight="1">
      <c r="J94" s="3"/>
      <c r="N94" s="6"/>
    </row>
    <row r="95" ht="15.75" customHeight="1">
      <c r="J95" s="3"/>
      <c r="N95" s="6"/>
    </row>
    <row r="96" ht="15.75" customHeight="1">
      <c r="J96" s="3"/>
      <c r="N96" s="6"/>
    </row>
    <row r="97" ht="15.75" customHeight="1">
      <c r="J97" s="3"/>
      <c r="N97" s="6"/>
    </row>
    <row r="98" ht="15.75" customHeight="1">
      <c r="J98" s="3"/>
      <c r="N98" s="6"/>
    </row>
    <row r="99" ht="15.75" customHeight="1">
      <c r="J99" s="3"/>
      <c r="N99" s="6"/>
    </row>
    <row r="100" ht="15.75" customHeight="1">
      <c r="J100" s="3"/>
      <c r="N100" s="6"/>
    </row>
    <row r="101" ht="15.75" customHeight="1">
      <c r="J101" s="3"/>
      <c r="N101" s="6"/>
    </row>
    <row r="102" ht="15.75" customHeight="1">
      <c r="J102" s="3"/>
      <c r="N102" s="6"/>
    </row>
    <row r="103" ht="15.75" customHeight="1">
      <c r="J103" s="3"/>
      <c r="N103" s="6"/>
    </row>
    <row r="104" ht="15.75" customHeight="1">
      <c r="J104" s="3"/>
      <c r="N104" s="6"/>
    </row>
    <row r="105" ht="15.75" customHeight="1">
      <c r="J105" s="3"/>
      <c r="N105" s="6"/>
    </row>
    <row r="106" ht="15.75" customHeight="1">
      <c r="J106" s="3"/>
      <c r="N106" s="6"/>
    </row>
    <row r="107" ht="15.75" customHeight="1">
      <c r="J107" s="3"/>
      <c r="N107" s="6"/>
    </row>
    <row r="108" ht="15.75" customHeight="1">
      <c r="J108" s="3"/>
      <c r="N108" s="6"/>
    </row>
    <row r="109" ht="15.75" customHeight="1">
      <c r="J109" s="3"/>
      <c r="N109" s="6"/>
    </row>
    <row r="110" ht="15.75" customHeight="1">
      <c r="J110" s="3"/>
      <c r="N110" s="6"/>
    </row>
    <row r="111" ht="15.75" customHeight="1">
      <c r="J111" s="3"/>
      <c r="N111" s="6"/>
    </row>
    <row r="112" ht="15.75" customHeight="1">
      <c r="J112" s="3"/>
      <c r="N112" s="6"/>
    </row>
    <row r="113" ht="15.75" customHeight="1">
      <c r="J113" s="3"/>
      <c r="N113" s="6"/>
    </row>
    <row r="114" ht="15.75" customHeight="1">
      <c r="J114" s="3"/>
      <c r="N114" s="6"/>
    </row>
    <row r="115" ht="15.75" customHeight="1">
      <c r="J115" s="3"/>
      <c r="N115" s="6"/>
    </row>
    <row r="116" ht="15.75" customHeight="1">
      <c r="J116" s="3"/>
      <c r="N116" s="6"/>
    </row>
    <row r="117" ht="15.75" customHeight="1">
      <c r="J117" s="3"/>
      <c r="N117" s="6"/>
    </row>
    <row r="118" ht="15.75" customHeight="1">
      <c r="J118" s="3"/>
      <c r="N118" s="6"/>
    </row>
    <row r="119" ht="15.75" customHeight="1">
      <c r="J119" s="3"/>
      <c r="N119" s="6"/>
    </row>
    <row r="120" ht="15.75" customHeight="1">
      <c r="J120" s="3"/>
      <c r="N120" s="6"/>
    </row>
    <row r="121" ht="15.75" customHeight="1">
      <c r="J121" s="3"/>
      <c r="N121" s="6"/>
    </row>
    <row r="122" ht="15.75" customHeight="1">
      <c r="J122" s="3"/>
      <c r="N122" s="6"/>
    </row>
    <row r="123" ht="15.75" customHeight="1">
      <c r="J123" s="3"/>
      <c r="N123" s="6"/>
    </row>
    <row r="124" ht="15.75" customHeight="1">
      <c r="J124" s="3"/>
      <c r="N124" s="6"/>
    </row>
    <row r="125" ht="15.75" customHeight="1">
      <c r="J125" s="3"/>
      <c r="N125" s="6"/>
    </row>
    <row r="126" ht="15.75" customHeight="1">
      <c r="J126" s="3"/>
      <c r="N126" s="6"/>
    </row>
    <row r="127" ht="15.75" customHeight="1">
      <c r="J127" s="3"/>
      <c r="N127" s="6"/>
    </row>
    <row r="128" ht="15.75" customHeight="1">
      <c r="J128" s="3"/>
      <c r="N128" s="6"/>
    </row>
    <row r="129" ht="15.75" customHeight="1">
      <c r="J129" s="3"/>
      <c r="N129" s="6"/>
    </row>
    <row r="130" ht="15.75" customHeight="1">
      <c r="J130" s="3"/>
      <c r="N130" s="6"/>
    </row>
    <row r="131" ht="15.75" customHeight="1">
      <c r="J131" s="3"/>
      <c r="N131" s="6"/>
    </row>
    <row r="132" ht="15.75" customHeight="1">
      <c r="J132" s="3"/>
      <c r="N132" s="6"/>
    </row>
    <row r="133" ht="15.75" customHeight="1">
      <c r="J133" s="3"/>
      <c r="N133" s="6"/>
    </row>
    <row r="134" ht="15.75" customHeight="1">
      <c r="J134" s="3"/>
      <c r="N134" s="6"/>
    </row>
    <row r="135" ht="15.75" customHeight="1">
      <c r="J135" s="3"/>
      <c r="N135" s="6"/>
    </row>
    <row r="136" ht="15.75" customHeight="1">
      <c r="J136" s="3"/>
      <c r="N136" s="6"/>
    </row>
    <row r="137" ht="15.75" customHeight="1">
      <c r="J137" s="3"/>
      <c r="N137" s="6"/>
    </row>
    <row r="138" ht="15.75" customHeight="1">
      <c r="J138" s="3"/>
      <c r="N138" s="6"/>
    </row>
    <row r="139" ht="15.75" customHeight="1">
      <c r="J139" s="3"/>
      <c r="N139" s="6"/>
    </row>
    <row r="140" ht="15.75" customHeight="1">
      <c r="J140" s="3"/>
      <c r="N140" s="6"/>
    </row>
    <row r="141" ht="15.75" customHeight="1">
      <c r="J141" s="3"/>
      <c r="N141" s="6"/>
    </row>
    <row r="142" ht="15.75" customHeight="1">
      <c r="J142" s="3"/>
      <c r="N142" s="6"/>
    </row>
    <row r="143" ht="15.75" customHeight="1">
      <c r="J143" s="3"/>
      <c r="N143" s="6"/>
    </row>
    <row r="144" ht="15.75" customHeight="1">
      <c r="J144" s="3"/>
      <c r="N144" s="6"/>
    </row>
    <row r="145" ht="15.75" customHeight="1">
      <c r="J145" s="3"/>
      <c r="N145" s="6"/>
    </row>
    <row r="146" ht="15.75" customHeight="1">
      <c r="J146" s="3"/>
      <c r="N146" s="6"/>
    </row>
    <row r="147" ht="15.75" customHeight="1">
      <c r="J147" s="3"/>
      <c r="N147" s="6"/>
    </row>
    <row r="148" ht="15.75" customHeight="1">
      <c r="J148" s="3"/>
      <c r="N148" s="6"/>
    </row>
    <row r="149" ht="15.75" customHeight="1">
      <c r="J149" s="3"/>
      <c r="N149" s="6"/>
    </row>
    <row r="150" ht="15.75" customHeight="1">
      <c r="J150" s="3"/>
      <c r="N150" s="6"/>
    </row>
    <row r="151" ht="15.75" customHeight="1">
      <c r="J151" s="3"/>
      <c r="N151" s="6"/>
    </row>
    <row r="152" ht="15.75" customHeight="1">
      <c r="J152" s="3"/>
      <c r="N152" s="6"/>
    </row>
    <row r="153" ht="15.75" customHeight="1">
      <c r="J153" s="3"/>
      <c r="N153" s="6"/>
    </row>
    <row r="154" ht="15.75" customHeight="1">
      <c r="J154" s="3"/>
      <c r="N154" s="6"/>
    </row>
    <row r="155" ht="15.75" customHeight="1">
      <c r="J155" s="3"/>
      <c r="N155" s="6"/>
    </row>
    <row r="156" ht="15.75" customHeight="1">
      <c r="J156" s="3"/>
      <c r="N156" s="6"/>
    </row>
    <row r="157" ht="15.75" customHeight="1">
      <c r="J157" s="3"/>
      <c r="N157" s="6"/>
    </row>
    <row r="158" ht="15.75" customHeight="1">
      <c r="J158" s="3"/>
      <c r="N158" s="6"/>
    </row>
    <row r="159" ht="15.75" customHeight="1">
      <c r="J159" s="3"/>
      <c r="N159" s="6"/>
    </row>
    <row r="160" ht="15.75" customHeight="1">
      <c r="J160" s="3"/>
      <c r="N160" s="6"/>
    </row>
    <row r="161" ht="15.75" customHeight="1">
      <c r="J161" s="3"/>
      <c r="N161" s="6"/>
    </row>
    <row r="162" ht="15.75" customHeight="1">
      <c r="J162" s="3"/>
      <c r="N162" s="6"/>
    </row>
    <row r="163" ht="15.75" customHeight="1">
      <c r="J163" s="3"/>
      <c r="N163" s="6"/>
    </row>
    <row r="164" ht="15.75" customHeight="1">
      <c r="J164" s="3"/>
      <c r="N164" s="6"/>
    </row>
    <row r="165" ht="15.75" customHeight="1">
      <c r="J165" s="3"/>
      <c r="N165" s="6"/>
    </row>
    <row r="166" ht="15.75" customHeight="1">
      <c r="J166" s="3"/>
      <c r="N166" s="6"/>
    </row>
    <row r="167" ht="15.75" customHeight="1">
      <c r="J167" s="3"/>
      <c r="N167" s="6"/>
    </row>
    <row r="168" ht="15.75" customHeight="1">
      <c r="J168" s="3"/>
      <c r="N168" s="6"/>
    </row>
    <row r="169" ht="15.75" customHeight="1">
      <c r="J169" s="3"/>
      <c r="N169" s="6"/>
    </row>
    <row r="170" ht="15.75" customHeight="1">
      <c r="J170" s="3"/>
      <c r="N170" s="6"/>
    </row>
    <row r="171" ht="15.75" customHeight="1">
      <c r="J171" s="3"/>
      <c r="N171" s="6"/>
    </row>
    <row r="172" ht="15.75" customHeight="1">
      <c r="J172" s="3"/>
      <c r="N172" s="6"/>
    </row>
    <row r="173" ht="15.75" customHeight="1">
      <c r="J173" s="3"/>
      <c r="N173" s="6"/>
    </row>
    <row r="174" ht="15.75" customHeight="1">
      <c r="J174" s="3"/>
      <c r="N174" s="6"/>
    </row>
    <row r="175" ht="15.75" customHeight="1">
      <c r="J175" s="3"/>
      <c r="N175" s="6"/>
    </row>
    <row r="176" ht="15.75" customHeight="1">
      <c r="J176" s="3"/>
      <c r="N176" s="6"/>
    </row>
    <row r="177" ht="15.75" customHeight="1">
      <c r="J177" s="3"/>
      <c r="N177" s="6"/>
    </row>
    <row r="178" ht="15.75" customHeight="1">
      <c r="J178" s="3"/>
      <c r="N178" s="6"/>
    </row>
    <row r="179" ht="15.75" customHeight="1">
      <c r="J179" s="3"/>
      <c r="N179" s="6"/>
    </row>
    <row r="180" ht="15.75" customHeight="1">
      <c r="J180" s="3"/>
      <c r="N180" s="6"/>
    </row>
    <row r="181" ht="15.75" customHeight="1">
      <c r="J181" s="3"/>
      <c r="N181" s="6"/>
    </row>
    <row r="182" ht="15.75" customHeight="1">
      <c r="J182" s="3"/>
      <c r="N182" s="6"/>
    </row>
    <row r="183" ht="15.75" customHeight="1">
      <c r="J183" s="3"/>
      <c r="N183" s="6"/>
    </row>
    <row r="184" ht="15.75" customHeight="1">
      <c r="J184" s="3"/>
      <c r="N184" s="6"/>
    </row>
    <row r="185" ht="15.75" customHeight="1">
      <c r="J185" s="3"/>
      <c r="N185" s="6"/>
    </row>
    <row r="186" ht="15.75" customHeight="1">
      <c r="J186" s="3"/>
      <c r="N186" s="6"/>
    </row>
    <row r="187" ht="15.75" customHeight="1">
      <c r="J187" s="3"/>
      <c r="N187" s="6"/>
    </row>
    <row r="188" ht="15.75" customHeight="1">
      <c r="J188" s="3"/>
      <c r="N188" s="6"/>
    </row>
    <row r="189" ht="15.75" customHeight="1">
      <c r="J189" s="3"/>
      <c r="N189" s="6"/>
    </row>
    <row r="190" ht="15.75" customHeight="1">
      <c r="J190" s="3"/>
      <c r="N190" s="6"/>
    </row>
    <row r="191" ht="15.75" customHeight="1">
      <c r="J191" s="3"/>
      <c r="N191" s="6"/>
    </row>
    <row r="192" ht="15.75" customHeight="1">
      <c r="J192" s="3"/>
      <c r="N192" s="6"/>
    </row>
    <row r="193" ht="15.75" customHeight="1">
      <c r="J193" s="3"/>
      <c r="N193" s="6"/>
    </row>
    <row r="194" ht="15.75" customHeight="1">
      <c r="J194" s="3"/>
      <c r="N194" s="6"/>
    </row>
    <row r="195" ht="15.75" customHeight="1">
      <c r="J195" s="3"/>
      <c r="N195" s="6"/>
    </row>
    <row r="196" ht="15.75" customHeight="1">
      <c r="J196" s="3"/>
      <c r="N196" s="6"/>
    </row>
    <row r="197" ht="15.75" customHeight="1">
      <c r="J197" s="3"/>
      <c r="N197" s="6"/>
    </row>
    <row r="198" ht="15.75" customHeight="1">
      <c r="J198" s="3"/>
      <c r="N198" s="6"/>
    </row>
    <row r="199" ht="15.75" customHeight="1">
      <c r="J199" s="3"/>
      <c r="N199" s="6"/>
    </row>
    <row r="200" ht="15.75" customHeight="1">
      <c r="J200" s="3"/>
      <c r="N200" s="6"/>
    </row>
    <row r="201" ht="15.75" customHeight="1">
      <c r="J201" s="3"/>
      <c r="N201" s="6"/>
    </row>
    <row r="202" ht="15.75" customHeight="1">
      <c r="J202" s="3"/>
      <c r="N202" s="6"/>
    </row>
    <row r="203" ht="15.75" customHeight="1">
      <c r="J203" s="3"/>
      <c r="N203" s="6"/>
    </row>
    <row r="204" ht="15.75" customHeight="1">
      <c r="J204" s="3"/>
      <c r="N204" s="6"/>
    </row>
    <row r="205" ht="15.75" customHeight="1">
      <c r="J205" s="3"/>
      <c r="N205" s="6"/>
    </row>
    <row r="206" ht="15.75" customHeight="1">
      <c r="J206" s="3"/>
      <c r="N206" s="6"/>
    </row>
    <row r="207" ht="15.75" customHeight="1">
      <c r="J207" s="3"/>
      <c r="N207" s="6"/>
    </row>
    <row r="208" ht="15.75" customHeight="1">
      <c r="J208" s="3"/>
      <c r="N208" s="6"/>
    </row>
    <row r="209" ht="15.75" customHeight="1">
      <c r="J209" s="3"/>
      <c r="N209" s="6"/>
    </row>
    <row r="210" ht="15.75" customHeight="1">
      <c r="J210" s="3"/>
      <c r="N210" s="6"/>
    </row>
    <row r="211" ht="15.75" customHeight="1">
      <c r="J211" s="3"/>
      <c r="N211" s="6"/>
    </row>
    <row r="212" ht="15.75" customHeight="1">
      <c r="J212" s="3"/>
      <c r="N212" s="6"/>
    </row>
    <row r="213" ht="15.75" customHeight="1">
      <c r="J213" s="3"/>
      <c r="N213" s="6"/>
    </row>
    <row r="214" ht="15.75" customHeight="1">
      <c r="J214" s="3"/>
      <c r="N214" s="6"/>
    </row>
    <row r="215" ht="15.75" customHeight="1">
      <c r="J215" s="3"/>
      <c r="N215" s="6"/>
    </row>
    <row r="216" ht="15.75" customHeight="1">
      <c r="J216" s="3"/>
      <c r="N216" s="6"/>
    </row>
    <row r="217" ht="15.75" customHeight="1">
      <c r="J217" s="3"/>
      <c r="N217" s="6"/>
    </row>
    <row r="218" ht="15.75" customHeight="1">
      <c r="J218" s="3"/>
      <c r="N218" s="6"/>
    </row>
    <row r="219" ht="15.75" customHeight="1">
      <c r="J219" s="3"/>
      <c r="N219" s="6"/>
    </row>
    <row r="220" ht="15.75" customHeight="1">
      <c r="J220" s="3"/>
      <c r="N220" s="6"/>
    </row>
    <row r="221" ht="15.75" customHeight="1">
      <c r="J221" s="3"/>
      <c r="N221" s="6"/>
    </row>
    <row r="222" ht="15.75" customHeight="1">
      <c r="J222" s="3"/>
      <c r="N222" s="6"/>
    </row>
    <row r="223" ht="15.75" customHeight="1">
      <c r="J223" s="3"/>
      <c r="N223" s="6"/>
    </row>
    <row r="224" ht="15.75" customHeight="1">
      <c r="J224" s="3"/>
      <c r="N224" s="6"/>
    </row>
    <row r="225" ht="15.75" customHeight="1">
      <c r="J225" s="3"/>
      <c r="N225" s="6"/>
    </row>
    <row r="226" ht="15.75" customHeight="1">
      <c r="J226" s="3"/>
      <c r="N226" s="6"/>
    </row>
    <row r="227" ht="15.75" customHeight="1">
      <c r="J227" s="3"/>
      <c r="N227" s="6"/>
    </row>
    <row r="228" ht="15.75" customHeight="1">
      <c r="J228" s="3"/>
      <c r="N228" s="6"/>
    </row>
    <row r="229" ht="15.75" customHeight="1">
      <c r="J229" s="3"/>
      <c r="N229" s="6"/>
    </row>
    <row r="230" ht="15.75" customHeight="1">
      <c r="J230" s="3"/>
      <c r="N230" s="6"/>
    </row>
    <row r="231" ht="15.75" customHeight="1">
      <c r="J231" s="3"/>
      <c r="N231" s="6"/>
    </row>
    <row r="232" ht="15.75" customHeight="1">
      <c r="J232" s="3"/>
      <c r="N232" s="6"/>
    </row>
    <row r="233" ht="15.75" customHeight="1">
      <c r="J233" s="3"/>
      <c r="N233" s="6"/>
    </row>
    <row r="234" ht="15.75" customHeight="1">
      <c r="J234" s="3"/>
      <c r="N234" s="6"/>
    </row>
    <row r="235" ht="15.75" customHeight="1">
      <c r="J235" s="3"/>
      <c r="N235" s="6"/>
    </row>
    <row r="236" ht="15.75" customHeight="1">
      <c r="J236" s="3"/>
      <c r="N236" s="6"/>
    </row>
    <row r="237" ht="15.75" customHeight="1">
      <c r="J237" s="3"/>
      <c r="N237" s="6"/>
    </row>
    <row r="238" ht="15.75" customHeight="1">
      <c r="J238" s="3"/>
      <c r="N238" s="6"/>
    </row>
    <row r="239" ht="15.75" customHeight="1">
      <c r="J239" s="3"/>
      <c r="N239" s="6"/>
    </row>
    <row r="240" ht="15.75" customHeight="1">
      <c r="J240" s="3"/>
      <c r="N240" s="6"/>
    </row>
    <row r="241" ht="15.75" customHeight="1">
      <c r="J241" s="3"/>
      <c r="N241" s="6"/>
    </row>
    <row r="242" ht="15.75" customHeight="1">
      <c r="J242" s="3"/>
      <c r="N242" s="6"/>
    </row>
    <row r="243" ht="15.75" customHeight="1">
      <c r="J243" s="3"/>
      <c r="N243" s="6"/>
    </row>
    <row r="244" ht="15.75" customHeight="1">
      <c r="J244" s="3"/>
      <c r="N244" s="6"/>
    </row>
    <row r="245" ht="15.75" customHeight="1">
      <c r="J245" s="3"/>
      <c r="N245" s="6"/>
    </row>
    <row r="246" ht="15.75" customHeight="1">
      <c r="J246" s="3"/>
      <c r="N246" s="6"/>
    </row>
    <row r="247" ht="15.75" customHeight="1">
      <c r="J247" s="3"/>
      <c r="N247" s="6"/>
    </row>
    <row r="248" ht="15.75" customHeight="1">
      <c r="J248" s="3"/>
      <c r="N248" s="6"/>
    </row>
    <row r="249" ht="15.75" customHeight="1">
      <c r="J249" s="3"/>
      <c r="N249" s="6"/>
    </row>
    <row r="250" ht="15.75" customHeight="1">
      <c r="J250" s="3"/>
      <c r="N250" s="6"/>
    </row>
    <row r="251" ht="15.75" customHeight="1">
      <c r="J251" s="3"/>
      <c r="N251" s="6"/>
    </row>
    <row r="252" ht="15.75" customHeight="1">
      <c r="J252" s="3"/>
      <c r="N252" s="6"/>
    </row>
    <row r="253" ht="15.75" customHeight="1">
      <c r="J253" s="3"/>
      <c r="N253" s="6"/>
    </row>
    <row r="254" ht="15.75" customHeight="1">
      <c r="J254" s="3"/>
      <c r="N254" s="6"/>
    </row>
    <row r="255" ht="15.75" customHeight="1">
      <c r="J255" s="3"/>
      <c r="N255" s="6"/>
    </row>
    <row r="256" ht="15.75" customHeight="1">
      <c r="J256" s="3"/>
      <c r="N256" s="6"/>
    </row>
    <row r="257" ht="15.75" customHeight="1">
      <c r="J257" s="3"/>
      <c r="N257" s="6"/>
    </row>
    <row r="258" ht="15.75" customHeight="1">
      <c r="J258" s="3"/>
      <c r="N258" s="6"/>
    </row>
    <row r="259" ht="15.75" customHeight="1">
      <c r="J259" s="3"/>
      <c r="N259" s="6"/>
    </row>
    <row r="260" ht="15.75" customHeight="1">
      <c r="J260" s="3"/>
      <c r="N260" s="6"/>
    </row>
    <row r="261" ht="15.75" customHeight="1">
      <c r="J261" s="3"/>
      <c r="N261" s="6"/>
    </row>
    <row r="262" ht="15.75" customHeight="1">
      <c r="J262" s="3"/>
      <c r="N262" s="6"/>
    </row>
    <row r="263" ht="15.75" customHeight="1">
      <c r="J263" s="3"/>
      <c r="N263" s="6"/>
    </row>
    <row r="264" ht="15.75" customHeight="1">
      <c r="J264" s="3"/>
      <c r="N264" s="6"/>
    </row>
    <row r="265" ht="15.75" customHeight="1">
      <c r="J265" s="3"/>
      <c r="N265" s="6"/>
    </row>
    <row r="266" ht="15.75" customHeight="1">
      <c r="J266" s="3"/>
      <c r="N266" s="6"/>
    </row>
    <row r="267" ht="15.75" customHeight="1">
      <c r="J267" s="3"/>
      <c r="N267" s="6"/>
    </row>
    <row r="268" ht="15.75" customHeight="1">
      <c r="J268" s="3"/>
      <c r="N268" s="6"/>
    </row>
    <row r="269" ht="15.75" customHeight="1">
      <c r="J269" s="3"/>
      <c r="N269" s="6"/>
    </row>
    <row r="270" ht="15.75" customHeight="1">
      <c r="J270" s="3"/>
      <c r="N270" s="6"/>
    </row>
    <row r="271" ht="15.75" customHeight="1">
      <c r="J271" s="3"/>
      <c r="N271" s="6"/>
    </row>
    <row r="272" ht="15.75" customHeight="1">
      <c r="J272" s="3"/>
      <c r="N272" s="6"/>
    </row>
    <row r="273" ht="15.75" customHeight="1">
      <c r="J273" s="3"/>
      <c r="N273" s="6"/>
    </row>
    <row r="274" ht="15.75" customHeight="1">
      <c r="J274" s="3"/>
      <c r="N274" s="6"/>
    </row>
    <row r="275" ht="15.75" customHeight="1">
      <c r="J275" s="3"/>
      <c r="N275" s="6"/>
    </row>
    <row r="276" ht="15.75" customHeight="1">
      <c r="J276" s="3"/>
      <c r="N276" s="6"/>
    </row>
    <row r="277" ht="15.75" customHeight="1">
      <c r="J277" s="3"/>
      <c r="N277" s="6"/>
    </row>
    <row r="278" ht="15.75" customHeight="1">
      <c r="J278" s="3"/>
      <c r="N278" s="6"/>
    </row>
    <row r="279" ht="15.75" customHeight="1">
      <c r="J279" s="3"/>
      <c r="N279" s="6"/>
    </row>
    <row r="280" ht="15.75" customHeight="1">
      <c r="J280" s="3"/>
      <c r="N280" s="6"/>
    </row>
    <row r="281" ht="15.75" customHeight="1">
      <c r="J281" s="3"/>
      <c r="N281" s="6"/>
    </row>
    <row r="282" ht="15.75" customHeight="1">
      <c r="J282" s="3"/>
      <c r="N282" s="6"/>
    </row>
    <row r="283" ht="15.75" customHeight="1">
      <c r="J283" s="3"/>
      <c r="N283" s="6"/>
    </row>
    <row r="284" ht="15.75" customHeight="1">
      <c r="J284" s="3"/>
      <c r="N284" s="6"/>
    </row>
    <row r="285" ht="15.75" customHeight="1">
      <c r="J285" s="3"/>
      <c r="N285" s="6"/>
    </row>
    <row r="286" ht="15.75" customHeight="1">
      <c r="J286" s="3"/>
      <c r="N286" s="6"/>
    </row>
    <row r="287" ht="15.75" customHeight="1">
      <c r="J287" s="3"/>
      <c r="N287" s="6"/>
    </row>
    <row r="288" ht="15.75" customHeight="1">
      <c r="J288" s="3"/>
      <c r="N288" s="6"/>
    </row>
    <row r="289" ht="15.75" customHeight="1">
      <c r="J289" s="3"/>
      <c r="N289" s="6"/>
    </row>
    <row r="290" ht="15.75" customHeight="1">
      <c r="J290" s="3"/>
      <c r="N290" s="6"/>
    </row>
    <row r="291" ht="15.75" customHeight="1">
      <c r="J291" s="3"/>
      <c r="N291" s="6"/>
    </row>
    <row r="292" ht="15.75" customHeight="1">
      <c r="J292" s="3"/>
      <c r="N292" s="6"/>
    </row>
    <row r="293" ht="15.75" customHeight="1">
      <c r="J293" s="3"/>
      <c r="N293" s="6"/>
    </row>
    <row r="294" ht="15.75" customHeight="1">
      <c r="J294" s="3"/>
      <c r="N294" s="6"/>
    </row>
    <row r="295" ht="15.75" customHeight="1">
      <c r="J295" s="3"/>
      <c r="N295" s="6"/>
    </row>
    <row r="296" ht="15.75" customHeight="1">
      <c r="J296" s="3"/>
      <c r="N296" s="6"/>
    </row>
    <row r="297" ht="15.75" customHeight="1">
      <c r="J297" s="3"/>
      <c r="N297" s="6"/>
    </row>
    <row r="298" ht="15.75" customHeight="1">
      <c r="J298" s="3"/>
      <c r="N298" s="6"/>
    </row>
    <row r="299" ht="15.75" customHeight="1">
      <c r="J299" s="3"/>
      <c r="N299" s="6"/>
    </row>
    <row r="300" ht="15.75" customHeight="1">
      <c r="J300" s="3"/>
      <c r="N300" s="6"/>
    </row>
    <row r="301" ht="15.75" customHeight="1">
      <c r="J301" s="3"/>
      <c r="N301" s="6"/>
    </row>
    <row r="302" ht="15.75" customHeight="1">
      <c r="J302" s="3"/>
      <c r="N302" s="6"/>
    </row>
    <row r="303" ht="15.75" customHeight="1">
      <c r="J303" s="3"/>
      <c r="N303" s="6"/>
    </row>
    <row r="304" ht="15.75" customHeight="1">
      <c r="J304" s="3"/>
      <c r="N304" s="6"/>
    </row>
    <row r="305" ht="15.75" customHeight="1">
      <c r="J305" s="3"/>
      <c r="N305" s="6"/>
    </row>
    <row r="306" ht="15.75" customHeight="1">
      <c r="J306" s="3"/>
      <c r="N306" s="6"/>
    </row>
    <row r="307" ht="15.75" customHeight="1">
      <c r="J307" s="3"/>
      <c r="N307" s="6"/>
    </row>
    <row r="308" ht="15.75" customHeight="1">
      <c r="J308" s="3"/>
      <c r="N308" s="6"/>
    </row>
    <row r="309" ht="15.75" customHeight="1">
      <c r="J309" s="3"/>
      <c r="N309" s="6"/>
    </row>
    <row r="310" ht="15.75" customHeight="1">
      <c r="J310" s="3"/>
      <c r="N310" s="6"/>
    </row>
    <row r="311" ht="15.75" customHeight="1">
      <c r="J311" s="3"/>
      <c r="N311" s="6"/>
    </row>
    <row r="312" ht="15.75" customHeight="1">
      <c r="J312" s="3"/>
      <c r="N312" s="6"/>
    </row>
    <row r="313" ht="15.75" customHeight="1">
      <c r="J313" s="3"/>
      <c r="N313" s="6"/>
    </row>
    <row r="314" ht="15.75" customHeight="1">
      <c r="J314" s="3"/>
      <c r="N314" s="6"/>
    </row>
    <row r="315" ht="15.75" customHeight="1">
      <c r="J315" s="3"/>
      <c r="N315" s="6"/>
    </row>
    <row r="316" ht="15.75" customHeight="1">
      <c r="J316" s="3"/>
      <c r="N316" s="6"/>
    </row>
    <row r="317" ht="15.75" customHeight="1">
      <c r="J317" s="3"/>
      <c r="N317" s="6"/>
    </row>
    <row r="318" ht="15.75" customHeight="1">
      <c r="J318" s="3"/>
      <c r="N318" s="6"/>
    </row>
    <row r="319" ht="15.75" customHeight="1">
      <c r="J319" s="3"/>
      <c r="N319" s="6"/>
    </row>
    <row r="320" ht="15.75" customHeight="1">
      <c r="J320" s="3"/>
      <c r="N320" s="6"/>
    </row>
    <row r="321" ht="15.75" customHeight="1">
      <c r="J321" s="3"/>
      <c r="N321" s="6"/>
    </row>
    <row r="322" ht="15.75" customHeight="1">
      <c r="J322" s="3"/>
      <c r="N322" s="6"/>
    </row>
    <row r="323" ht="15.75" customHeight="1">
      <c r="J323" s="3"/>
      <c r="N323" s="6"/>
    </row>
    <row r="324" ht="15.75" customHeight="1">
      <c r="J324" s="3"/>
      <c r="N324" s="6"/>
    </row>
    <row r="325" ht="15.75" customHeight="1">
      <c r="J325" s="3"/>
      <c r="N325" s="6"/>
    </row>
    <row r="326" ht="15.75" customHeight="1">
      <c r="J326" s="3"/>
      <c r="N326" s="6"/>
    </row>
    <row r="327" ht="15.75" customHeight="1">
      <c r="J327" s="3"/>
      <c r="N327" s="6"/>
    </row>
    <row r="328" ht="15.75" customHeight="1">
      <c r="J328" s="3"/>
      <c r="N328" s="6"/>
    </row>
    <row r="329" ht="15.75" customHeight="1">
      <c r="J329" s="3"/>
      <c r="N329" s="6"/>
    </row>
    <row r="330" ht="15.75" customHeight="1">
      <c r="J330" s="3"/>
      <c r="N330" s="6"/>
    </row>
    <row r="331" ht="15.75" customHeight="1">
      <c r="J331" s="3"/>
      <c r="N331" s="6"/>
    </row>
    <row r="332" ht="15.75" customHeight="1">
      <c r="J332" s="3"/>
      <c r="N332" s="6"/>
    </row>
    <row r="333" ht="15.75" customHeight="1">
      <c r="J333" s="3"/>
      <c r="N333" s="6"/>
    </row>
    <row r="334" ht="15.75" customHeight="1">
      <c r="J334" s="3"/>
      <c r="N334" s="6"/>
    </row>
    <row r="335" ht="15.75" customHeight="1">
      <c r="J335" s="3"/>
      <c r="N335" s="6"/>
    </row>
    <row r="336" ht="15.75" customHeight="1">
      <c r="J336" s="3"/>
      <c r="N336" s="6"/>
    </row>
    <row r="337" ht="15.75" customHeight="1">
      <c r="J337" s="3"/>
      <c r="N337" s="6"/>
    </row>
    <row r="338" ht="15.75" customHeight="1">
      <c r="J338" s="3"/>
      <c r="N338" s="6"/>
    </row>
    <row r="339" ht="15.75" customHeight="1">
      <c r="J339" s="3"/>
      <c r="N339" s="6"/>
    </row>
    <row r="340" ht="15.75" customHeight="1">
      <c r="J340" s="3"/>
      <c r="N340" s="6"/>
    </row>
    <row r="341" ht="15.75" customHeight="1">
      <c r="J341" s="3"/>
      <c r="N341" s="6"/>
    </row>
    <row r="342" ht="15.75" customHeight="1">
      <c r="J342" s="3"/>
      <c r="N342" s="6"/>
    </row>
    <row r="343" ht="15.75" customHeight="1">
      <c r="J343" s="3"/>
      <c r="N343" s="6"/>
    </row>
    <row r="344" ht="15.75" customHeight="1">
      <c r="J344" s="3"/>
      <c r="N344" s="6"/>
    </row>
    <row r="345" ht="15.75" customHeight="1">
      <c r="J345" s="3"/>
      <c r="N345" s="6"/>
    </row>
    <row r="346" ht="15.75" customHeight="1">
      <c r="J346" s="3"/>
      <c r="N346" s="6"/>
    </row>
    <row r="347" ht="15.75" customHeight="1">
      <c r="J347" s="3"/>
      <c r="N347" s="6"/>
    </row>
    <row r="348" ht="15.75" customHeight="1">
      <c r="J348" s="3"/>
      <c r="N348" s="6"/>
    </row>
    <row r="349" ht="15.75" customHeight="1">
      <c r="J349" s="3"/>
      <c r="N349" s="6"/>
    </row>
    <row r="350" ht="15.75" customHeight="1">
      <c r="J350" s="3"/>
      <c r="N350" s="6"/>
    </row>
    <row r="351" ht="15.75" customHeight="1">
      <c r="J351" s="3"/>
      <c r="N351" s="6"/>
    </row>
    <row r="352" ht="15.75" customHeight="1">
      <c r="J352" s="3"/>
      <c r="N352" s="6"/>
    </row>
    <row r="353" ht="15.75" customHeight="1">
      <c r="J353" s="3"/>
      <c r="N353" s="6"/>
    </row>
    <row r="354" ht="15.75" customHeight="1">
      <c r="J354" s="3"/>
      <c r="N354" s="6"/>
    </row>
    <row r="355" ht="15.75" customHeight="1">
      <c r="J355" s="3"/>
      <c r="N355" s="6"/>
    </row>
    <row r="356" ht="15.75" customHeight="1">
      <c r="J356" s="3"/>
      <c r="N356" s="6"/>
    </row>
    <row r="357" ht="15.75" customHeight="1">
      <c r="J357" s="3"/>
      <c r="N357" s="6"/>
    </row>
    <row r="358" ht="15.75" customHeight="1">
      <c r="J358" s="3"/>
      <c r="N358" s="6"/>
    </row>
    <row r="359" ht="15.75" customHeight="1">
      <c r="J359" s="3"/>
      <c r="N359" s="6"/>
    </row>
    <row r="360" ht="15.75" customHeight="1">
      <c r="J360" s="3"/>
      <c r="N360" s="6"/>
    </row>
    <row r="361" ht="15.75" customHeight="1">
      <c r="J361" s="3"/>
      <c r="N361" s="6"/>
    </row>
    <row r="362" ht="15.75" customHeight="1">
      <c r="J362" s="3"/>
      <c r="N362" s="6"/>
    </row>
    <row r="363" ht="15.75" customHeight="1">
      <c r="J363" s="3"/>
      <c r="N363" s="6"/>
    </row>
    <row r="364" ht="15.75" customHeight="1">
      <c r="J364" s="3"/>
      <c r="N364" s="6"/>
    </row>
    <row r="365" ht="15.75" customHeight="1">
      <c r="J365" s="3"/>
      <c r="N365" s="6"/>
    </row>
    <row r="366" ht="15.75" customHeight="1">
      <c r="J366" s="3"/>
      <c r="N366" s="6"/>
    </row>
    <row r="367" ht="15.75" customHeight="1">
      <c r="J367" s="3"/>
      <c r="N367" s="6"/>
    </row>
    <row r="368" ht="15.75" customHeight="1">
      <c r="J368" s="3"/>
      <c r="N368" s="6"/>
    </row>
    <row r="369" ht="15.75" customHeight="1">
      <c r="J369" s="3"/>
      <c r="N369" s="6"/>
    </row>
    <row r="370" ht="15.75" customHeight="1">
      <c r="J370" s="3"/>
      <c r="N370" s="6"/>
    </row>
    <row r="371" ht="15.75" customHeight="1">
      <c r="J371" s="3"/>
      <c r="N371" s="6"/>
    </row>
    <row r="372" ht="15.75" customHeight="1">
      <c r="J372" s="3"/>
      <c r="N372" s="6"/>
    </row>
    <row r="373" ht="15.75" customHeight="1">
      <c r="J373" s="3"/>
      <c r="N373" s="6"/>
    </row>
    <row r="374" ht="15.75" customHeight="1">
      <c r="J374" s="3"/>
      <c r="N374" s="6"/>
    </row>
    <row r="375" ht="15.75" customHeight="1">
      <c r="J375" s="3"/>
      <c r="N375" s="6"/>
    </row>
    <row r="376" ht="15.75" customHeight="1">
      <c r="J376" s="3"/>
      <c r="N376" s="6"/>
    </row>
    <row r="377" ht="15.75" customHeight="1">
      <c r="J377" s="3"/>
      <c r="N377" s="6"/>
    </row>
    <row r="378" ht="15.75" customHeight="1">
      <c r="J378" s="3"/>
      <c r="N378" s="6"/>
    </row>
    <row r="379" ht="15.75" customHeight="1">
      <c r="J379" s="3"/>
      <c r="N379" s="6"/>
    </row>
    <row r="380" ht="15.75" customHeight="1">
      <c r="J380" s="3"/>
      <c r="N380" s="6"/>
    </row>
    <row r="381" ht="15.75" customHeight="1">
      <c r="J381" s="3"/>
      <c r="N381" s="6"/>
    </row>
    <row r="382" ht="15.75" customHeight="1">
      <c r="J382" s="3"/>
      <c r="N382" s="6"/>
    </row>
    <row r="383" ht="15.75" customHeight="1">
      <c r="J383" s="3"/>
      <c r="N383" s="6"/>
    </row>
    <row r="384" ht="15.75" customHeight="1">
      <c r="J384" s="3"/>
      <c r="N384" s="6"/>
    </row>
    <row r="385" ht="15.75" customHeight="1">
      <c r="J385" s="3"/>
      <c r="N385" s="6"/>
    </row>
    <row r="386" ht="15.75" customHeight="1">
      <c r="J386" s="3"/>
      <c r="N386" s="6"/>
    </row>
    <row r="387" ht="15.75" customHeight="1">
      <c r="J387" s="3"/>
      <c r="N387" s="6"/>
    </row>
    <row r="388" ht="15.75" customHeight="1">
      <c r="J388" s="3"/>
      <c r="N388" s="6"/>
    </row>
    <row r="389" ht="15.75" customHeight="1">
      <c r="J389" s="3"/>
      <c r="N389" s="6"/>
    </row>
    <row r="390" ht="15.75" customHeight="1">
      <c r="J390" s="3"/>
      <c r="N390" s="6"/>
    </row>
    <row r="391" ht="15.75" customHeight="1">
      <c r="J391" s="3"/>
      <c r="N391" s="6"/>
    </row>
    <row r="392" ht="15.75" customHeight="1">
      <c r="J392" s="3"/>
      <c r="N392" s="6"/>
    </row>
    <row r="393" ht="15.75" customHeight="1">
      <c r="J393" s="3"/>
      <c r="N393" s="6"/>
    </row>
    <row r="394" ht="15.75" customHeight="1">
      <c r="J394" s="3"/>
      <c r="N394" s="6"/>
    </row>
    <row r="395" ht="15.75" customHeight="1">
      <c r="J395" s="3"/>
      <c r="N395" s="6"/>
    </row>
    <row r="396" ht="15.75" customHeight="1">
      <c r="J396" s="3"/>
      <c r="N396" s="6"/>
    </row>
    <row r="397" ht="15.75" customHeight="1">
      <c r="J397" s="3"/>
      <c r="N397" s="6"/>
    </row>
    <row r="398" ht="15.75" customHeight="1">
      <c r="J398" s="3"/>
      <c r="N398" s="6"/>
    </row>
    <row r="399" ht="15.75" customHeight="1">
      <c r="J399" s="3"/>
      <c r="N399" s="6"/>
    </row>
    <row r="400" ht="15.75" customHeight="1">
      <c r="J400" s="3"/>
      <c r="N400" s="6"/>
    </row>
    <row r="401" ht="15.75" customHeight="1">
      <c r="J401" s="3"/>
      <c r="N401" s="6"/>
    </row>
    <row r="402" ht="15.75" customHeight="1">
      <c r="J402" s="3"/>
      <c r="N402" s="6"/>
    </row>
    <row r="403" ht="15.75" customHeight="1">
      <c r="J403" s="3"/>
      <c r="N403" s="6"/>
    </row>
    <row r="404" ht="15.75" customHeight="1">
      <c r="J404" s="3"/>
      <c r="N404" s="6"/>
    </row>
    <row r="405" ht="15.75" customHeight="1">
      <c r="J405" s="3"/>
      <c r="N405" s="6"/>
    </row>
    <row r="406" ht="15.75" customHeight="1">
      <c r="J406" s="3"/>
      <c r="N406" s="6"/>
    </row>
    <row r="407" ht="15.75" customHeight="1">
      <c r="J407" s="3"/>
      <c r="N407" s="6"/>
    </row>
    <row r="408" ht="15.75" customHeight="1">
      <c r="J408" s="3"/>
      <c r="N408" s="6"/>
    </row>
    <row r="409" ht="15.75" customHeight="1">
      <c r="J409" s="3"/>
      <c r="N409" s="6"/>
    </row>
    <row r="410" ht="15.75" customHeight="1">
      <c r="J410" s="3"/>
      <c r="N410" s="6"/>
    </row>
    <row r="411" ht="15.75" customHeight="1">
      <c r="J411" s="3"/>
      <c r="N411" s="6"/>
    </row>
    <row r="412" ht="15.75" customHeight="1">
      <c r="J412" s="3"/>
      <c r="N412" s="6"/>
    </row>
    <row r="413" ht="15.75" customHeight="1">
      <c r="J413" s="3"/>
      <c r="N413" s="6"/>
    </row>
    <row r="414" ht="15.75" customHeight="1">
      <c r="J414" s="3"/>
      <c r="N414" s="6"/>
    </row>
    <row r="415" ht="15.75" customHeight="1">
      <c r="J415" s="3"/>
      <c r="N415" s="6"/>
    </row>
    <row r="416" ht="15.75" customHeight="1">
      <c r="J416" s="3"/>
      <c r="N416" s="6"/>
    </row>
    <row r="417" ht="15.75" customHeight="1">
      <c r="J417" s="3"/>
      <c r="N417" s="6"/>
    </row>
    <row r="418" ht="15.75" customHeight="1">
      <c r="J418" s="3"/>
      <c r="N418" s="6"/>
    </row>
    <row r="419" ht="15.75" customHeight="1">
      <c r="J419" s="3"/>
      <c r="N419" s="6"/>
    </row>
    <row r="420" ht="15.75" customHeight="1">
      <c r="J420" s="3"/>
      <c r="N420" s="6"/>
    </row>
    <row r="421" ht="15.75" customHeight="1">
      <c r="J421" s="3"/>
      <c r="N421" s="6"/>
    </row>
    <row r="422" ht="15.75" customHeight="1">
      <c r="J422" s="3"/>
      <c r="N422" s="6"/>
    </row>
    <row r="423" ht="15.75" customHeight="1">
      <c r="J423" s="3"/>
      <c r="N423" s="6"/>
    </row>
    <row r="424" ht="15.75" customHeight="1">
      <c r="J424" s="3"/>
      <c r="N424" s="6"/>
    </row>
    <row r="425" ht="15.75" customHeight="1">
      <c r="J425" s="3"/>
      <c r="N425" s="6"/>
    </row>
    <row r="426" ht="15.75" customHeight="1">
      <c r="J426" s="3"/>
      <c r="N426" s="6"/>
    </row>
    <row r="427" ht="15.75" customHeight="1">
      <c r="J427" s="3"/>
      <c r="N427" s="6"/>
    </row>
    <row r="428" ht="15.75" customHeight="1">
      <c r="J428" s="3"/>
      <c r="N428" s="6"/>
    </row>
    <row r="429" ht="15.75" customHeight="1">
      <c r="J429" s="3"/>
      <c r="N429" s="6"/>
    </row>
    <row r="430" ht="15.75" customHeight="1">
      <c r="J430" s="3"/>
      <c r="N430" s="6"/>
    </row>
    <row r="431" ht="15.75" customHeight="1">
      <c r="J431" s="3"/>
      <c r="N431" s="6"/>
    </row>
    <row r="432" ht="15.75" customHeight="1">
      <c r="J432" s="3"/>
      <c r="N432" s="6"/>
    </row>
    <row r="433" ht="15.75" customHeight="1">
      <c r="J433" s="3"/>
      <c r="N433" s="6"/>
    </row>
    <row r="434" ht="15.75" customHeight="1">
      <c r="J434" s="3"/>
      <c r="N434" s="6"/>
    </row>
    <row r="435" ht="15.75" customHeight="1">
      <c r="J435" s="3"/>
      <c r="N435" s="6"/>
    </row>
    <row r="436" ht="15.75" customHeight="1">
      <c r="J436" s="3"/>
      <c r="N436" s="6"/>
    </row>
    <row r="437" ht="15.75" customHeight="1">
      <c r="J437" s="3"/>
      <c r="N437" s="6"/>
    </row>
    <row r="438" ht="15.75" customHeight="1">
      <c r="J438" s="3"/>
      <c r="N438" s="6"/>
    </row>
    <row r="439" ht="15.75" customHeight="1">
      <c r="J439" s="3"/>
      <c r="N439" s="6"/>
    </row>
    <row r="440" ht="15.75" customHeight="1">
      <c r="J440" s="3"/>
      <c r="N440" s="6"/>
    </row>
    <row r="441" ht="15.75" customHeight="1">
      <c r="J441" s="3"/>
      <c r="N441" s="6"/>
    </row>
    <row r="442" ht="15.75" customHeight="1">
      <c r="J442" s="3"/>
      <c r="N442" s="6"/>
    </row>
    <row r="443" ht="15.75" customHeight="1">
      <c r="J443" s="3"/>
      <c r="N443" s="6"/>
    </row>
    <row r="444" ht="15.75" customHeight="1">
      <c r="J444" s="3"/>
      <c r="N444" s="6"/>
    </row>
    <row r="445" ht="15.75" customHeight="1">
      <c r="J445" s="3"/>
      <c r="N445" s="6"/>
    </row>
    <row r="446" ht="15.75" customHeight="1">
      <c r="J446" s="3"/>
      <c r="N446" s="6"/>
    </row>
    <row r="447" ht="15.75" customHeight="1">
      <c r="J447" s="3"/>
      <c r="N447" s="6"/>
    </row>
    <row r="448" ht="15.75" customHeight="1">
      <c r="J448" s="3"/>
      <c r="N448" s="6"/>
    </row>
    <row r="449" ht="15.75" customHeight="1">
      <c r="J449" s="3"/>
      <c r="N449" s="6"/>
    </row>
    <row r="450" ht="15.75" customHeight="1">
      <c r="J450" s="3"/>
      <c r="N450" s="6"/>
    </row>
    <row r="451" ht="15.75" customHeight="1">
      <c r="J451" s="3"/>
      <c r="N451" s="6"/>
    </row>
    <row r="452" ht="15.75" customHeight="1">
      <c r="J452" s="3"/>
      <c r="N452" s="6"/>
    </row>
    <row r="453" ht="15.75" customHeight="1">
      <c r="J453" s="3"/>
      <c r="N453" s="6"/>
    </row>
    <row r="454" ht="15.75" customHeight="1">
      <c r="J454" s="3"/>
      <c r="N454" s="6"/>
    </row>
    <row r="455" ht="15.75" customHeight="1">
      <c r="J455" s="3"/>
      <c r="N455" s="6"/>
    </row>
    <row r="456" ht="15.75" customHeight="1">
      <c r="J456" s="3"/>
      <c r="N456" s="6"/>
    </row>
    <row r="457" ht="15.75" customHeight="1">
      <c r="J457" s="3"/>
      <c r="N457" s="6"/>
    </row>
    <row r="458" ht="15.75" customHeight="1">
      <c r="J458" s="3"/>
      <c r="N458" s="6"/>
    </row>
    <row r="459" ht="15.75" customHeight="1">
      <c r="J459" s="3"/>
      <c r="N459" s="6"/>
    </row>
    <row r="460" ht="15.75" customHeight="1">
      <c r="J460" s="3"/>
      <c r="N460" s="6"/>
    </row>
    <row r="461" ht="15.75" customHeight="1">
      <c r="J461" s="3"/>
      <c r="N461" s="6"/>
    </row>
    <row r="462" ht="15.75" customHeight="1">
      <c r="J462" s="3"/>
      <c r="N462" s="6"/>
    </row>
    <row r="463" ht="15.75" customHeight="1">
      <c r="J463" s="3"/>
      <c r="N463" s="6"/>
    </row>
    <row r="464" ht="15.75" customHeight="1">
      <c r="J464" s="3"/>
      <c r="N464" s="6"/>
    </row>
    <row r="465" ht="15.75" customHeight="1">
      <c r="J465" s="3"/>
      <c r="N465" s="6"/>
    </row>
    <row r="466" ht="15.75" customHeight="1">
      <c r="J466" s="3"/>
      <c r="N466" s="6"/>
    </row>
    <row r="467" ht="15.75" customHeight="1">
      <c r="J467" s="3"/>
      <c r="N467" s="6"/>
    </row>
    <row r="468" ht="15.75" customHeight="1">
      <c r="J468" s="3"/>
      <c r="N468" s="6"/>
    </row>
    <row r="469" ht="15.75" customHeight="1">
      <c r="J469" s="3"/>
      <c r="N469" s="6"/>
    </row>
    <row r="470" ht="15.75" customHeight="1">
      <c r="J470" s="3"/>
      <c r="N470" s="6"/>
    </row>
    <row r="471" ht="15.75" customHeight="1">
      <c r="J471" s="3"/>
      <c r="N471" s="6"/>
    </row>
    <row r="472" ht="15.75" customHeight="1">
      <c r="J472" s="3"/>
      <c r="N472" s="6"/>
    </row>
    <row r="473" ht="15.75" customHeight="1">
      <c r="J473" s="3"/>
      <c r="N473" s="6"/>
    </row>
    <row r="474" ht="15.75" customHeight="1">
      <c r="J474" s="3"/>
      <c r="N474" s="6"/>
    </row>
    <row r="475" ht="15.75" customHeight="1">
      <c r="J475" s="3"/>
      <c r="N475" s="6"/>
    </row>
    <row r="476" ht="15.75" customHeight="1">
      <c r="J476" s="3"/>
      <c r="N476" s="6"/>
    </row>
    <row r="477" ht="15.75" customHeight="1">
      <c r="J477" s="3"/>
      <c r="N477" s="6"/>
    </row>
    <row r="478" ht="15.75" customHeight="1">
      <c r="J478" s="3"/>
      <c r="N478" s="6"/>
    </row>
    <row r="479" ht="15.75" customHeight="1">
      <c r="J479" s="3"/>
      <c r="N479" s="6"/>
    </row>
    <row r="480" ht="15.75" customHeight="1">
      <c r="J480" s="3"/>
      <c r="N480" s="6"/>
    </row>
    <row r="481" ht="15.75" customHeight="1">
      <c r="J481" s="3"/>
      <c r="N481" s="6"/>
    </row>
    <row r="482" ht="15.75" customHeight="1">
      <c r="J482" s="3"/>
      <c r="N482" s="6"/>
    </row>
    <row r="483" ht="15.75" customHeight="1">
      <c r="J483" s="3"/>
      <c r="N483" s="6"/>
    </row>
    <row r="484" ht="15.75" customHeight="1">
      <c r="J484" s="3"/>
      <c r="N484" s="6"/>
    </row>
    <row r="485" ht="15.75" customHeight="1">
      <c r="J485" s="3"/>
      <c r="N485" s="6"/>
    </row>
    <row r="486" ht="15.75" customHeight="1">
      <c r="J486" s="3"/>
      <c r="N486" s="6"/>
    </row>
    <row r="487" ht="15.75" customHeight="1">
      <c r="J487" s="3"/>
      <c r="N487" s="6"/>
    </row>
    <row r="488" ht="15.75" customHeight="1">
      <c r="J488" s="3"/>
      <c r="N488" s="6"/>
    </row>
    <row r="489" ht="15.75" customHeight="1">
      <c r="J489" s="3"/>
      <c r="N489" s="6"/>
    </row>
    <row r="490" ht="15.75" customHeight="1">
      <c r="J490" s="3"/>
      <c r="N490" s="6"/>
    </row>
    <row r="491" ht="15.75" customHeight="1">
      <c r="J491" s="3"/>
      <c r="N491" s="6"/>
    </row>
    <row r="492" ht="15.75" customHeight="1">
      <c r="J492" s="3"/>
      <c r="N492" s="6"/>
    </row>
    <row r="493" ht="15.75" customHeight="1">
      <c r="J493" s="3"/>
      <c r="N493" s="6"/>
    </row>
    <row r="494" ht="15.75" customHeight="1">
      <c r="J494" s="3"/>
      <c r="N494" s="6"/>
    </row>
    <row r="495" ht="15.75" customHeight="1">
      <c r="J495" s="3"/>
      <c r="N495" s="6"/>
    </row>
    <row r="496" ht="15.75" customHeight="1">
      <c r="J496" s="3"/>
      <c r="N496" s="6"/>
    </row>
    <row r="497" ht="15.75" customHeight="1">
      <c r="J497" s="3"/>
      <c r="N497" s="6"/>
    </row>
    <row r="498" ht="15.75" customHeight="1">
      <c r="J498" s="3"/>
      <c r="N498" s="6"/>
    </row>
    <row r="499" ht="15.75" customHeight="1">
      <c r="J499" s="3"/>
      <c r="N499" s="6"/>
    </row>
    <row r="500" ht="15.75" customHeight="1">
      <c r="J500" s="3"/>
      <c r="N500" s="6"/>
    </row>
    <row r="501" ht="15.75" customHeight="1">
      <c r="J501" s="3"/>
      <c r="N501" s="6"/>
    </row>
    <row r="502" ht="15.75" customHeight="1">
      <c r="J502" s="3"/>
      <c r="N502" s="6"/>
    </row>
    <row r="503" ht="15.75" customHeight="1">
      <c r="J503" s="3"/>
      <c r="N503" s="6"/>
    </row>
    <row r="504" ht="15.75" customHeight="1">
      <c r="J504" s="3"/>
      <c r="N504" s="6"/>
    </row>
    <row r="505" ht="15.75" customHeight="1">
      <c r="J505" s="3"/>
      <c r="N505" s="6"/>
    </row>
    <row r="506" ht="15.75" customHeight="1">
      <c r="J506" s="3"/>
      <c r="N506" s="6"/>
    </row>
    <row r="507" ht="15.75" customHeight="1">
      <c r="J507" s="3"/>
      <c r="N507" s="6"/>
    </row>
    <row r="508" ht="15.75" customHeight="1">
      <c r="J508" s="3"/>
      <c r="N508" s="6"/>
    </row>
    <row r="509" ht="15.75" customHeight="1">
      <c r="J509" s="3"/>
      <c r="N509" s="6"/>
    </row>
    <row r="510" ht="15.75" customHeight="1">
      <c r="J510" s="3"/>
      <c r="N510" s="6"/>
    </row>
    <row r="511" ht="15.75" customHeight="1">
      <c r="J511" s="3"/>
      <c r="N511" s="6"/>
    </row>
    <row r="512" ht="15.75" customHeight="1">
      <c r="J512" s="3"/>
      <c r="N512" s="6"/>
    </row>
    <row r="513" ht="15.75" customHeight="1">
      <c r="J513" s="3"/>
      <c r="N513" s="6"/>
    </row>
    <row r="514" ht="15.75" customHeight="1">
      <c r="J514" s="3"/>
      <c r="N514" s="6"/>
    </row>
    <row r="515" ht="15.75" customHeight="1">
      <c r="J515" s="3"/>
      <c r="N515" s="6"/>
    </row>
    <row r="516" ht="15.75" customHeight="1">
      <c r="J516" s="3"/>
      <c r="N516" s="6"/>
    </row>
    <row r="517" ht="15.75" customHeight="1">
      <c r="J517" s="3"/>
      <c r="N517" s="6"/>
    </row>
    <row r="518" ht="15.75" customHeight="1">
      <c r="J518" s="3"/>
      <c r="N518" s="6"/>
    </row>
    <row r="519" ht="15.75" customHeight="1">
      <c r="J519" s="3"/>
      <c r="N519" s="6"/>
    </row>
    <row r="520" ht="15.75" customHeight="1">
      <c r="J520" s="3"/>
      <c r="N520" s="6"/>
    </row>
    <row r="521" ht="15.75" customHeight="1">
      <c r="J521" s="3"/>
      <c r="N521" s="6"/>
    </row>
    <row r="522" ht="15.75" customHeight="1">
      <c r="J522" s="3"/>
      <c r="N522" s="6"/>
    </row>
    <row r="523" ht="15.75" customHeight="1">
      <c r="J523" s="3"/>
      <c r="N523" s="6"/>
    </row>
    <row r="524" ht="15.75" customHeight="1">
      <c r="J524" s="3"/>
      <c r="N524" s="6"/>
    </row>
    <row r="525" ht="15.75" customHeight="1">
      <c r="J525" s="3"/>
      <c r="N525" s="6"/>
    </row>
    <row r="526" ht="15.75" customHeight="1">
      <c r="J526" s="3"/>
      <c r="N526" s="6"/>
    </row>
    <row r="527" ht="15.75" customHeight="1">
      <c r="J527" s="3"/>
      <c r="N527" s="6"/>
    </row>
    <row r="528" ht="15.75" customHeight="1">
      <c r="J528" s="3"/>
      <c r="N528" s="6"/>
    </row>
    <row r="529" ht="15.75" customHeight="1">
      <c r="J529" s="3"/>
      <c r="N529" s="6"/>
    </row>
    <row r="530" ht="15.75" customHeight="1">
      <c r="J530" s="3"/>
      <c r="N530" s="6"/>
    </row>
    <row r="531" ht="15.75" customHeight="1">
      <c r="J531" s="3"/>
      <c r="N531" s="6"/>
    </row>
    <row r="532" ht="15.75" customHeight="1">
      <c r="J532" s="3"/>
      <c r="N532" s="6"/>
    </row>
    <row r="533" ht="15.75" customHeight="1">
      <c r="J533" s="3"/>
      <c r="N533" s="6"/>
    </row>
    <row r="534" ht="15.75" customHeight="1">
      <c r="J534" s="3"/>
      <c r="N534" s="6"/>
    </row>
    <row r="535" ht="15.75" customHeight="1">
      <c r="J535" s="3"/>
      <c r="N535" s="6"/>
    </row>
    <row r="536" ht="15.75" customHeight="1">
      <c r="J536" s="3"/>
      <c r="N536" s="6"/>
    </row>
    <row r="537" ht="15.75" customHeight="1">
      <c r="J537" s="3"/>
      <c r="N537" s="6"/>
    </row>
    <row r="538" ht="15.75" customHeight="1">
      <c r="J538" s="3"/>
      <c r="N538" s="6"/>
    </row>
    <row r="539" ht="15.75" customHeight="1">
      <c r="J539" s="3"/>
      <c r="N539" s="6"/>
    </row>
    <row r="540" ht="15.75" customHeight="1">
      <c r="J540" s="3"/>
      <c r="N540" s="6"/>
    </row>
    <row r="541" ht="15.75" customHeight="1">
      <c r="J541" s="3"/>
      <c r="N541" s="6"/>
    </row>
    <row r="542" ht="15.75" customHeight="1">
      <c r="J542" s="3"/>
      <c r="N542" s="6"/>
    </row>
    <row r="543" ht="15.75" customHeight="1">
      <c r="J543" s="3"/>
      <c r="N543" s="6"/>
    </row>
    <row r="544" ht="15.75" customHeight="1">
      <c r="J544" s="3"/>
      <c r="N544" s="6"/>
    </row>
    <row r="545" ht="15.75" customHeight="1">
      <c r="J545" s="3"/>
      <c r="N545" s="6"/>
    </row>
    <row r="546" ht="15.75" customHeight="1">
      <c r="J546" s="3"/>
      <c r="N546" s="6"/>
    </row>
    <row r="547" ht="15.75" customHeight="1">
      <c r="J547" s="3"/>
      <c r="N547" s="6"/>
    </row>
    <row r="548" ht="15.75" customHeight="1">
      <c r="J548" s="3"/>
      <c r="N548" s="6"/>
    </row>
    <row r="549" ht="15.75" customHeight="1">
      <c r="J549" s="3"/>
      <c r="N549" s="6"/>
    </row>
    <row r="550" ht="15.75" customHeight="1">
      <c r="J550" s="3"/>
      <c r="N550" s="6"/>
    </row>
    <row r="551" ht="15.75" customHeight="1">
      <c r="J551" s="3"/>
      <c r="N551" s="6"/>
    </row>
    <row r="552" ht="15.75" customHeight="1">
      <c r="J552" s="3"/>
      <c r="N552" s="6"/>
    </row>
    <row r="553" ht="15.75" customHeight="1">
      <c r="J553" s="3"/>
      <c r="N553" s="6"/>
    </row>
    <row r="554" ht="15.75" customHeight="1">
      <c r="J554" s="3"/>
      <c r="N554" s="6"/>
    </row>
    <row r="555" ht="15.75" customHeight="1">
      <c r="J555" s="3"/>
      <c r="N555" s="6"/>
    </row>
    <row r="556" ht="15.75" customHeight="1">
      <c r="J556" s="3"/>
      <c r="N556" s="6"/>
    </row>
    <row r="557" ht="15.75" customHeight="1">
      <c r="J557" s="3"/>
      <c r="N557" s="6"/>
    </row>
    <row r="558" ht="15.75" customHeight="1">
      <c r="J558" s="3"/>
      <c r="N558" s="6"/>
    </row>
    <row r="559" ht="15.75" customHeight="1">
      <c r="J559" s="3"/>
      <c r="N559" s="6"/>
    </row>
    <row r="560" ht="15.75" customHeight="1">
      <c r="J560" s="3"/>
      <c r="N560" s="6"/>
    </row>
    <row r="561" ht="15.75" customHeight="1">
      <c r="J561" s="3"/>
      <c r="N561" s="6"/>
    </row>
    <row r="562" ht="15.75" customHeight="1">
      <c r="J562" s="3"/>
      <c r="N562" s="6"/>
    </row>
    <row r="563" ht="15.75" customHeight="1">
      <c r="J563" s="3"/>
      <c r="N563" s="6"/>
    </row>
    <row r="564" ht="15.75" customHeight="1">
      <c r="J564" s="3"/>
      <c r="N564" s="6"/>
    </row>
    <row r="565" ht="15.75" customHeight="1">
      <c r="J565" s="3"/>
      <c r="N565" s="6"/>
    </row>
    <row r="566" ht="15.75" customHeight="1">
      <c r="J566" s="3"/>
      <c r="N566" s="6"/>
    </row>
    <row r="567" ht="15.75" customHeight="1">
      <c r="J567" s="3"/>
      <c r="N567" s="6"/>
    </row>
    <row r="568" ht="15.75" customHeight="1">
      <c r="J568" s="3"/>
      <c r="N568" s="6"/>
    </row>
    <row r="569" ht="15.75" customHeight="1">
      <c r="J569" s="3"/>
      <c r="N569" s="6"/>
    </row>
    <row r="570" ht="15.75" customHeight="1">
      <c r="J570" s="3"/>
      <c r="N570" s="6"/>
    </row>
    <row r="571" ht="15.75" customHeight="1">
      <c r="J571" s="3"/>
      <c r="N571" s="6"/>
    </row>
    <row r="572" ht="15.75" customHeight="1">
      <c r="J572" s="3"/>
      <c r="N572" s="6"/>
    </row>
    <row r="573" ht="15.75" customHeight="1">
      <c r="J573" s="3"/>
      <c r="N573" s="6"/>
    </row>
    <row r="574" ht="15.75" customHeight="1">
      <c r="J574" s="3"/>
      <c r="N574" s="6"/>
    </row>
    <row r="575" ht="15.75" customHeight="1">
      <c r="J575" s="3"/>
      <c r="N575" s="6"/>
    </row>
    <row r="576" ht="15.75" customHeight="1">
      <c r="J576" s="3"/>
      <c r="N576" s="6"/>
    </row>
    <row r="577" ht="15.75" customHeight="1">
      <c r="J577" s="3"/>
      <c r="N577" s="6"/>
    </row>
    <row r="578" ht="15.75" customHeight="1">
      <c r="J578" s="3"/>
      <c r="N578" s="6"/>
    </row>
    <row r="579" ht="15.75" customHeight="1">
      <c r="J579" s="3"/>
      <c r="N579" s="6"/>
    </row>
    <row r="580" ht="15.75" customHeight="1">
      <c r="J580" s="3"/>
      <c r="N580" s="6"/>
    </row>
    <row r="581" ht="15.75" customHeight="1">
      <c r="J581" s="3"/>
      <c r="N581" s="6"/>
    </row>
    <row r="582" ht="15.75" customHeight="1">
      <c r="J582" s="3"/>
      <c r="N582" s="6"/>
    </row>
    <row r="583" ht="15.75" customHeight="1">
      <c r="J583" s="3"/>
      <c r="N583" s="6"/>
    </row>
    <row r="584" ht="15.75" customHeight="1">
      <c r="J584" s="3"/>
      <c r="N584" s="6"/>
    </row>
    <row r="585" ht="15.75" customHeight="1">
      <c r="J585" s="3"/>
      <c r="N585" s="6"/>
    </row>
    <row r="586" ht="15.75" customHeight="1">
      <c r="J586" s="3"/>
      <c r="N586" s="6"/>
    </row>
    <row r="587" ht="15.75" customHeight="1">
      <c r="J587" s="3"/>
      <c r="N587" s="6"/>
    </row>
    <row r="588" ht="15.75" customHeight="1">
      <c r="J588" s="3"/>
      <c r="N588" s="6"/>
    </row>
    <row r="589" ht="15.75" customHeight="1">
      <c r="J589" s="3"/>
      <c r="N589" s="6"/>
    </row>
    <row r="590" ht="15.75" customHeight="1">
      <c r="J590" s="3"/>
      <c r="N590" s="6"/>
    </row>
    <row r="591" ht="15.75" customHeight="1">
      <c r="J591" s="3"/>
      <c r="N591" s="6"/>
    </row>
    <row r="592" ht="15.75" customHeight="1">
      <c r="J592" s="3"/>
      <c r="N592" s="6"/>
    </row>
    <row r="593" ht="15.75" customHeight="1">
      <c r="J593" s="3"/>
      <c r="N593" s="6"/>
    </row>
    <row r="594" ht="15.75" customHeight="1">
      <c r="J594" s="3"/>
      <c r="N594" s="6"/>
    </row>
    <row r="595" ht="15.75" customHeight="1">
      <c r="J595" s="3"/>
      <c r="N595" s="6"/>
    </row>
    <row r="596" ht="15.75" customHeight="1">
      <c r="J596" s="3"/>
      <c r="N596" s="6"/>
    </row>
    <row r="597" ht="15.75" customHeight="1">
      <c r="J597" s="3"/>
      <c r="N597" s="6"/>
    </row>
    <row r="598" ht="15.75" customHeight="1">
      <c r="J598" s="3"/>
      <c r="N598" s="6"/>
    </row>
    <row r="599" ht="15.75" customHeight="1">
      <c r="J599" s="3"/>
      <c r="N599" s="6"/>
    </row>
    <row r="600" ht="15.75" customHeight="1">
      <c r="J600" s="3"/>
      <c r="N600" s="6"/>
    </row>
    <row r="601" ht="15.75" customHeight="1">
      <c r="J601" s="3"/>
      <c r="N601" s="6"/>
    </row>
    <row r="602" ht="15.75" customHeight="1">
      <c r="J602" s="3"/>
      <c r="N602" s="6"/>
    </row>
    <row r="603" ht="15.75" customHeight="1">
      <c r="J603" s="3"/>
      <c r="N603" s="6"/>
    </row>
    <row r="604" ht="15.75" customHeight="1">
      <c r="J604" s="3"/>
      <c r="N604" s="6"/>
    </row>
    <row r="605" ht="15.75" customHeight="1">
      <c r="J605" s="3"/>
      <c r="N605" s="6"/>
    </row>
    <row r="606" ht="15.75" customHeight="1">
      <c r="J606" s="3"/>
      <c r="N606" s="6"/>
    </row>
    <row r="607" ht="15.75" customHeight="1">
      <c r="J607" s="3"/>
      <c r="N607" s="6"/>
    </row>
    <row r="608" ht="15.75" customHeight="1">
      <c r="J608" s="3"/>
      <c r="N608" s="6"/>
    </row>
    <row r="609" ht="15.75" customHeight="1">
      <c r="J609" s="3"/>
      <c r="N609" s="6"/>
    </row>
    <row r="610" ht="15.75" customHeight="1">
      <c r="J610" s="3"/>
      <c r="N610" s="6"/>
    </row>
    <row r="611" ht="15.75" customHeight="1">
      <c r="J611" s="3"/>
      <c r="N611" s="6"/>
    </row>
    <row r="612" ht="15.75" customHeight="1">
      <c r="J612" s="3"/>
      <c r="N612" s="6"/>
    </row>
    <row r="613" ht="15.75" customHeight="1">
      <c r="J613" s="3"/>
      <c r="N613" s="6"/>
    </row>
    <row r="614" ht="15.75" customHeight="1">
      <c r="J614" s="3"/>
      <c r="N614" s="6"/>
    </row>
    <row r="615" ht="15.75" customHeight="1">
      <c r="J615" s="3"/>
      <c r="N615" s="6"/>
    </row>
    <row r="616" ht="15.75" customHeight="1">
      <c r="J616" s="3"/>
      <c r="N616" s="6"/>
    </row>
    <row r="617" ht="15.75" customHeight="1">
      <c r="J617" s="3"/>
      <c r="N617" s="6"/>
    </row>
    <row r="618" ht="15.75" customHeight="1">
      <c r="J618" s="3"/>
      <c r="N618" s="6"/>
    </row>
    <row r="619" ht="15.75" customHeight="1">
      <c r="J619" s="3"/>
      <c r="N619" s="6"/>
    </row>
    <row r="620" ht="15.75" customHeight="1">
      <c r="J620" s="3"/>
      <c r="N620" s="6"/>
    </row>
    <row r="621" ht="15.75" customHeight="1">
      <c r="J621" s="3"/>
      <c r="N621" s="6"/>
    </row>
    <row r="622" ht="15.75" customHeight="1">
      <c r="J622" s="3"/>
      <c r="N622" s="6"/>
    </row>
    <row r="623" ht="15.75" customHeight="1">
      <c r="J623" s="3"/>
      <c r="N623" s="6"/>
    </row>
    <row r="624" ht="15.75" customHeight="1">
      <c r="J624" s="3"/>
      <c r="N624" s="6"/>
    </row>
    <row r="625" ht="15.75" customHeight="1">
      <c r="J625" s="3"/>
      <c r="N625" s="6"/>
    </row>
    <row r="626" ht="15.75" customHeight="1">
      <c r="J626" s="3"/>
      <c r="N626" s="6"/>
    </row>
    <row r="627" ht="15.75" customHeight="1">
      <c r="J627" s="3"/>
      <c r="N627" s="6"/>
    </row>
    <row r="628" ht="15.75" customHeight="1">
      <c r="J628" s="3"/>
      <c r="N628" s="6"/>
    </row>
    <row r="629" ht="15.75" customHeight="1">
      <c r="J629" s="3"/>
      <c r="N629" s="6"/>
    </row>
    <row r="630" ht="15.75" customHeight="1">
      <c r="J630" s="3"/>
      <c r="N630" s="6"/>
    </row>
    <row r="631" ht="15.75" customHeight="1">
      <c r="J631" s="3"/>
      <c r="N631" s="6"/>
    </row>
    <row r="632" ht="15.75" customHeight="1">
      <c r="J632" s="3"/>
      <c r="N632" s="6"/>
    </row>
    <row r="633" ht="15.75" customHeight="1">
      <c r="J633" s="3"/>
      <c r="N633" s="6"/>
    </row>
    <row r="634" ht="15.75" customHeight="1">
      <c r="J634" s="3"/>
      <c r="N634" s="6"/>
    </row>
    <row r="635" ht="15.75" customHeight="1">
      <c r="J635" s="3"/>
      <c r="N635" s="6"/>
    </row>
    <row r="636" ht="15.75" customHeight="1">
      <c r="J636" s="3"/>
      <c r="N636" s="6"/>
    </row>
    <row r="637" ht="15.75" customHeight="1">
      <c r="J637" s="3"/>
      <c r="N637" s="6"/>
    </row>
    <row r="638" ht="15.75" customHeight="1">
      <c r="J638" s="3"/>
      <c r="N638" s="6"/>
    </row>
    <row r="639" ht="15.75" customHeight="1">
      <c r="J639" s="3"/>
      <c r="N639" s="6"/>
    </row>
    <row r="640" ht="15.75" customHeight="1">
      <c r="J640" s="3"/>
      <c r="N640" s="6"/>
    </row>
    <row r="641" ht="15.75" customHeight="1">
      <c r="J641" s="3"/>
      <c r="N641" s="6"/>
    </row>
    <row r="642" ht="15.75" customHeight="1">
      <c r="J642" s="3"/>
      <c r="N642" s="6"/>
    </row>
    <row r="643" ht="15.75" customHeight="1">
      <c r="J643" s="3"/>
      <c r="N643" s="6"/>
    </row>
    <row r="644" ht="15.75" customHeight="1">
      <c r="J644" s="3"/>
      <c r="N644" s="6"/>
    </row>
    <row r="645" ht="15.75" customHeight="1">
      <c r="J645" s="3"/>
      <c r="N645" s="6"/>
    </row>
    <row r="646" ht="15.75" customHeight="1">
      <c r="J646" s="3"/>
      <c r="N646" s="6"/>
    </row>
    <row r="647" ht="15.75" customHeight="1">
      <c r="J647" s="3"/>
      <c r="N647" s="6"/>
    </row>
    <row r="648" ht="15.75" customHeight="1">
      <c r="J648" s="3"/>
      <c r="N648" s="6"/>
    </row>
    <row r="649" ht="15.75" customHeight="1">
      <c r="J649" s="3"/>
      <c r="N649" s="6"/>
    </row>
    <row r="650" ht="15.75" customHeight="1">
      <c r="J650" s="3"/>
      <c r="N650" s="6"/>
    </row>
    <row r="651" ht="15.75" customHeight="1">
      <c r="J651" s="3"/>
      <c r="N651" s="6"/>
    </row>
    <row r="652" ht="15.75" customHeight="1">
      <c r="J652" s="3"/>
      <c r="N652" s="6"/>
    </row>
    <row r="653" ht="15.75" customHeight="1">
      <c r="J653" s="3"/>
      <c r="N653" s="6"/>
    </row>
    <row r="654" ht="15.75" customHeight="1">
      <c r="J654" s="3"/>
      <c r="N654" s="6"/>
    </row>
    <row r="655" ht="15.75" customHeight="1">
      <c r="J655" s="3"/>
      <c r="N655" s="6"/>
    </row>
    <row r="656" ht="15.75" customHeight="1">
      <c r="J656" s="3"/>
      <c r="N656" s="6"/>
    </row>
    <row r="657" ht="15.75" customHeight="1">
      <c r="J657" s="3"/>
      <c r="N657" s="6"/>
    </row>
    <row r="658" ht="15.75" customHeight="1">
      <c r="J658" s="3"/>
      <c r="N658" s="6"/>
    </row>
    <row r="659" ht="15.75" customHeight="1">
      <c r="J659" s="3"/>
      <c r="N659" s="6"/>
    </row>
    <row r="660" ht="15.75" customHeight="1">
      <c r="J660" s="3"/>
      <c r="N660" s="6"/>
    </row>
    <row r="661" ht="15.75" customHeight="1">
      <c r="J661" s="3"/>
      <c r="N661" s="6"/>
    </row>
    <row r="662" ht="15.75" customHeight="1">
      <c r="J662" s="3"/>
      <c r="N662" s="6"/>
    </row>
    <row r="663" ht="15.75" customHeight="1">
      <c r="J663" s="3"/>
      <c r="N663" s="6"/>
    </row>
    <row r="664" ht="15.75" customHeight="1">
      <c r="J664" s="3"/>
      <c r="N664" s="6"/>
    </row>
    <row r="665" ht="15.75" customHeight="1">
      <c r="J665" s="3"/>
      <c r="N665" s="6"/>
    </row>
    <row r="666" ht="15.75" customHeight="1">
      <c r="J666" s="3"/>
      <c r="N666" s="6"/>
    </row>
    <row r="667" ht="15.75" customHeight="1">
      <c r="J667" s="3"/>
      <c r="N667" s="6"/>
    </row>
    <row r="668" ht="15.75" customHeight="1">
      <c r="J668" s="3"/>
      <c r="N668" s="6"/>
    </row>
    <row r="669" ht="15.75" customHeight="1">
      <c r="J669" s="3"/>
      <c r="N669" s="6"/>
    </row>
    <row r="670" ht="15.75" customHeight="1">
      <c r="J670" s="3"/>
      <c r="N670" s="6"/>
    </row>
    <row r="671" ht="15.75" customHeight="1">
      <c r="J671" s="3"/>
      <c r="N671" s="6"/>
    </row>
    <row r="672" ht="15.75" customHeight="1">
      <c r="J672" s="3"/>
      <c r="N672" s="6"/>
    </row>
    <row r="673" ht="15.75" customHeight="1">
      <c r="J673" s="3"/>
      <c r="N673" s="6"/>
    </row>
    <row r="674" ht="15.75" customHeight="1">
      <c r="J674" s="3"/>
      <c r="N674" s="6"/>
    </row>
    <row r="675" ht="15.75" customHeight="1">
      <c r="J675" s="3"/>
      <c r="N675" s="6"/>
    </row>
    <row r="676" ht="15.75" customHeight="1">
      <c r="J676" s="3"/>
      <c r="N676" s="6"/>
    </row>
    <row r="677" ht="15.75" customHeight="1">
      <c r="J677" s="3"/>
      <c r="N677" s="6"/>
    </row>
    <row r="678" ht="15.75" customHeight="1">
      <c r="J678" s="3"/>
      <c r="N678" s="6"/>
    </row>
    <row r="679" ht="15.75" customHeight="1">
      <c r="J679" s="3"/>
      <c r="N679" s="6"/>
    </row>
    <row r="680" ht="15.75" customHeight="1">
      <c r="J680" s="3"/>
      <c r="N680" s="6"/>
    </row>
    <row r="681" ht="15.75" customHeight="1">
      <c r="J681" s="3"/>
      <c r="N681" s="6"/>
    </row>
    <row r="682" ht="15.75" customHeight="1">
      <c r="J682" s="3"/>
      <c r="N682" s="6"/>
    </row>
    <row r="683" ht="15.75" customHeight="1">
      <c r="J683" s="3"/>
      <c r="N683" s="6"/>
    </row>
    <row r="684" ht="15.75" customHeight="1">
      <c r="J684" s="3"/>
      <c r="N684" s="6"/>
    </row>
    <row r="685" ht="15.75" customHeight="1">
      <c r="J685" s="3"/>
      <c r="N685" s="6"/>
    </row>
    <row r="686" ht="15.75" customHeight="1">
      <c r="J686" s="3"/>
      <c r="N686" s="6"/>
    </row>
    <row r="687" ht="15.75" customHeight="1">
      <c r="J687" s="3"/>
      <c r="N687" s="6"/>
    </row>
    <row r="688" ht="15.75" customHeight="1">
      <c r="J688" s="3"/>
      <c r="N688" s="6"/>
    </row>
    <row r="689" ht="15.75" customHeight="1">
      <c r="J689" s="3"/>
      <c r="N689" s="6"/>
    </row>
    <row r="690" ht="15.75" customHeight="1">
      <c r="J690" s="3"/>
      <c r="N690" s="6"/>
    </row>
    <row r="691" ht="15.75" customHeight="1">
      <c r="J691" s="3"/>
      <c r="N691" s="6"/>
    </row>
    <row r="692" ht="15.75" customHeight="1">
      <c r="J692" s="3"/>
      <c r="N692" s="6"/>
    </row>
    <row r="693" ht="15.75" customHeight="1">
      <c r="J693" s="3"/>
      <c r="N693" s="6"/>
    </row>
    <row r="694" ht="15.75" customHeight="1">
      <c r="J694" s="3"/>
      <c r="N694" s="6"/>
    </row>
    <row r="695" ht="15.75" customHeight="1">
      <c r="J695" s="3"/>
      <c r="N695" s="6"/>
    </row>
    <row r="696" ht="15.75" customHeight="1">
      <c r="J696" s="3"/>
      <c r="N696" s="6"/>
    </row>
    <row r="697" ht="15.75" customHeight="1">
      <c r="J697" s="3"/>
      <c r="N697" s="6"/>
    </row>
    <row r="698" ht="15.75" customHeight="1">
      <c r="J698" s="3"/>
      <c r="N698" s="6"/>
    </row>
    <row r="699" ht="15.75" customHeight="1">
      <c r="J699" s="3"/>
      <c r="N699" s="6"/>
    </row>
    <row r="700" ht="15.75" customHeight="1">
      <c r="J700" s="3"/>
      <c r="N700" s="6"/>
    </row>
    <row r="701" ht="15.75" customHeight="1">
      <c r="J701" s="3"/>
      <c r="N701" s="6"/>
    </row>
    <row r="702" ht="15.75" customHeight="1">
      <c r="J702" s="3"/>
      <c r="N702" s="6"/>
    </row>
    <row r="703" ht="15.75" customHeight="1">
      <c r="J703" s="3"/>
      <c r="N703" s="6"/>
    </row>
    <row r="704" ht="15.75" customHeight="1">
      <c r="J704" s="3"/>
      <c r="N704" s="6"/>
    </row>
    <row r="705" ht="15.75" customHeight="1">
      <c r="J705" s="3"/>
      <c r="N705" s="6"/>
    </row>
    <row r="706" ht="15.75" customHeight="1">
      <c r="J706" s="3"/>
      <c r="N706" s="6"/>
    </row>
    <row r="707" ht="15.75" customHeight="1">
      <c r="J707" s="3"/>
      <c r="N707" s="6"/>
    </row>
    <row r="708" ht="15.75" customHeight="1">
      <c r="J708" s="3"/>
      <c r="N708" s="6"/>
    </row>
    <row r="709" ht="15.75" customHeight="1">
      <c r="J709" s="3"/>
      <c r="N709" s="6"/>
    </row>
    <row r="710" ht="15.75" customHeight="1">
      <c r="J710" s="3"/>
      <c r="N710" s="6"/>
    </row>
    <row r="711" ht="15.75" customHeight="1">
      <c r="J711" s="3"/>
      <c r="N711" s="6"/>
    </row>
    <row r="712" ht="15.75" customHeight="1">
      <c r="J712" s="3"/>
      <c r="N712" s="6"/>
    </row>
    <row r="713" ht="15.75" customHeight="1">
      <c r="J713" s="3"/>
      <c r="N713" s="6"/>
    </row>
    <row r="714" ht="15.75" customHeight="1">
      <c r="J714" s="3"/>
      <c r="N714" s="6"/>
    </row>
    <row r="715" ht="15.75" customHeight="1">
      <c r="J715" s="3"/>
      <c r="N715" s="6"/>
    </row>
    <row r="716" ht="15.75" customHeight="1">
      <c r="J716" s="3"/>
      <c r="N716" s="6"/>
    </row>
    <row r="717" ht="15.75" customHeight="1">
      <c r="J717" s="3"/>
      <c r="N717" s="6"/>
    </row>
    <row r="718" ht="15.75" customHeight="1">
      <c r="J718" s="3"/>
      <c r="N718" s="6"/>
    </row>
    <row r="719" ht="15.75" customHeight="1">
      <c r="J719" s="3"/>
      <c r="N719" s="6"/>
    </row>
    <row r="720" ht="15.75" customHeight="1">
      <c r="J720" s="3"/>
      <c r="N720" s="6"/>
    </row>
    <row r="721" ht="15.75" customHeight="1">
      <c r="J721" s="3"/>
      <c r="N721" s="6"/>
    </row>
    <row r="722" ht="15.75" customHeight="1">
      <c r="J722" s="3"/>
      <c r="N722" s="6"/>
    </row>
    <row r="723" ht="15.75" customHeight="1">
      <c r="J723" s="3"/>
      <c r="N723" s="6"/>
    </row>
    <row r="724" ht="15.75" customHeight="1">
      <c r="J724" s="3"/>
      <c r="N724" s="6"/>
    </row>
    <row r="725" ht="15.75" customHeight="1">
      <c r="J725" s="3"/>
      <c r="N725" s="6"/>
    </row>
    <row r="726" ht="15.75" customHeight="1">
      <c r="J726" s="3"/>
      <c r="N726" s="6"/>
    </row>
    <row r="727" ht="15.75" customHeight="1">
      <c r="J727" s="3"/>
      <c r="N727" s="6"/>
    </row>
    <row r="728" ht="15.75" customHeight="1">
      <c r="J728" s="3"/>
      <c r="N728" s="6"/>
    </row>
    <row r="729" ht="15.75" customHeight="1">
      <c r="J729" s="3"/>
      <c r="N729" s="6"/>
    </row>
    <row r="730" ht="15.75" customHeight="1">
      <c r="J730" s="3"/>
      <c r="N730" s="6"/>
    </row>
    <row r="731" ht="15.75" customHeight="1">
      <c r="J731" s="3"/>
      <c r="N731" s="6"/>
    </row>
    <row r="732" ht="15.75" customHeight="1">
      <c r="J732" s="3"/>
      <c r="N732" s="6"/>
    </row>
    <row r="733" ht="15.75" customHeight="1">
      <c r="J733" s="3"/>
      <c r="N733" s="6"/>
    </row>
    <row r="734" ht="15.75" customHeight="1">
      <c r="J734" s="3"/>
      <c r="N734" s="6"/>
    </row>
    <row r="735" ht="15.75" customHeight="1">
      <c r="J735" s="3"/>
      <c r="N735" s="6"/>
    </row>
    <row r="736" ht="15.75" customHeight="1">
      <c r="J736" s="3"/>
      <c r="N736" s="6"/>
    </row>
    <row r="737" ht="15.75" customHeight="1">
      <c r="J737" s="3"/>
      <c r="N737" s="6"/>
    </row>
    <row r="738" ht="15.75" customHeight="1">
      <c r="J738" s="3"/>
      <c r="N738" s="6"/>
    </row>
    <row r="739" ht="15.75" customHeight="1">
      <c r="J739" s="3"/>
      <c r="N739" s="6"/>
    </row>
    <row r="740" ht="15.75" customHeight="1">
      <c r="J740" s="3"/>
      <c r="N740" s="6"/>
    </row>
    <row r="741" ht="15.75" customHeight="1">
      <c r="J741" s="3"/>
      <c r="N741" s="6"/>
    </row>
    <row r="742" ht="15.75" customHeight="1">
      <c r="J742" s="3"/>
      <c r="N742" s="6"/>
    </row>
    <row r="743" ht="15.75" customHeight="1">
      <c r="J743" s="3"/>
      <c r="N743" s="6"/>
    </row>
    <row r="744" ht="15.75" customHeight="1">
      <c r="J744" s="3"/>
      <c r="N744" s="6"/>
    </row>
    <row r="745" ht="15.75" customHeight="1">
      <c r="J745" s="3"/>
      <c r="N745" s="6"/>
    </row>
    <row r="746" ht="15.75" customHeight="1">
      <c r="J746" s="3"/>
      <c r="N746" s="6"/>
    </row>
    <row r="747" ht="15.75" customHeight="1">
      <c r="J747" s="3"/>
      <c r="N747" s="6"/>
    </row>
    <row r="748" ht="15.75" customHeight="1">
      <c r="J748" s="3"/>
      <c r="N748" s="6"/>
    </row>
    <row r="749" ht="15.75" customHeight="1">
      <c r="J749" s="3"/>
      <c r="N749" s="6"/>
    </row>
    <row r="750" ht="15.75" customHeight="1">
      <c r="J750" s="3"/>
      <c r="N750" s="6"/>
    </row>
    <row r="751" ht="15.75" customHeight="1">
      <c r="J751" s="3"/>
      <c r="N751" s="6"/>
    </row>
    <row r="752" ht="15.75" customHeight="1">
      <c r="J752" s="3"/>
      <c r="N752" s="6"/>
    </row>
    <row r="753" ht="15.75" customHeight="1">
      <c r="J753" s="3"/>
      <c r="N753" s="6"/>
    </row>
    <row r="754" ht="15.75" customHeight="1">
      <c r="J754" s="3"/>
      <c r="N754" s="6"/>
    </row>
    <row r="755" ht="15.75" customHeight="1">
      <c r="J755" s="3"/>
      <c r="N755" s="6"/>
    </row>
    <row r="756" ht="15.75" customHeight="1">
      <c r="J756" s="3"/>
      <c r="N756" s="6"/>
    </row>
    <row r="757" ht="15.75" customHeight="1">
      <c r="J757" s="3"/>
      <c r="N757" s="6"/>
    </row>
    <row r="758" ht="15.75" customHeight="1">
      <c r="J758" s="3"/>
      <c r="N758" s="6"/>
    </row>
    <row r="759" ht="15.75" customHeight="1">
      <c r="J759" s="3"/>
      <c r="N759" s="6"/>
    </row>
    <row r="760" ht="15.75" customHeight="1">
      <c r="J760" s="3"/>
      <c r="N760" s="6"/>
    </row>
    <row r="761" ht="15.75" customHeight="1">
      <c r="J761" s="3"/>
      <c r="N761" s="6"/>
    </row>
    <row r="762" ht="15.75" customHeight="1">
      <c r="J762" s="3"/>
      <c r="N762" s="6"/>
    </row>
    <row r="763" ht="15.75" customHeight="1">
      <c r="J763" s="3"/>
      <c r="N763" s="6"/>
    </row>
    <row r="764" ht="15.75" customHeight="1">
      <c r="J764" s="3"/>
      <c r="N764" s="6"/>
    </row>
    <row r="765" ht="15.75" customHeight="1">
      <c r="J765" s="3"/>
      <c r="N765" s="6"/>
    </row>
    <row r="766" ht="15.75" customHeight="1">
      <c r="J766" s="3"/>
      <c r="N766" s="6"/>
    </row>
    <row r="767" ht="15.75" customHeight="1">
      <c r="J767" s="3"/>
      <c r="N767" s="6"/>
    </row>
    <row r="768" ht="15.75" customHeight="1">
      <c r="J768" s="3"/>
      <c r="N768" s="6"/>
    </row>
    <row r="769" ht="15.75" customHeight="1">
      <c r="J769" s="3"/>
      <c r="N769" s="6"/>
    </row>
    <row r="770" ht="15.75" customHeight="1">
      <c r="J770" s="3"/>
      <c r="N770" s="6"/>
    </row>
    <row r="771" ht="15.75" customHeight="1">
      <c r="J771" s="3"/>
      <c r="N771" s="6"/>
    </row>
    <row r="772" ht="15.75" customHeight="1">
      <c r="J772" s="3"/>
      <c r="N772" s="6"/>
    </row>
    <row r="773" ht="15.75" customHeight="1">
      <c r="J773" s="3"/>
      <c r="N773" s="6"/>
    </row>
    <row r="774" ht="15.75" customHeight="1">
      <c r="J774" s="3"/>
      <c r="N774" s="6"/>
    </row>
    <row r="775" ht="15.75" customHeight="1">
      <c r="J775" s="3"/>
      <c r="N775" s="6"/>
    </row>
    <row r="776" ht="15.75" customHeight="1">
      <c r="J776" s="3"/>
      <c r="N776" s="6"/>
    </row>
    <row r="777" ht="15.75" customHeight="1">
      <c r="J777" s="3"/>
      <c r="N777" s="6"/>
    </row>
    <row r="778" ht="15.75" customHeight="1">
      <c r="J778" s="3"/>
      <c r="N778" s="6"/>
    </row>
    <row r="779" ht="15.75" customHeight="1">
      <c r="J779" s="3"/>
      <c r="N779" s="6"/>
    </row>
    <row r="780" ht="15.75" customHeight="1">
      <c r="J780" s="3"/>
      <c r="N780" s="6"/>
    </row>
    <row r="781" ht="15.75" customHeight="1">
      <c r="J781" s="3"/>
      <c r="N781" s="6"/>
    </row>
    <row r="782" ht="15.75" customHeight="1">
      <c r="J782" s="3"/>
      <c r="N782" s="6"/>
    </row>
    <row r="783" ht="15.75" customHeight="1">
      <c r="J783" s="3"/>
      <c r="N783" s="6"/>
    </row>
    <row r="784" ht="15.75" customHeight="1">
      <c r="J784" s="3"/>
      <c r="N784" s="6"/>
    </row>
    <row r="785" ht="15.75" customHeight="1">
      <c r="J785" s="3"/>
      <c r="N785" s="6"/>
    </row>
    <row r="786" ht="15.75" customHeight="1">
      <c r="J786" s="3"/>
      <c r="N786" s="6"/>
    </row>
    <row r="787" ht="15.75" customHeight="1">
      <c r="J787" s="3"/>
      <c r="N787" s="6"/>
    </row>
    <row r="788" ht="15.75" customHeight="1">
      <c r="J788" s="3"/>
      <c r="N788" s="6"/>
    </row>
    <row r="789" ht="15.75" customHeight="1">
      <c r="J789" s="3"/>
      <c r="N789" s="6"/>
    </row>
    <row r="790" ht="15.75" customHeight="1">
      <c r="J790" s="3"/>
      <c r="N790" s="6"/>
    </row>
    <row r="791" ht="15.75" customHeight="1">
      <c r="J791" s="3"/>
      <c r="N791" s="6"/>
    </row>
    <row r="792" ht="15.75" customHeight="1">
      <c r="J792" s="3"/>
      <c r="N792" s="6"/>
    </row>
    <row r="793" ht="15.75" customHeight="1">
      <c r="J793" s="3"/>
      <c r="N793" s="6"/>
    </row>
    <row r="794" ht="15.75" customHeight="1">
      <c r="J794" s="3"/>
      <c r="N794" s="6"/>
    </row>
    <row r="795" ht="15.75" customHeight="1">
      <c r="J795" s="3"/>
      <c r="N795" s="6"/>
    </row>
    <row r="796" ht="15.75" customHeight="1">
      <c r="J796" s="3"/>
      <c r="N796" s="6"/>
    </row>
    <row r="797" ht="15.75" customHeight="1">
      <c r="J797" s="3"/>
      <c r="N797" s="6"/>
    </row>
    <row r="798" ht="15.75" customHeight="1">
      <c r="J798" s="3"/>
      <c r="N798" s="6"/>
    </row>
    <row r="799" ht="15.75" customHeight="1">
      <c r="J799" s="3"/>
      <c r="N799" s="6"/>
    </row>
    <row r="800" ht="15.75" customHeight="1">
      <c r="J800" s="3"/>
      <c r="N800" s="6"/>
    </row>
    <row r="801" ht="15.75" customHeight="1">
      <c r="J801" s="3"/>
      <c r="N801" s="6"/>
    </row>
    <row r="802" ht="15.75" customHeight="1">
      <c r="J802" s="3"/>
      <c r="N802" s="6"/>
    </row>
    <row r="803" ht="15.75" customHeight="1">
      <c r="J803" s="3"/>
      <c r="N803" s="6"/>
    </row>
    <row r="804" ht="15.75" customHeight="1">
      <c r="J804" s="3"/>
      <c r="N804" s="6"/>
    </row>
    <row r="805" ht="15.75" customHeight="1">
      <c r="J805" s="3"/>
      <c r="N805" s="6"/>
    </row>
    <row r="806" ht="15.75" customHeight="1">
      <c r="J806" s="3"/>
      <c r="N806" s="6"/>
    </row>
    <row r="807" ht="15.75" customHeight="1">
      <c r="J807" s="3"/>
      <c r="N807" s="6"/>
    </row>
    <row r="808" ht="15.75" customHeight="1">
      <c r="J808" s="3"/>
      <c r="N808" s="6"/>
    </row>
    <row r="809" ht="15.75" customHeight="1">
      <c r="J809" s="3"/>
      <c r="N809" s="6"/>
    </row>
    <row r="810" ht="15.75" customHeight="1">
      <c r="J810" s="3"/>
      <c r="N810" s="6"/>
    </row>
    <row r="811" ht="15.75" customHeight="1">
      <c r="J811" s="3"/>
      <c r="N811" s="6"/>
    </row>
    <row r="812" ht="15.75" customHeight="1">
      <c r="J812" s="3"/>
      <c r="N812" s="6"/>
    </row>
    <row r="813" ht="15.75" customHeight="1">
      <c r="J813" s="3"/>
      <c r="N813" s="6"/>
    </row>
    <row r="814" ht="15.75" customHeight="1">
      <c r="J814" s="3"/>
      <c r="N814" s="6"/>
    </row>
    <row r="815" ht="15.75" customHeight="1">
      <c r="J815" s="3"/>
      <c r="N815" s="6"/>
    </row>
    <row r="816" ht="15.75" customHeight="1">
      <c r="J816" s="3"/>
      <c r="N816" s="6"/>
    </row>
    <row r="817" ht="15.75" customHeight="1">
      <c r="J817" s="3"/>
      <c r="N817" s="6"/>
    </row>
    <row r="818" ht="15.75" customHeight="1">
      <c r="J818" s="3"/>
      <c r="N818" s="6"/>
    </row>
    <row r="819" ht="15.75" customHeight="1">
      <c r="J819" s="3"/>
      <c r="N819" s="6"/>
    </row>
    <row r="820" ht="15.75" customHeight="1">
      <c r="J820" s="3"/>
      <c r="N820" s="6"/>
    </row>
    <row r="821" ht="15.75" customHeight="1">
      <c r="J821" s="3"/>
      <c r="N821" s="6"/>
    </row>
    <row r="822" ht="15.75" customHeight="1">
      <c r="J822" s="3"/>
      <c r="N822" s="6"/>
    </row>
    <row r="823" ht="15.75" customHeight="1">
      <c r="J823" s="3"/>
      <c r="N823" s="6"/>
    </row>
    <row r="824" ht="15.75" customHeight="1">
      <c r="J824" s="3"/>
      <c r="N824" s="6"/>
    </row>
    <row r="825" ht="15.75" customHeight="1">
      <c r="J825" s="3"/>
      <c r="N825" s="6"/>
    </row>
    <row r="826" ht="15.75" customHeight="1">
      <c r="J826" s="3"/>
      <c r="N826" s="6"/>
    </row>
    <row r="827" ht="15.75" customHeight="1">
      <c r="J827" s="3"/>
      <c r="N827" s="6"/>
    </row>
    <row r="828" ht="15.75" customHeight="1">
      <c r="J828" s="3"/>
      <c r="N828" s="6"/>
    </row>
    <row r="829" ht="15.75" customHeight="1">
      <c r="J829" s="3"/>
      <c r="N829" s="6"/>
    </row>
    <row r="830" ht="15.75" customHeight="1">
      <c r="J830" s="3"/>
      <c r="N830" s="6"/>
    </row>
    <row r="831" ht="15.75" customHeight="1">
      <c r="J831" s="3"/>
      <c r="N831" s="6"/>
    </row>
    <row r="832" ht="15.75" customHeight="1">
      <c r="J832" s="3"/>
      <c r="N832" s="6"/>
    </row>
    <row r="833" ht="15.75" customHeight="1">
      <c r="J833" s="3"/>
      <c r="N833" s="6"/>
    </row>
    <row r="834" ht="15.75" customHeight="1">
      <c r="J834" s="3"/>
      <c r="N834" s="6"/>
    </row>
    <row r="835" ht="15.75" customHeight="1">
      <c r="J835" s="3"/>
      <c r="N835" s="6"/>
    </row>
    <row r="836" ht="15.75" customHeight="1">
      <c r="J836" s="3"/>
      <c r="N836" s="6"/>
    </row>
    <row r="837" ht="15.75" customHeight="1">
      <c r="J837" s="3"/>
      <c r="N837" s="6"/>
    </row>
    <row r="838" ht="15.75" customHeight="1">
      <c r="J838" s="3"/>
      <c r="N838" s="6"/>
    </row>
    <row r="839" ht="15.75" customHeight="1">
      <c r="J839" s="3"/>
      <c r="N839" s="6"/>
    </row>
    <row r="840" ht="15.75" customHeight="1">
      <c r="J840" s="3"/>
      <c r="N840" s="6"/>
    </row>
    <row r="841" ht="15.75" customHeight="1">
      <c r="J841" s="3"/>
      <c r="N841" s="6"/>
    </row>
    <row r="842" ht="15.75" customHeight="1">
      <c r="J842" s="3"/>
      <c r="N842" s="6"/>
    </row>
    <row r="843" ht="15.75" customHeight="1">
      <c r="J843" s="3"/>
      <c r="N843" s="6"/>
    </row>
    <row r="844" ht="15.75" customHeight="1">
      <c r="J844" s="3"/>
      <c r="N844" s="6"/>
    </row>
    <row r="845" ht="15.75" customHeight="1">
      <c r="J845" s="3"/>
      <c r="N845" s="6"/>
    </row>
    <row r="846" ht="15.75" customHeight="1">
      <c r="J846" s="3"/>
      <c r="N846" s="6"/>
    </row>
    <row r="847" ht="15.75" customHeight="1">
      <c r="J847" s="3"/>
      <c r="N847" s="6"/>
    </row>
    <row r="848" ht="15.75" customHeight="1">
      <c r="J848" s="3"/>
      <c r="N848" s="6"/>
    </row>
    <row r="849" ht="15.75" customHeight="1">
      <c r="J849" s="3"/>
      <c r="N849" s="6"/>
    </row>
    <row r="850" ht="15.75" customHeight="1">
      <c r="J850" s="3"/>
      <c r="N850" s="6"/>
    </row>
    <row r="851" ht="15.75" customHeight="1">
      <c r="J851" s="3"/>
      <c r="N851" s="6"/>
    </row>
    <row r="852" ht="15.75" customHeight="1">
      <c r="J852" s="3"/>
      <c r="N852" s="6"/>
    </row>
    <row r="853" ht="15.75" customHeight="1">
      <c r="J853" s="3"/>
      <c r="N853" s="6"/>
    </row>
    <row r="854" ht="15.75" customHeight="1">
      <c r="J854" s="3"/>
      <c r="N854" s="6"/>
    </row>
    <row r="855" ht="15.75" customHeight="1">
      <c r="J855" s="3"/>
      <c r="N855" s="6"/>
    </row>
    <row r="856" ht="15.75" customHeight="1">
      <c r="J856" s="3"/>
      <c r="N856" s="6"/>
    </row>
    <row r="857" ht="15.75" customHeight="1">
      <c r="J857" s="3"/>
      <c r="N857" s="6"/>
    </row>
    <row r="858" ht="15.75" customHeight="1">
      <c r="J858" s="3"/>
      <c r="N858" s="6"/>
    </row>
    <row r="859" ht="15.75" customHeight="1">
      <c r="J859" s="3"/>
      <c r="N859" s="6"/>
    </row>
    <row r="860" ht="15.75" customHeight="1">
      <c r="J860" s="3"/>
      <c r="N860" s="6"/>
    </row>
    <row r="861" ht="15.75" customHeight="1">
      <c r="J861" s="3"/>
      <c r="N861" s="6"/>
    </row>
    <row r="862" ht="15.75" customHeight="1">
      <c r="J862" s="3"/>
      <c r="N862" s="6"/>
    </row>
    <row r="863" ht="15.75" customHeight="1">
      <c r="J863" s="3"/>
      <c r="N863" s="6"/>
    </row>
    <row r="864" ht="15.75" customHeight="1">
      <c r="J864" s="3"/>
      <c r="N864" s="6"/>
    </row>
    <row r="865" ht="15.75" customHeight="1">
      <c r="J865" s="3"/>
      <c r="N865" s="6"/>
    </row>
    <row r="866" ht="15.75" customHeight="1">
      <c r="J866" s="3"/>
      <c r="N866" s="6"/>
    </row>
    <row r="867" ht="15.75" customHeight="1">
      <c r="J867" s="3"/>
      <c r="N867" s="6"/>
    </row>
    <row r="868" ht="15.75" customHeight="1">
      <c r="J868" s="3"/>
      <c r="N868" s="6"/>
    </row>
    <row r="869" ht="15.75" customHeight="1">
      <c r="J869" s="3"/>
      <c r="N869" s="6"/>
    </row>
    <row r="870" ht="15.75" customHeight="1">
      <c r="J870" s="3"/>
      <c r="N870" s="6"/>
    </row>
    <row r="871" ht="15.75" customHeight="1">
      <c r="J871" s="3"/>
      <c r="N871" s="6"/>
    </row>
    <row r="872" ht="15.75" customHeight="1">
      <c r="J872" s="3"/>
      <c r="N872" s="6"/>
    </row>
    <row r="873" ht="15.75" customHeight="1">
      <c r="J873" s="3"/>
      <c r="N873" s="6"/>
    </row>
    <row r="874" ht="15.75" customHeight="1">
      <c r="J874" s="3"/>
      <c r="N874" s="6"/>
    </row>
    <row r="875" ht="15.75" customHeight="1">
      <c r="J875" s="3"/>
      <c r="N875" s="6"/>
    </row>
    <row r="876" ht="15.75" customHeight="1">
      <c r="J876" s="3"/>
      <c r="N876" s="6"/>
    </row>
    <row r="877" ht="15.75" customHeight="1">
      <c r="J877" s="3"/>
      <c r="N877" s="6"/>
    </row>
    <row r="878" ht="15.75" customHeight="1">
      <c r="J878" s="3"/>
      <c r="N878" s="6"/>
    </row>
    <row r="879" ht="15.75" customHeight="1">
      <c r="J879" s="3"/>
      <c r="N879" s="6"/>
    </row>
    <row r="880" ht="15.75" customHeight="1">
      <c r="J880" s="3"/>
      <c r="N880" s="6"/>
    </row>
    <row r="881" ht="15.75" customHeight="1">
      <c r="J881" s="3"/>
      <c r="N881" s="6"/>
    </row>
    <row r="882" ht="15.75" customHeight="1">
      <c r="J882" s="3"/>
      <c r="N882" s="6"/>
    </row>
    <row r="883" ht="15.75" customHeight="1">
      <c r="J883" s="3"/>
      <c r="N883" s="6"/>
    </row>
    <row r="884" ht="15.75" customHeight="1">
      <c r="J884" s="3"/>
      <c r="N884" s="6"/>
    </row>
    <row r="885" ht="15.75" customHeight="1">
      <c r="J885" s="3"/>
      <c r="N885" s="6"/>
    </row>
    <row r="886" ht="15.75" customHeight="1">
      <c r="J886" s="3"/>
      <c r="N886" s="6"/>
    </row>
    <row r="887" ht="15.75" customHeight="1">
      <c r="J887" s="3"/>
      <c r="N887" s="6"/>
    </row>
    <row r="888" ht="15.75" customHeight="1">
      <c r="J888" s="3"/>
      <c r="N888" s="6"/>
    </row>
    <row r="889" ht="15.75" customHeight="1">
      <c r="J889" s="3"/>
      <c r="N889" s="6"/>
    </row>
    <row r="890" ht="15.75" customHeight="1">
      <c r="J890" s="3"/>
      <c r="N890" s="6"/>
    </row>
    <row r="891" ht="15.75" customHeight="1">
      <c r="J891" s="3"/>
      <c r="N891" s="6"/>
    </row>
    <row r="892" ht="15.75" customHeight="1">
      <c r="J892" s="3"/>
      <c r="N892" s="6"/>
    </row>
    <row r="893" ht="15.75" customHeight="1">
      <c r="J893" s="3"/>
      <c r="N893" s="6"/>
    </row>
    <row r="894" ht="15.75" customHeight="1">
      <c r="J894" s="3"/>
      <c r="N894" s="6"/>
    </row>
    <row r="895" ht="15.75" customHeight="1">
      <c r="J895" s="3"/>
      <c r="N895" s="6"/>
    </row>
    <row r="896" ht="15.75" customHeight="1">
      <c r="J896" s="3"/>
      <c r="N896" s="6"/>
    </row>
    <row r="897" ht="15.75" customHeight="1">
      <c r="J897" s="3"/>
      <c r="N897" s="6"/>
    </row>
    <row r="898" ht="15.75" customHeight="1">
      <c r="J898" s="3"/>
      <c r="N898" s="6"/>
    </row>
    <row r="899" ht="15.75" customHeight="1">
      <c r="J899" s="3"/>
      <c r="N899" s="6"/>
    </row>
    <row r="900" ht="15.75" customHeight="1">
      <c r="J900" s="3"/>
      <c r="N900" s="6"/>
    </row>
    <row r="901" ht="15.75" customHeight="1">
      <c r="J901" s="3"/>
      <c r="N901" s="6"/>
    </row>
    <row r="902" ht="15.75" customHeight="1">
      <c r="J902" s="3"/>
      <c r="N902" s="6"/>
    </row>
    <row r="903" ht="15.75" customHeight="1">
      <c r="J903" s="3"/>
      <c r="N903" s="6"/>
    </row>
    <row r="904" ht="15.75" customHeight="1">
      <c r="J904" s="3"/>
      <c r="N904" s="6"/>
    </row>
    <row r="905" ht="15.75" customHeight="1">
      <c r="J905" s="3"/>
      <c r="N905" s="6"/>
    </row>
    <row r="906" ht="15.75" customHeight="1">
      <c r="J906" s="3"/>
      <c r="N906" s="6"/>
    </row>
    <row r="907" ht="15.75" customHeight="1">
      <c r="J907" s="3"/>
      <c r="N907" s="6"/>
    </row>
    <row r="908" ht="15.75" customHeight="1">
      <c r="J908" s="3"/>
      <c r="N908" s="6"/>
    </row>
    <row r="909" ht="15.75" customHeight="1">
      <c r="J909" s="3"/>
      <c r="N909" s="6"/>
    </row>
    <row r="910" ht="15.75" customHeight="1">
      <c r="J910" s="3"/>
      <c r="N910" s="6"/>
    </row>
    <row r="911" ht="15.75" customHeight="1">
      <c r="J911" s="3"/>
      <c r="N911" s="6"/>
    </row>
    <row r="912" ht="15.75" customHeight="1">
      <c r="J912" s="3"/>
      <c r="N912" s="6"/>
    </row>
    <row r="913" ht="15.75" customHeight="1">
      <c r="J913" s="3"/>
      <c r="N913" s="6"/>
    </row>
    <row r="914" ht="15.75" customHeight="1">
      <c r="J914" s="3"/>
      <c r="N914" s="6"/>
    </row>
    <row r="915" ht="15.75" customHeight="1">
      <c r="J915" s="3"/>
      <c r="N915" s="6"/>
    </row>
    <row r="916" ht="15.75" customHeight="1">
      <c r="J916" s="3"/>
      <c r="N916" s="6"/>
    </row>
    <row r="917" ht="15.75" customHeight="1">
      <c r="J917" s="3"/>
      <c r="N917" s="6"/>
    </row>
    <row r="918" ht="15.75" customHeight="1">
      <c r="J918" s="3"/>
      <c r="N918" s="6"/>
    </row>
    <row r="919" ht="15.75" customHeight="1">
      <c r="J919" s="3"/>
      <c r="N919" s="6"/>
    </row>
    <row r="920" ht="15.75" customHeight="1">
      <c r="J920" s="3"/>
      <c r="N920" s="6"/>
    </row>
    <row r="921" ht="15.75" customHeight="1">
      <c r="J921" s="3"/>
      <c r="N921" s="6"/>
    </row>
    <row r="922" ht="15.75" customHeight="1">
      <c r="J922" s="3"/>
      <c r="N922" s="6"/>
    </row>
    <row r="923" ht="15.75" customHeight="1">
      <c r="J923" s="3"/>
      <c r="N923" s="6"/>
    </row>
    <row r="924" ht="15.75" customHeight="1">
      <c r="J924" s="3"/>
      <c r="N924" s="6"/>
    </row>
    <row r="925" ht="15.75" customHeight="1">
      <c r="J925" s="3"/>
      <c r="N925" s="6"/>
    </row>
    <row r="926" ht="15.75" customHeight="1">
      <c r="J926" s="3"/>
      <c r="N926" s="6"/>
    </row>
    <row r="927" ht="15.75" customHeight="1">
      <c r="J927" s="3"/>
      <c r="N927" s="6"/>
    </row>
    <row r="928" ht="15.75" customHeight="1">
      <c r="J928" s="3"/>
      <c r="N928" s="6"/>
    </row>
    <row r="929" ht="15.75" customHeight="1">
      <c r="J929" s="3"/>
      <c r="N929" s="6"/>
    </row>
    <row r="930" ht="15.75" customHeight="1">
      <c r="J930" s="3"/>
      <c r="N930" s="6"/>
    </row>
    <row r="931" ht="15.75" customHeight="1">
      <c r="J931" s="3"/>
      <c r="N931" s="6"/>
    </row>
    <row r="932" ht="15.75" customHeight="1">
      <c r="J932" s="3"/>
      <c r="N932" s="6"/>
    </row>
    <row r="933" ht="15.75" customHeight="1">
      <c r="J933" s="3"/>
      <c r="N933" s="6"/>
    </row>
    <row r="934" ht="15.75" customHeight="1">
      <c r="J934" s="3"/>
      <c r="N934" s="6"/>
    </row>
    <row r="935" ht="15.75" customHeight="1">
      <c r="J935" s="3"/>
      <c r="N935" s="6"/>
    </row>
    <row r="936" ht="15.75" customHeight="1">
      <c r="J936" s="3"/>
      <c r="N936" s="6"/>
    </row>
    <row r="937" ht="15.75" customHeight="1">
      <c r="J937" s="3"/>
      <c r="N937" s="6"/>
    </row>
    <row r="938" ht="15.75" customHeight="1">
      <c r="J938" s="3"/>
      <c r="N938" s="6"/>
    </row>
    <row r="939" ht="15.75" customHeight="1">
      <c r="J939" s="3"/>
      <c r="N939" s="6"/>
    </row>
    <row r="940" ht="15.75" customHeight="1">
      <c r="J940" s="3"/>
      <c r="N940" s="6"/>
    </row>
    <row r="941" ht="15.75" customHeight="1">
      <c r="J941" s="3"/>
      <c r="N941" s="6"/>
    </row>
    <row r="942" ht="15.75" customHeight="1">
      <c r="J942" s="3"/>
      <c r="N942" s="6"/>
    </row>
    <row r="943" ht="15.75" customHeight="1">
      <c r="J943" s="3"/>
      <c r="N943" s="6"/>
    </row>
    <row r="944" ht="15.75" customHeight="1">
      <c r="J944" s="3"/>
      <c r="N944" s="6"/>
    </row>
    <row r="945" ht="15.75" customHeight="1">
      <c r="J945" s="3"/>
      <c r="N945" s="6"/>
    </row>
    <row r="946" ht="15.75" customHeight="1">
      <c r="J946" s="3"/>
      <c r="N946" s="6"/>
    </row>
    <row r="947" ht="15.75" customHeight="1">
      <c r="J947" s="3"/>
      <c r="N947" s="6"/>
    </row>
    <row r="948" ht="15.75" customHeight="1">
      <c r="J948" s="3"/>
      <c r="N948" s="6"/>
    </row>
    <row r="949" ht="15.75" customHeight="1">
      <c r="J949" s="3"/>
      <c r="N949" s="6"/>
    </row>
    <row r="950" ht="15.75" customHeight="1">
      <c r="J950" s="3"/>
      <c r="N950" s="6"/>
    </row>
    <row r="951" ht="15.75" customHeight="1">
      <c r="J951" s="3"/>
      <c r="N951" s="6"/>
    </row>
    <row r="952" ht="15.75" customHeight="1">
      <c r="J952" s="3"/>
      <c r="N952" s="6"/>
    </row>
    <row r="953" ht="15.75" customHeight="1">
      <c r="J953" s="3"/>
      <c r="N953" s="6"/>
    </row>
    <row r="954" ht="15.75" customHeight="1">
      <c r="J954" s="3"/>
      <c r="N954" s="6"/>
    </row>
    <row r="955" ht="15.75" customHeight="1">
      <c r="J955" s="3"/>
      <c r="N955" s="6"/>
    </row>
    <row r="956" ht="15.75" customHeight="1">
      <c r="J956" s="3"/>
      <c r="N956" s="6"/>
    </row>
    <row r="957" ht="15.75" customHeight="1">
      <c r="J957" s="3"/>
      <c r="N957" s="6"/>
    </row>
    <row r="958" ht="15.75" customHeight="1">
      <c r="J958" s="3"/>
      <c r="N958" s="6"/>
    </row>
    <row r="959" ht="15.75" customHeight="1">
      <c r="J959" s="3"/>
      <c r="N959" s="6"/>
    </row>
    <row r="960" ht="15.75" customHeight="1">
      <c r="J960" s="3"/>
      <c r="N960" s="6"/>
    </row>
    <row r="961" ht="15.75" customHeight="1">
      <c r="J961" s="3"/>
      <c r="N961" s="6"/>
    </row>
    <row r="962" ht="15.75" customHeight="1">
      <c r="J962" s="3"/>
      <c r="N962" s="6"/>
    </row>
    <row r="963" ht="15.75" customHeight="1">
      <c r="J963" s="3"/>
      <c r="N963" s="6"/>
    </row>
    <row r="964" ht="15.75" customHeight="1">
      <c r="J964" s="3"/>
      <c r="N964" s="6"/>
    </row>
    <row r="965" ht="15.75" customHeight="1">
      <c r="J965" s="3"/>
      <c r="N965" s="6"/>
    </row>
    <row r="966" ht="15.75" customHeight="1">
      <c r="J966" s="3"/>
      <c r="N966" s="6"/>
    </row>
    <row r="967" ht="15.75" customHeight="1">
      <c r="J967" s="3"/>
      <c r="N967" s="6"/>
    </row>
    <row r="968" ht="15.75" customHeight="1">
      <c r="J968" s="3"/>
      <c r="N968" s="6"/>
    </row>
    <row r="969" ht="15.75" customHeight="1">
      <c r="J969" s="3"/>
      <c r="N969" s="6"/>
    </row>
    <row r="970" ht="15.75" customHeight="1">
      <c r="J970" s="3"/>
      <c r="N970" s="6"/>
    </row>
    <row r="971" ht="15.75" customHeight="1">
      <c r="J971" s="3"/>
      <c r="N971" s="6"/>
    </row>
    <row r="972" ht="15.75" customHeight="1">
      <c r="J972" s="3"/>
      <c r="N972" s="6"/>
    </row>
    <row r="973" ht="15.75" customHeight="1">
      <c r="J973" s="3"/>
      <c r="N973" s="6"/>
    </row>
    <row r="974" ht="15.75" customHeight="1">
      <c r="J974" s="3"/>
      <c r="N974" s="6"/>
    </row>
    <row r="975" ht="15.75" customHeight="1">
      <c r="J975" s="3"/>
      <c r="N975" s="6"/>
    </row>
    <row r="976" ht="15.75" customHeight="1">
      <c r="J976" s="3"/>
      <c r="N976" s="6"/>
    </row>
    <row r="977" ht="15.75" customHeight="1">
      <c r="J977" s="3"/>
      <c r="N977" s="6"/>
    </row>
    <row r="978" ht="15.75" customHeight="1">
      <c r="J978" s="3"/>
      <c r="N978" s="6"/>
    </row>
    <row r="979" ht="15.75" customHeight="1">
      <c r="J979" s="3"/>
      <c r="N979" s="6"/>
    </row>
    <row r="980" ht="15.75" customHeight="1">
      <c r="J980" s="3"/>
      <c r="N980" s="6"/>
    </row>
    <row r="981" ht="15.75" customHeight="1">
      <c r="J981" s="3"/>
      <c r="N981" s="6"/>
    </row>
    <row r="982" ht="15.75" customHeight="1">
      <c r="J982" s="3"/>
      <c r="N982" s="6"/>
    </row>
    <row r="983" ht="15.75" customHeight="1">
      <c r="J983" s="3"/>
      <c r="N983" s="6"/>
    </row>
    <row r="984" ht="15.75" customHeight="1">
      <c r="J984" s="3"/>
      <c r="N984" s="6"/>
    </row>
    <row r="985" ht="15.75" customHeight="1">
      <c r="J985" s="3"/>
      <c r="N985" s="6"/>
    </row>
    <row r="986" ht="15.75" customHeight="1">
      <c r="J986" s="3"/>
      <c r="N986" s="6"/>
    </row>
    <row r="987" ht="15.75" customHeight="1">
      <c r="J987" s="3"/>
      <c r="N987" s="6"/>
    </row>
    <row r="988" ht="15.75" customHeight="1">
      <c r="J988" s="3"/>
      <c r="N988" s="6"/>
    </row>
    <row r="989" ht="15.75" customHeight="1">
      <c r="J989" s="3"/>
      <c r="N989" s="6"/>
    </row>
    <row r="990" ht="15.75" customHeight="1">
      <c r="J990" s="3"/>
      <c r="N990" s="6"/>
    </row>
    <row r="991" ht="15.75" customHeight="1">
      <c r="J991" s="3"/>
      <c r="N991" s="6"/>
    </row>
    <row r="992" ht="15.75" customHeight="1">
      <c r="J992" s="3"/>
      <c r="N992" s="6"/>
    </row>
    <row r="993" ht="15.75" customHeight="1">
      <c r="J993" s="3"/>
      <c r="N993" s="6"/>
    </row>
    <row r="994" ht="15.75" customHeight="1">
      <c r="J994" s="3"/>
      <c r="N994" s="6"/>
    </row>
    <row r="995" ht="15.75" customHeight="1">
      <c r="J995" s="3"/>
      <c r="N995" s="6"/>
    </row>
    <row r="996" ht="15.75" customHeight="1">
      <c r="J996" s="3"/>
      <c r="N996" s="6"/>
    </row>
    <row r="997" ht="15.75" customHeight="1">
      <c r="J997" s="3"/>
      <c r="N997" s="6"/>
    </row>
    <row r="998" ht="15.0" customHeight="1">
      <c r="J998" s="3"/>
      <c r="N998" s="6"/>
    </row>
    <row r="999" ht="15.0" customHeight="1">
      <c r="J999" s="3"/>
      <c r="N999" s="6"/>
    </row>
  </sheetData>
  <mergeCells count="16">
    <mergeCell ref="G6:G11"/>
    <mergeCell ref="H6:H11"/>
    <mergeCell ref="I6:I11"/>
    <mergeCell ref="J6:J11"/>
    <mergeCell ref="H13:H16"/>
    <mergeCell ref="I13:I16"/>
    <mergeCell ref="J13:J16"/>
    <mergeCell ref="I23:I28"/>
    <mergeCell ref="J23:J28"/>
    <mergeCell ref="G13:G16"/>
    <mergeCell ref="G18:G21"/>
    <mergeCell ref="H18:H21"/>
    <mergeCell ref="I18:I21"/>
    <mergeCell ref="J18:J21"/>
    <mergeCell ref="G23:G28"/>
    <mergeCell ref="H23:H28"/>
  </mergeCells>
  <printOptions/>
  <pageMargins bottom="0.75" footer="0.0" header="0.0" left="0.7" right="0.7" top="0.75"/>
  <pageSetup paperSize="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0.44"/>
    <col customWidth="1" min="3" max="3" width="12.78"/>
    <col customWidth="1" min="4" max="4" width="18.56"/>
    <col customWidth="1" min="5" max="5" width="12.78"/>
    <col customWidth="1" min="6" max="6" width="16.11"/>
    <col customWidth="1" min="7" max="7" width="12.78"/>
    <col customWidth="1" min="8" max="8" width="15.56"/>
    <col customWidth="1" min="9" max="10" width="20.56"/>
    <col customWidth="1" min="11" max="26" width="10.44"/>
  </cols>
  <sheetData>
    <row r="1" ht="15.75" customHeight="1">
      <c r="A1" s="70"/>
    </row>
    <row r="2">
      <c r="A2" s="70"/>
      <c r="B2" s="73" t="s">
        <v>78</v>
      </c>
      <c r="C2" s="75"/>
      <c r="E2" s="15"/>
    </row>
    <row r="3" ht="15.75" customHeight="1">
      <c r="A3" s="70"/>
      <c r="B3" s="73"/>
      <c r="E3" s="15"/>
    </row>
    <row r="4" ht="15.75" customHeight="1">
      <c r="A4" s="70"/>
      <c r="B4" s="77"/>
      <c r="C4" s="78"/>
      <c r="D4" s="77"/>
      <c r="E4" s="77"/>
      <c r="F4" s="77"/>
      <c r="G4" s="77"/>
      <c r="H4" s="78"/>
      <c r="I4" s="77"/>
      <c r="J4" s="15"/>
    </row>
    <row r="5" ht="15.75" customHeight="1">
      <c r="A5" s="70"/>
      <c r="B5" s="77"/>
      <c r="C5" s="77"/>
      <c r="D5" s="77"/>
      <c r="E5" s="77"/>
      <c r="F5" s="77"/>
      <c r="G5" s="77"/>
      <c r="H5" s="77"/>
      <c r="I5" s="77"/>
    </row>
    <row r="6">
      <c r="A6" s="83"/>
      <c r="B6" s="84" t="s">
        <v>87</v>
      </c>
      <c r="C6" s="85" t="s">
        <v>14</v>
      </c>
      <c r="D6" s="85" t="s">
        <v>81</v>
      </c>
      <c r="E6" s="85" t="s">
        <v>76</v>
      </c>
      <c r="F6" s="85" t="s">
        <v>89</v>
      </c>
      <c r="G6" s="85" t="s">
        <v>91</v>
      </c>
      <c r="H6" s="89" t="s">
        <v>92</v>
      </c>
      <c r="I6" s="84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5.75" customHeight="1">
      <c r="A7" s="70"/>
      <c r="B7" s="92" t="s">
        <v>14</v>
      </c>
      <c r="C7" s="4">
        <v>4.875070835752638E8</v>
      </c>
      <c r="D7" s="4">
        <v>2749321.1451678867</v>
      </c>
      <c r="E7" s="4">
        <v>1.2678145363729814E8</v>
      </c>
      <c r="F7" s="4">
        <v>1471318.3571569973</v>
      </c>
      <c r="G7" s="4">
        <v>2024265.2100224216</v>
      </c>
      <c r="H7" s="95">
        <f t="shared" ref="H7:H11" si="1">SUM(C7:G7)</f>
        <v>620533441.9</v>
      </c>
      <c r="I7" s="78"/>
    </row>
    <row r="8" ht="15.75" customHeight="1">
      <c r="A8" s="70"/>
      <c r="B8" s="92" t="s">
        <v>81</v>
      </c>
      <c r="C8" s="4">
        <v>2955930.074104519</v>
      </c>
      <c r="D8" s="4">
        <v>3.788653595505213E7</v>
      </c>
      <c r="E8" s="4">
        <v>1.2723170165551731E7</v>
      </c>
      <c r="F8" s="4">
        <v>305409.45541887806</v>
      </c>
      <c r="G8" s="4">
        <v>1442057.483665804</v>
      </c>
      <c r="H8" s="95">
        <f t="shared" si="1"/>
        <v>55313103.13</v>
      </c>
      <c r="I8" s="77"/>
    </row>
    <row r="9" ht="15.75" customHeight="1">
      <c r="A9" s="70"/>
      <c r="B9" s="92" t="s">
        <v>76</v>
      </c>
      <c r="C9" s="4">
        <v>1.3625729423164504E7</v>
      </c>
      <c r="D9" s="4">
        <v>1655423.6587616883</v>
      </c>
      <c r="E9" s="4">
        <v>1.3251856279331715E8</v>
      </c>
      <c r="F9" s="4">
        <v>1864479.4094833909</v>
      </c>
      <c r="G9" s="4">
        <v>566085.6358696043</v>
      </c>
      <c r="H9" s="95">
        <f t="shared" si="1"/>
        <v>150230280.9</v>
      </c>
      <c r="I9" s="77"/>
    </row>
    <row r="10" ht="15.75" customHeight="1">
      <c r="A10" s="70"/>
      <c r="B10" s="92" t="s">
        <v>89</v>
      </c>
      <c r="C10" s="4">
        <v>112303.79305530396</v>
      </c>
      <c r="D10" s="4">
        <v>100340.27550959462</v>
      </c>
      <c r="E10" s="4">
        <v>709571.2266527774</v>
      </c>
      <c r="F10" s="4">
        <v>2656302.678100841</v>
      </c>
      <c r="G10" s="4">
        <v>47911.39870808102</v>
      </c>
      <c r="H10" s="95">
        <f t="shared" si="1"/>
        <v>3626429.372</v>
      </c>
      <c r="I10" s="77"/>
    </row>
    <row r="11" ht="15.75" customHeight="1">
      <c r="A11" s="70"/>
      <c r="B11" s="92" t="s">
        <v>91</v>
      </c>
      <c r="C11" s="4">
        <v>1542702.3665592826</v>
      </c>
      <c r="D11" s="4">
        <v>3524834.8426578874</v>
      </c>
      <c r="E11" s="4">
        <v>579625.371072577</v>
      </c>
      <c r="F11" s="4">
        <v>77456.58838765255</v>
      </c>
      <c r="G11" s="4">
        <v>1.5213282858772857E7</v>
      </c>
      <c r="H11" s="95">
        <f t="shared" si="1"/>
        <v>20937902.03</v>
      </c>
      <c r="I11" s="77"/>
    </row>
    <row r="12" ht="15.75" customHeight="1">
      <c r="A12" s="70"/>
      <c r="B12" s="106" t="s">
        <v>120</v>
      </c>
      <c r="C12" s="95">
        <f t="shared" ref="C12:H12" si="2">SUM(C7:C11)</f>
        <v>505743749.2</v>
      </c>
      <c r="D12" s="95">
        <f t="shared" si="2"/>
        <v>45916455.88</v>
      </c>
      <c r="E12" s="95">
        <f t="shared" si="2"/>
        <v>273312383.2</v>
      </c>
      <c r="F12" s="95">
        <f t="shared" si="2"/>
        <v>6374966.489</v>
      </c>
      <c r="G12" s="95">
        <f t="shared" si="2"/>
        <v>19293602.59</v>
      </c>
      <c r="H12" s="95">
        <f t="shared" si="2"/>
        <v>850641157.4</v>
      </c>
      <c r="I12" s="77"/>
    </row>
    <row r="13" ht="15.75" customHeight="1">
      <c r="A13" s="70"/>
    </row>
    <row r="14" ht="15.75" customHeight="1">
      <c r="A14" s="70"/>
    </row>
    <row r="15" ht="15.75" customHeight="1">
      <c r="A15" s="70"/>
      <c r="B15" s="115" t="s">
        <v>133</v>
      </c>
      <c r="C15" s="116" t="s">
        <v>14</v>
      </c>
      <c r="D15" s="116" t="s">
        <v>81</v>
      </c>
      <c r="E15" s="116" t="s">
        <v>76</v>
      </c>
      <c r="F15" s="116" t="s">
        <v>89</v>
      </c>
      <c r="G15" s="116" t="s">
        <v>91</v>
      </c>
      <c r="H15" s="118" t="s">
        <v>138</v>
      </c>
    </row>
    <row r="16" ht="15.75" customHeight="1">
      <c r="A16" s="70"/>
      <c r="B16" s="119" t="s">
        <v>14</v>
      </c>
      <c r="C16" s="121">
        <f t="shared" ref="C16:G16" si="3">C7/1000000</f>
        <v>487.5070836</v>
      </c>
      <c r="D16" s="121">
        <f t="shared" si="3"/>
        <v>2.749321145</v>
      </c>
      <c r="E16" s="121">
        <f t="shared" si="3"/>
        <v>126.7814536</v>
      </c>
      <c r="F16" s="121">
        <f t="shared" si="3"/>
        <v>1.471318357</v>
      </c>
      <c r="G16" s="121">
        <f t="shared" si="3"/>
        <v>2.02426521</v>
      </c>
      <c r="H16" s="126">
        <f t="shared" ref="H16:H20" si="5">SUM(C16:G16)</f>
        <v>620.5334419</v>
      </c>
    </row>
    <row r="17" ht="15.75" customHeight="1">
      <c r="A17" s="70"/>
      <c r="B17" s="119" t="s">
        <v>81</v>
      </c>
      <c r="C17" s="121">
        <f t="shared" ref="C17:G17" si="4">C8/1000000</f>
        <v>2.955930074</v>
      </c>
      <c r="D17" s="121">
        <f t="shared" si="4"/>
        <v>37.88653596</v>
      </c>
      <c r="E17" s="121">
        <f t="shared" si="4"/>
        <v>12.72317017</v>
      </c>
      <c r="F17" s="121">
        <f t="shared" si="4"/>
        <v>0.3054094554</v>
      </c>
      <c r="G17" s="121">
        <f t="shared" si="4"/>
        <v>1.442057484</v>
      </c>
      <c r="H17" s="126">
        <f t="shared" si="5"/>
        <v>55.31310313</v>
      </c>
    </row>
    <row r="18" ht="15.75" customHeight="1">
      <c r="A18" s="70"/>
      <c r="B18" s="119" t="s">
        <v>76</v>
      </c>
      <c r="C18" s="121">
        <f t="shared" ref="C18:G18" si="6">C9/1000000</f>
        <v>13.62572942</v>
      </c>
      <c r="D18" s="121">
        <f t="shared" si="6"/>
        <v>1.655423659</v>
      </c>
      <c r="E18" s="121">
        <f t="shared" si="6"/>
        <v>132.5185628</v>
      </c>
      <c r="F18" s="121">
        <f t="shared" si="6"/>
        <v>1.864479409</v>
      </c>
      <c r="G18" s="121">
        <f t="shared" si="6"/>
        <v>0.5660856359</v>
      </c>
      <c r="H18" s="126">
        <f t="shared" si="5"/>
        <v>150.2302809</v>
      </c>
    </row>
    <row r="19" ht="15.75" customHeight="1">
      <c r="A19" s="134"/>
      <c r="B19" s="119" t="s">
        <v>89</v>
      </c>
      <c r="C19" s="121">
        <f t="shared" ref="C19:G19" si="7">C10/1000000</f>
        <v>0.1123037931</v>
      </c>
      <c r="D19" s="121">
        <f t="shared" si="7"/>
        <v>0.1003402755</v>
      </c>
      <c r="E19" s="121">
        <f t="shared" si="7"/>
        <v>0.7095712267</v>
      </c>
      <c r="F19" s="121">
        <f t="shared" si="7"/>
        <v>2.656302678</v>
      </c>
      <c r="G19" s="121">
        <f t="shared" si="7"/>
        <v>0.04791139871</v>
      </c>
      <c r="H19" s="126">
        <f t="shared" si="5"/>
        <v>3.626429372</v>
      </c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</row>
    <row r="20" ht="15.75" customHeight="1">
      <c r="A20" s="70"/>
      <c r="B20" s="119" t="s">
        <v>91</v>
      </c>
      <c r="C20" s="121">
        <f t="shared" ref="C20:G20" si="8">C11/1000000</f>
        <v>1.542702367</v>
      </c>
      <c r="D20" s="121">
        <f t="shared" si="8"/>
        <v>3.524834843</v>
      </c>
      <c r="E20" s="121">
        <f t="shared" si="8"/>
        <v>0.5796253711</v>
      </c>
      <c r="F20" s="121">
        <f t="shared" si="8"/>
        <v>0.07745658839</v>
      </c>
      <c r="G20" s="121">
        <f t="shared" si="8"/>
        <v>15.21328286</v>
      </c>
      <c r="H20" s="126">
        <f t="shared" si="5"/>
        <v>20.93790203</v>
      </c>
    </row>
    <row r="21" ht="15.75" customHeight="1">
      <c r="A21" s="70"/>
      <c r="B21" s="147" t="s">
        <v>170</v>
      </c>
      <c r="C21" s="148">
        <f t="shared" ref="C21:G21" si="9">SUM(C16:C20)</f>
        <v>505.7437492</v>
      </c>
      <c r="D21" s="148">
        <f t="shared" si="9"/>
        <v>45.91645588</v>
      </c>
      <c r="E21" s="148">
        <f t="shared" si="9"/>
        <v>273.3123832</v>
      </c>
      <c r="F21" s="148">
        <f t="shared" si="9"/>
        <v>6.374966489</v>
      </c>
      <c r="G21" s="148">
        <f t="shared" si="9"/>
        <v>19.29360259</v>
      </c>
      <c r="H21" s="149">
        <f>SUM(C16:G20)</f>
        <v>850.6411574</v>
      </c>
    </row>
    <row r="22" ht="15.75" customHeight="1">
      <c r="A22" s="70"/>
    </row>
    <row r="23" ht="15.75" customHeight="1">
      <c r="A23" s="70"/>
    </row>
    <row r="24" ht="15.75" customHeight="1">
      <c r="A24" s="70"/>
    </row>
    <row r="25" ht="15.75" customHeight="1">
      <c r="A25" s="70"/>
    </row>
    <row r="26" ht="15.75" customHeight="1">
      <c r="A26" s="70"/>
    </row>
    <row r="27" ht="15.75" customHeight="1">
      <c r="A27" s="70"/>
    </row>
    <row r="28" ht="15.75" customHeight="1">
      <c r="A28" s="70"/>
    </row>
    <row r="29" ht="15.75" customHeight="1">
      <c r="A29" s="70"/>
    </row>
    <row r="30" ht="15.75" customHeight="1">
      <c r="A30" s="70"/>
    </row>
    <row r="31" ht="15.75" customHeight="1">
      <c r="A31" s="70"/>
    </row>
    <row r="32" ht="15.75" customHeight="1">
      <c r="A32" s="70"/>
    </row>
    <row r="33" ht="15.75" customHeight="1">
      <c r="A33" s="70"/>
    </row>
    <row r="34" ht="15.75" customHeight="1">
      <c r="A34" s="70"/>
    </row>
    <row r="35" ht="15.75" customHeight="1">
      <c r="A35" s="70"/>
    </row>
    <row r="36" ht="15.75" customHeight="1">
      <c r="A36" s="70"/>
    </row>
    <row r="37" ht="15.75" customHeight="1">
      <c r="A37" s="70"/>
    </row>
    <row r="38" ht="15.75" customHeight="1">
      <c r="A38" s="70"/>
    </row>
    <row r="39" ht="15.75" customHeight="1">
      <c r="A39" s="70"/>
    </row>
    <row r="40" ht="15.75" customHeight="1">
      <c r="A40" s="70"/>
    </row>
    <row r="41" ht="15.75" customHeight="1">
      <c r="A41" s="70"/>
    </row>
    <row r="42" ht="15.75" customHeight="1">
      <c r="A42" s="70"/>
    </row>
    <row r="43" ht="15.75" customHeight="1">
      <c r="A43" s="70"/>
    </row>
    <row r="44" ht="15.75" customHeight="1">
      <c r="A44" s="70"/>
    </row>
    <row r="45" ht="15.75" customHeight="1">
      <c r="A45" s="70"/>
    </row>
    <row r="46" ht="15.75" customHeight="1">
      <c r="A46" s="70"/>
    </row>
    <row r="47" ht="15.75" customHeight="1">
      <c r="A47" s="70"/>
    </row>
    <row r="48" ht="15.75" customHeight="1">
      <c r="A48" s="70"/>
    </row>
    <row r="49" ht="15.75" customHeight="1">
      <c r="A49" s="70"/>
    </row>
    <row r="50" ht="15.75" customHeight="1">
      <c r="A50" s="70"/>
    </row>
    <row r="51" ht="15.75" customHeight="1">
      <c r="A51" s="70"/>
    </row>
    <row r="52" ht="15.75" customHeight="1">
      <c r="A52" s="70"/>
    </row>
    <row r="53" ht="15.75" customHeight="1">
      <c r="A53" s="70"/>
    </row>
    <row r="54" ht="15.75" customHeight="1">
      <c r="A54" s="70"/>
    </row>
    <row r="55" ht="15.75" customHeight="1">
      <c r="A55" s="70"/>
    </row>
    <row r="56" ht="15.75" customHeight="1">
      <c r="A56" s="70"/>
    </row>
    <row r="57" ht="15.75" customHeight="1">
      <c r="A57" s="70"/>
    </row>
    <row r="58" ht="15.75" customHeight="1">
      <c r="A58" s="70"/>
    </row>
    <row r="59" ht="15.75" customHeight="1">
      <c r="A59" s="70"/>
    </row>
    <row r="60" ht="15.75" customHeight="1">
      <c r="A60" s="70"/>
    </row>
    <row r="61" ht="15.75" customHeight="1">
      <c r="A61" s="70"/>
    </row>
    <row r="62" ht="15.75" customHeight="1">
      <c r="A62" s="70"/>
    </row>
    <row r="63" ht="15.75" customHeight="1">
      <c r="A63" s="70"/>
    </row>
    <row r="64" ht="15.75" customHeight="1">
      <c r="A64" s="70"/>
    </row>
    <row r="65" ht="15.75" customHeight="1">
      <c r="A65" s="70"/>
    </row>
    <row r="66" ht="15.75" customHeight="1">
      <c r="A66" s="70"/>
    </row>
    <row r="67" ht="15.75" customHeight="1">
      <c r="A67" s="70"/>
    </row>
    <row r="68" ht="15.75" customHeight="1">
      <c r="A68" s="70"/>
    </row>
    <row r="69" ht="15.75" customHeight="1">
      <c r="A69" s="70"/>
    </row>
    <row r="70" ht="15.75" customHeight="1">
      <c r="A70" s="70"/>
    </row>
    <row r="71" ht="15.75" customHeight="1">
      <c r="A71" s="70"/>
    </row>
    <row r="72" ht="15.75" customHeight="1">
      <c r="A72" s="70"/>
    </row>
    <row r="73" ht="15.75" customHeight="1">
      <c r="A73" s="70"/>
    </row>
    <row r="74" ht="15.75" customHeight="1">
      <c r="A74" s="70"/>
    </row>
    <row r="75" ht="15.75" customHeight="1">
      <c r="A75" s="70"/>
    </row>
    <row r="76" ht="15.75" customHeight="1">
      <c r="A76" s="70"/>
    </row>
    <row r="77" ht="15.75" customHeight="1">
      <c r="A77" s="70"/>
    </row>
    <row r="78" ht="15.75" customHeight="1">
      <c r="A78" s="70"/>
    </row>
    <row r="79" ht="15.75" customHeight="1">
      <c r="A79" s="70"/>
    </row>
    <row r="80" ht="15.75" customHeight="1">
      <c r="A80" s="70"/>
    </row>
    <row r="81" ht="15.75" customHeight="1">
      <c r="A81" s="70"/>
    </row>
    <row r="82" ht="15.75" customHeight="1">
      <c r="A82" s="70"/>
    </row>
    <row r="83" ht="15.75" customHeight="1">
      <c r="A83" s="70"/>
    </row>
    <row r="84" ht="15.75" customHeight="1">
      <c r="A84" s="70"/>
    </row>
    <row r="85" ht="15.75" customHeight="1">
      <c r="A85" s="70"/>
    </row>
    <row r="86" ht="15.75" customHeight="1">
      <c r="A86" s="70"/>
    </row>
    <row r="87" ht="15.75" customHeight="1">
      <c r="A87" s="70"/>
    </row>
    <row r="88" ht="15.75" customHeight="1">
      <c r="A88" s="70"/>
    </row>
    <row r="89" ht="15.75" customHeight="1">
      <c r="A89" s="70"/>
    </row>
    <row r="90" ht="15.75" customHeight="1">
      <c r="A90" s="70"/>
    </row>
    <row r="91" ht="15.75" customHeight="1">
      <c r="A91" s="70"/>
    </row>
    <row r="92" ht="15.75" customHeight="1">
      <c r="A92" s="70"/>
    </row>
    <row r="93" ht="15.75" customHeight="1">
      <c r="A93" s="70"/>
    </row>
    <row r="94" ht="15.75" customHeight="1">
      <c r="A94" s="70"/>
    </row>
    <row r="95" ht="15.75" customHeight="1">
      <c r="A95" s="70"/>
    </row>
    <row r="96" ht="15.75" customHeight="1">
      <c r="A96" s="70"/>
    </row>
    <row r="97" ht="15.75" customHeight="1">
      <c r="A97" s="70"/>
    </row>
    <row r="98" ht="15.75" customHeight="1">
      <c r="A98" s="70"/>
    </row>
    <row r="99" ht="15.75" customHeight="1">
      <c r="A99" s="70"/>
    </row>
    <row r="100" ht="15.75" customHeight="1">
      <c r="A100" s="70"/>
    </row>
    <row r="101" ht="15.75" customHeight="1">
      <c r="A101" s="70"/>
    </row>
    <row r="102" ht="15.75" customHeight="1">
      <c r="A102" s="70"/>
    </row>
    <row r="103" ht="15.75" customHeight="1">
      <c r="A103" s="70"/>
    </row>
    <row r="104" ht="15.75" customHeight="1">
      <c r="A104" s="70"/>
    </row>
    <row r="105" ht="15.75" customHeight="1">
      <c r="A105" s="70"/>
    </row>
    <row r="106" ht="15.75" customHeight="1">
      <c r="A106" s="70"/>
    </row>
    <row r="107" ht="15.75" customHeight="1">
      <c r="A107" s="70"/>
    </row>
    <row r="108" ht="15.75" customHeight="1">
      <c r="A108" s="70"/>
    </row>
    <row r="109" ht="15.75" customHeight="1">
      <c r="A109" s="70"/>
    </row>
    <row r="110" ht="15.75" customHeight="1">
      <c r="A110" s="70"/>
    </row>
    <row r="111" ht="15.75" customHeight="1">
      <c r="A111" s="70"/>
    </row>
    <row r="112" ht="15.75" customHeight="1">
      <c r="A112" s="70"/>
    </row>
    <row r="113" ht="15.75" customHeight="1">
      <c r="A113" s="70"/>
    </row>
    <row r="114" ht="15.75" customHeight="1">
      <c r="A114" s="70"/>
    </row>
    <row r="115" ht="15.75" customHeight="1">
      <c r="A115" s="70"/>
    </row>
    <row r="116" ht="15.75" customHeight="1">
      <c r="A116" s="70"/>
    </row>
    <row r="117" ht="15.75" customHeight="1">
      <c r="A117" s="70"/>
    </row>
    <row r="118" ht="15.75" customHeight="1">
      <c r="A118" s="70"/>
    </row>
    <row r="119" ht="15.75" customHeight="1">
      <c r="A119" s="70"/>
    </row>
    <row r="120" ht="15.75" customHeight="1">
      <c r="A120" s="70"/>
    </row>
    <row r="121" ht="15.75" customHeight="1">
      <c r="A121" s="70"/>
    </row>
    <row r="122" ht="15.75" customHeight="1">
      <c r="A122" s="70"/>
    </row>
    <row r="123" ht="15.75" customHeight="1">
      <c r="A123" s="70"/>
    </row>
    <row r="124" ht="15.75" customHeight="1">
      <c r="A124" s="70"/>
    </row>
    <row r="125" ht="15.75" customHeight="1">
      <c r="A125" s="70"/>
    </row>
    <row r="126" ht="15.75" customHeight="1">
      <c r="A126" s="70"/>
    </row>
    <row r="127" ht="15.75" customHeight="1">
      <c r="A127" s="70"/>
    </row>
    <row r="128" ht="15.75" customHeight="1">
      <c r="A128" s="70"/>
    </row>
    <row r="129" ht="15.75" customHeight="1">
      <c r="A129" s="70"/>
    </row>
    <row r="130" ht="15.75" customHeight="1">
      <c r="A130" s="70"/>
    </row>
    <row r="131" ht="15.75" customHeight="1">
      <c r="A131" s="70"/>
    </row>
    <row r="132" ht="15.75" customHeight="1">
      <c r="A132" s="70"/>
    </row>
    <row r="133" ht="15.75" customHeight="1">
      <c r="A133" s="70"/>
    </row>
    <row r="134" ht="15.75" customHeight="1">
      <c r="A134" s="70"/>
    </row>
    <row r="135" ht="15.75" customHeight="1">
      <c r="A135" s="70"/>
    </row>
    <row r="136" ht="15.75" customHeight="1">
      <c r="A136" s="70"/>
    </row>
    <row r="137" ht="15.75" customHeight="1">
      <c r="A137" s="70"/>
    </row>
    <row r="138" ht="15.75" customHeight="1">
      <c r="A138" s="70"/>
    </row>
    <row r="139" ht="15.75" customHeight="1">
      <c r="A139" s="70"/>
    </row>
    <row r="140" ht="15.75" customHeight="1">
      <c r="A140" s="70"/>
    </row>
    <row r="141" ht="15.75" customHeight="1">
      <c r="A141" s="70"/>
    </row>
    <row r="142" ht="15.75" customHeight="1">
      <c r="A142" s="70"/>
    </row>
    <row r="143" ht="15.75" customHeight="1">
      <c r="A143" s="70"/>
    </row>
    <row r="144" ht="15.75" customHeight="1">
      <c r="A144" s="70"/>
    </row>
    <row r="145" ht="15.75" customHeight="1">
      <c r="A145" s="70"/>
    </row>
    <row r="146" ht="15.75" customHeight="1">
      <c r="A146" s="70"/>
    </row>
    <row r="147" ht="15.75" customHeight="1">
      <c r="A147" s="70"/>
    </row>
    <row r="148" ht="15.75" customHeight="1">
      <c r="A148" s="70"/>
    </row>
    <row r="149" ht="15.75" customHeight="1">
      <c r="A149" s="70"/>
    </row>
    <row r="150" ht="15.75" customHeight="1">
      <c r="A150" s="70"/>
    </row>
    <row r="151" ht="15.75" customHeight="1">
      <c r="A151" s="70"/>
    </row>
    <row r="152" ht="15.75" customHeight="1">
      <c r="A152" s="70"/>
    </row>
    <row r="153" ht="15.75" customHeight="1">
      <c r="A153" s="70"/>
    </row>
    <row r="154" ht="15.75" customHeight="1">
      <c r="A154" s="70"/>
    </row>
    <row r="155" ht="15.75" customHeight="1">
      <c r="A155" s="70"/>
    </row>
    <row r="156" ht="15.75" customHeight="1">
      <c r="A156" s="70"/>
    </row>
    <row r="157" ht="15.75" customHeight="1">
      <c r="A157" s="70"/>
    </row>
    <row r="158" ht="15.75" customHeight="1">
      <c r="A158" s="70"/>
    </row>
    <row r="159" ht="15.75" customHeight="1">
      <c r="A159" s="70"/>
    </row>
    <row r="160" ht="15.75" customHeight="1">
      <c r="A160" s="70"/>
    </row>
    <row r="161" ht="15.75" customHeight="1">
      <c r="A161" s="70"/>
    </row>
    <row r="162" ht="15.75" customHeight="1">
      <c r="A162" s="70"/>
    </row>
    <row r="163" ht="15.75" customHeight="1">
      <c r="A163" s="70"/>
    </row>
    <row r="164" ht="15.75" customHeight="1">
      <c r="A164" s="70"/>
    </row>
    <row r="165" ht="15.75" customHeight="1">
      <c r="A165" s="70"/>
    </row>
    <row r="166" ht="15.75" customHeight="1">
      <c r="A166" s="70"/>
    </row>
    <row r="167" ht="15.75" customHeight="1">
      <c r="A167" s="70"/>
    </row>
    <row r="168" ht="15.75" customHeight="1">
      <c r="A168" s="70"/>
    </row>
    <row r="169" ht="15.75" customHeight="1">
      <c r="A169" s="70"/>
    </row>
    <row r="170" ht="15.75" customHeight="1">
      <c r="A170" s="70"/>
    </row>
    <row r="171" ht="15.75" customHeight="1">
      <c r="A171" s="70"/>
    </row>
    <row r="172" ht="15.75" customHeight="1">
      <c r="A172" s="70"/>
    </row>
    <row r="173" ht="15.75" customHeight="1">
      <c r="A173" s="70"/>
    </row>
    <row r="174" ht="15.75" customHeight="1">
      <c r="A174" s="70"/>
    </row>
    <row r="175" ht="15.75" customHeight="1">
      <c r="A175" s="70"/>
    </row>
    <row r="176" ht="15.75" customHeight="1">
      <c r="A176" s="70"/>
    </row>
    <row r="177" ht="15.75" customHeight="1">
      <c r="A177" s="70"/>
    </row>
    <row r="178" ht="15.75" customHeight="1">
      <c r="A178" s="70"/>
    </row>
    <row r="179" ht="15.75" customHeight="1">
      <c r="A179" s="70"/>
    </row>
    <row r="180" ht="15.75" customHeight="1">
      <c r="A180" s="70"/>
    </row>
    <row r="181" ht="15.75" customHeight="1">
      <c r="A181" s="70"/>
    </row>
    <row r="182" ht="15.75" customHeight="1">
      <c r="A182" s="70"/>
    </row>
    <row r="183" ht="15.75" customHeight="1">
      <c r="A183" s="70"/>
    </row>
    <row r="184" ht="15.75" customHeight="1">
      <c r="A184" s="70"/>
    </row>
    <row r="185" ht="15.75" customHeight="1">
      <c r="A185" s="70"/>
    </row>
    <row r="186" ht="15.75" customHeight="1">
      <c r="A186" s="70"/>
    </row>
    <row r="187" ht="15.75" customHeight="1">
      <c r="A187" s="70"/>
    </row>
    <row r="188" ht="15.75" customHeight="1">
      <c r="A188" s="70"/>
    </row>
    <row r="189" ht="15.75" customHeight="1">
      <c r="A189" s="70"/>
    </row>
    <row r="190" ht="15.75" customHeight="1">
      <c r="A190" s="70"/>
    </row>
    <row r="191" ht="15.75" customHeight="1">
      <c r="A191" s="70"/>
    </row>
    <row r="192" ht="15.75" customHeight="1">
      <c r="A192" s="70"/>
    </row>
    <row r="193" ht="15.75" customHeight="1">
      <c r="A193" s="70"/>
    </row>
    <row r="194" ht="15.75" customHeight="1">
      <c r="A194" s="70"/>
    </row>
    <row r="195" ht="15.75" customHeight="1">
      <c r="A195" s="70"/>
    </row>
    <row r="196" ht="15.75" customHeight="1">
      <c r="A196" s="70"/>
    </row>
    <row r="197" ht="15.75" customHeight="1">
      <c r="A197" s="70"/>
    </row>
    <row r="198" ht="15.75" customHeight="1">
      <c r="A198" s="70"/>
    </row>
    <row r="199" ht="15.75" customHeight="1">
      <c r="A199" s="70"/>
    </row>
    <row r="200" ht="15.75" customHeight="1">
      <c r="A200" s="70"/>
    </row>
    <row r="201" ht="15.75" customHeight="1">
      <c r="A201" s="70"/>
    </row>
    <row r="202" ht="15.75" customHeight="1">
      <c r="A202" s="70"/>
    </row>
    <row r="203" ht="15.75" customHeight="1">
      <c r="A203" s="70"/>
    </row>
    <row r="204" ht="15.75" customHeight="1">
      <c r="A204" s="70"/>
    </row>
    <row r="205" ht="15.75" customHeight="1">
      <c r="A205" s="70"/>
    </row>
    <row r="206" ht="15.75" customHeight="1">
      <c r="A206" s="70"/>
    </row>
    <row r="207" ht="15.75" customHeight="1">
      <c r="A207" s="70"/>
    </row>
    <row r="208" ht="15.75" customHeight="1">
      <c r="A208" s="70"/>
    </row>
    <row r="209" ht="15.75" customHeight="1">
      <c r="A209" s="70"/>
    </row>
    <row r="210" ht="15.75" customHeight="1">
      <c r="A210" s="70"/>
    </row>
    <row r="211" ht="15.75" customHeight="1">
      <c r="A211" s="70"/>
    </row>
    <row r="212" ht="15.75" customHeight="1">
      <c r="A212" s="70"/>
    </row>
    <row r="213" ht="15.75" customHeight="1">
      <c r="A213" s="70"/>
    </row>
    <row r="214" ht="15.75" customHeight="1">
      <c r="A214" s="70"/>
    </row>
    <row r="215" ht="15.75" customHeight="1">
      <c r="A215" s="70"/>
    </row>
    <row r="216" ht="15.75" customHeight="1">
      <c r="A216" s="70"/>
    </row>
    <row r="217" ht="15.75" customHeight="1">
      <c r="A217" s="70"/>
    </row>
    <row r="218" ht="15.75" customHeight="1">
      <c r="A218" s="70"/>
    </row>
    <row r="219" ht="15.75" customHeight="1">
      <c r="A219" s="70"/>
    </row>
    <row r="220" ht="15.75" customHeight="1">
      <c r="A220" s="70"/>
    </row>
    <row r="221" ht="15.75" customHeight="1">
      <c r="A221" s="70"/>
    </row>
    <row r="222" ht="15.75" customHeight="1">
      <c r="A222" s="70"/>
    </row>
    <row r="223" ht="15.75" customHeight="1">
      <c r="A223" s="70"/>
    </row>
    <row r="224" ht="15.75" customHeight="1">
      <c r="A224" s="70"/>
    </row>
    <row r="225" ht="15.75" customHeight="1">
      <c r="A225" s="70"/>
    </row>
    <row r="226" ht="15.75" customHeight="1">
      <c r="A226" s="70"/>
    </row>
    <row r="227" ht="15.75" customHeight="1">
      <c r="A227" s="70"/>
    </row>
    <row r="228" ht="15.75" customHeight="1">
      <c r="A228" s="70"/>
    </row>
    <row r="229" ht="15.75" customHeight="1">
      <c r="A229" s="70"/>
    </row>
    <row r="230" ht="15.75" customHeight="1">
      <c r="A230" s="70"/>
    </row>
    <row r="231" ht="15.75" customHeight="1">
      <c r="A231" s="70"/>
    </row>
    <row r="232" ht="15.75" customHeight="1">
      <c r="A232" s="70"/>
    </row>
    <row r="233" ht="15.75" customHeight="1">
      <c r="A233" s="70"/>
    </row>
    <row r="234" ht="15.75" customHeight="1">
      <c r="A234" s="70"/>
    </row>
    <row r="235" ht="15.75" customHeight="1">
      <c r="A235" s="70"/>
    </row>
    <row r="236" ht="15.75" customHeight="1">
      <c r="A236" s="70"/>
    </row>
    <row r="237" ht="15.75" customHeight="1">
      <c r="A237" s="70"/>
    </row>
    <row r="238" ht="15.75" customHeight="1">
      <c r="A238" s="70"/>
    </row>
    <row r="239" ht="15.75" customHeight="1">
      <c r="A239" s="70"/>
    </row>
    <row r="240" ht="15.75" customHeight="1">
      <c r="A240" s="70"/>
    </row>
    <row r="241" ht="15.75" customHeight="1">
      <c r="A241" s="70"/>
    </row>
    <row r="242" ht="15.75" customHeight="1">
      <c r="A242" s="70"/>
    </row>
    <row r="243" ht="15.75" customHeight="1">
      <c r="A243" s="70"/>
    </row>
    <row r="244" ht="15.75" customHeight="1">
      <c r="A244" s="70"/>
    </row>
    <row r="245" ht="15.75" customHeight="1">
      <c r="A245" s="70"/>
    </row>
    <row r="246" ht="15.75" customHeight="1">
      <c r="A246" s="70"/>
    </row>
    <row r="247" ht="15.75" customHeight="1">
      <c r="A247" s="70"/>
    </row>
    <row r="248" ht="15.75" customHeight="1">
      <c r="A248" s="70"/>
    </row>
    <row r="249" ht="15.75" customHeight="1">
      <c r="A249" s="70"/>
    </row>
    <row r="250" ht="15.75" customHeight="1">
      <c r="A250" s="70"/>
    </row>
    <row r="251" ht="15.75" customHeight="1">
      <c r="A251" s="70"/>
    </row>
    <row r="252" ht="15.75" customHeight="1">
      <c r="A252" s="70"/>
    </row>
    <row r="253" ht="15.75" customHeight="1">
      <c r="A253" s="70"/>
    </row>
    <row r="254" ht="15.75" customHeight="1">
      <c r="A254" s="70"/>
    </row>
    <row r="255" ht="15.75" customHeight="1">
      <c r="A255" s="70"/>
    </row>
    <row r="256" ht="15.75" customHeight="1">
      <c r="A256" s="70"/>
    </row>
    <row r="257" ht="15.75" customHeight="1">
      <c r="A257" s="70"/>
    </row>
    <row r="258" ht="15.75" customHeight="1">
      <c r="A258" s="70"/>
    </row>
    <row r="259" ht="15.75" customHeight="1">
      <c r="A259" s="70"/>
    </row>
    <row r="260" ht="15.75" customHeight="1">
      <c r="A260" s="70"/>
    </row>
    <row r="261" ht="15.75" customHeight="1">
      <c r="A261" s="70"/>
    </row>
    <row r="262" ht="15.75" customHeight="1">
      <c r="A262" s="70"/>
    </row>
    <row r="263" ht="15.75" customHeight="1">
      <c r="A263" s="70"/>
    </row>
    <row r="264" ht="15.75" customHeight="1">
      <c r="A264" s="70"/>
    </row>
    <row r="265" ht="15.75" customHeight="1">
      <c r="A265" s="70"/>
    </row>
    <row r="266" ht="15.75" customHeight="1">
      <c r="A266" s="70"/>
    </row>
    <row r="267" ht="15.75" customHeight="1">
      <c r="A267" s="70"/>
    </row>
    <row r="268" ht="15.75" customHeight="1">
      <c r="A268" s="70"/>
    </row>
    <row r="269" ht="15.75" customHeight="1">
      <c r="A269" s="70"/>
    </row>
    <row r="270" ht="15.75" customHeight="1">
      <c r="A270" s="70"/>
    </row>
    <row r="271" ht="15.75" customHeight="1">
      <c r="A271" s="70"/>
    </row>
    <row r="272" ht="15.75" customHeight="1">
      <c r="A272" s="70"/>
    </row>
    <row r="273" ht="15.75" customHeight="1">
      <c r="A273" s="70"/>
    </row>
    <row r="274" ht="15.75" customHeight="1">
      <c r="A274" s="70"/>
    </row>
    <row r="275" ht="15.75" customHeight="1">
      <c r="A275" s="70"/>
    </row>
    <row r="276" ht="15.75" customHeight="1">
      <c r="A276" s="70"/>
    </row>
    <row r="277" ht="15.75" customHeight="1">
      <c r="A277" s="70"/>
    </row>
    <row r="278" ht="15.75" customHeight="1">
      <c r="A278" s="70"/>
    </row>
    <row r="279" ht="15.75" customHeight="1">
      <c r="A279" s="70"/>
    </row>
    <row r="280" ht="15.75" customHeight="1">
      <c r="A280" s="70"/>
    </row>
    <row r="281" ht="15.75" customHeight="1">
      <c r="A281" s="70"/>
    </row>
    <row r="282" ht="15.75" customHeight="1">
      <c r="A282" s="70"/>
    </row>
    <row r="283" ht="15.75" customHeight="1">
      <c r="A283" s="70"/>
    </row>
    <row r="284" ht="15.75" customHeight="1">
      <c r="A284" s="70"/>
    </row>
    <row r="285" ht="15.75" customHeight="1">
      <c r="A285" s="70"/>
    </row>
    <row r="286" ht="15.75" customHeight="1">
      <c r="A286" s="70"/>
    </row>
    <row r="287" ht="15.75" customHeight="1">
      <c r="A287" s="70"/>
    </row>
    <row r="288" ht="15.75" customHeight="1">
      <c r="A288" s="70"/>
    </row>
    <row r="289" ht="15.75" customHeight="1">
      <c r="A289" s="70"/>
    </row>
    <row r="290" ht="15.75" customHeight="1">
      <c r="A290" s="70"/>
    </row>
    <row r="291" ht="15.75" customHeight="1">
      <c r="A291" s="70"/>
    </row>
    <row r="292" ht="15.75" customHeight="1">
      <c r="A292" s="70"/>
    </row>
    <row r="293" ht="15.75" customHeight="1">
      <c r="A293" s="70"/>
    </row>
    <row r="294" ht="15.75" customHeight="1">
      <c r="A294" s="70"/>
    </row>
    <row r="295" ht="15.75" customHeight="1">
      <c r="A295" s="70"/>
    </row>
    <row r="296" ht="15.75" customHeight="1">
      <c r="A296" s="70"/>
    </row>
    <row r="297" ht="15.75" customHeight="1">
      <c r="A297" s="70"/>
    </row>
    <row r="298" ht="15.75" customHeight="1">
      <c r="A298" s="70"/>
    </row>
    <row r="299" ht="15.75" customHeight="1">
      <c r="A299" s="70"/>
    </row>
    <row r="300" ht="15.75" customHeight="1">
      <c r="A300" s="70"/>
    </row>
    <row r="301" ht="15.75" customHeight="1">
      <c r="A301" s="70"/>
    </row>
    <row r="302" ht="15.75" customHeight="1">
      <c r="A302" s="70"/>
    </row>
    <row r="303" ht="15.75" customHeight="1">
      <c r="A303" s="70"/>
    </row>
    <row r="304" ht="15.75" customHeight="1">
      <c r="A304" s="70"/>
    </row>
    <row r="305" ht="15.75" customHeight="1">
      <c r="A305" s="70"/>
    </row>
    <row r="306" ht="15.75" customHeight="1">
      <c r="A306" s="70"/>
    </row>
    <row r="307" ht="15.75" customHeight="1">
      <c r="A307" s="70"/>
    </row>
    <row r="308" ht="15.75" customHeight="1">
      <c r="A308" s="70"/>
    </row>
    <row r="309" ht="15.75" customHeight="1">
      <c r="A309" s="70"/>
    </row>
    <row r="310" ht="15.75" customHeight="1">
      <c r="A310" s="70"/>
    </row>
    <row r="311" ht="15.75" customHeight="1">
      <c r="A311" s="70"/>
    </row>
    <row r="312" ht="15.75" customHeight="1">
      <c r="A312" s="70"/>
    </row>
    <row r="313" ht="15.75" customHeight="1">
      <c r="A313" s="70"/>
    </row>
    <row r="314" ht="15.75" customHeight="1">
      <c r="A314" s="70"/>
    </row>
    <row r="315" ht="15.75" customHeight="1">
      <c r="A315" s="70"/>
    </row>
    <row r="316" ht="15.75" customHeight="1">
      <c r="A316" s="70"/>
    </row>
    <row r="317" ht="15.75" customHeight="1">
      <c r="A317" s="70"/>
    </row>
    <row r="318" ht="15.75" customHeight="1">
      <c r="A318" s="70"/>
    </row>
    <row r="319" ht="15.75" customHeight="1">
      <c r="A319" s="70"/>
    </row>
    <row r="320" ht="15.75" customHeight="1">
      <c r="A320" s="70"/>
    </row>
    <row r="321" ht="15.75" customHeight="1">
      <c r="A321" s="70"/>
    </row>
    <row r="322" ht="15.75" customHeight="1">
      <c r="A322" s="70"/>
    </row>
    <row r="323" ht="15.75" customHeight="1">
      <c r="A323" s="70"/>
    </row>
    <row r="324" ht="15.75" customHeight="1">
      <c r="A324" s="70"/>
    </row>
    <row r="325" ht="15.75" customHeight="1">
      <c r="A325" s="70"/>
    </row>
    <row r="326" ht="15.75" customHeight="1">
      <c r="A326" s="70"/>
    </row>
    <row r="327" ht="15.75" customHeight="1">
      <c r="A327" s="70"/>
    </row>
    <row r="328" ht="15.75" customHeight="1">
      <c r="A328" s="70"/>
    </row>
    <row r="329" ht="15.75" customHeight="1">
      <c r="A329" s="70"/>
    </row>
    <row r="330" ht="15.75" customHeight="1">
      <c r="A330" s="70"/>
    </row>
    <row r="331" ht="15.75" customHeight="1">
      <c r="A331" s="70"/>
    </row>
    <row r="332" ht="15.75" customHeight="1">
      <c r="A332" s="70"/>
    </row>
    <row r="333" ht="15.75" customHeight="1">
      <c r="A333" s="70"/>
    </row>
    <row r="334" ht="15.75" customHeight="1">
      <c r="A334" s="70"/>
    </row>
    <row r="335" ht="15.75" customHeight="1">
      <c r="A335" s="70"/>
    </row>
    <row r="336" ht="15.75" customHeight="1">
      <c r="A336" s="70"/>
    </row>
    <row r="337" ht="15.75" customHeight="1">
      <c r="A337" s="70"/>
    </row>
    <row r="338" ht="15.75" customHeight="1">
      <c r="A338" s="70"/>
    </row>
    <row r="339" ht="15.75" customHeight="1">
      <c r="A339" s="70"/>
    </row>
    <row r="340" ht="15.75" customHeight="1">
      <c r="A340" s="70"/>
    </row>
    <row r="341" ht="15.75" customHeight="1">
      <c r="A341" s="70"/>
    </row>
    <row r="342" ht="15.75" customHeight="1">
      <c r="A342" s="70"/>
    </row>
    <row r="343" ht="15.75" customHeight="1">
      <c r="A343" s="70"/>
    </row>
    <row r="344" ht="15.75" customHeight="1">
      <c r="A344" s="70"/>
    </row>
    <row r="345" ht="15.75" customHeight="1">
      <c r="A345" s="70"/>
    </row>
    <row r="346" ht="15.75" customHeight="1">
      <c r="A346" s="70"/>
    </row>
    <row r="347" ht="15.75" customHeight="1">
      <c r="A347" s="70"/>
    </row>
    <row r="348" ht="15.75" customHeight="1">
      <c r="A348" s="70"/>
    </row>
    <row r="349" ht="15.75" customHeight="1">
      <c r="A349" s="70"/>
    </row>
    <row r="350" ht="15.75" customHeight="1">
      <c r="A350" s="70"/>
    </row>
    <row r="351" ht="15.75" customHeight="1">
      <c r="A351" s="70"/>
    </row>
    <row r="352" ht="15.75" customHeight="1">
      <c r="A352" s="70"/>
    </row>
    <row r="353" ht="15.75" customHeight="1">
      <c r="A353" s="70"/>
    </row>
    <row r="354" ht="15.75" customHeight="1">
      <c r="A354" s="70"/>
    </row>
    <row r="355" ht="15.75" customHeight="1">
      <c r="A355" s="70"/>
    </row>
    <row r="356" ht="15.75" customHeight="1">
      <c r="A356" s="70"/>
    </row>
    <row r="357" ht="15.75" customHeight="1">
      <c r="A357" s="70"/>
    </row>
    <row r="358" ht="15.75" customHeight="1">
      <c r="A358" s="70"/>
    </row>
    <row r="359" ht="15.75" customHeight="1">
      <c r="A359" s="70"/>
    </row>
    <row r="360" ht="15.75" customHeight="1">
      <c r="A360" s="70"/>
    </row>
    <row r="361" ht="15.75" customHeight="1">
      <c r="A361" s="70"/>
    </row>
    <row r="362" ht="15.75" customHeight="1">
      <c r="A362" s="70"/>
    </row>
    <row r="363" ht="15.75" customHeight="1">
      <c r="A363" s="70"/>
    </row>
    <row r="364" ht="15.75" customHeight="1">
      <c r="A364" s="70"/>
    </row>
    <row r="365" ht="15.75" customHeight="1">
      <c r="A365" s="70"/>
    </row>
    <row r="366" ht="15.75" customHeight="1">
      <c r="A366" s="70"/>
    </row>
    <row r="367" ht="15.75" customHeight="1">
      <c r="A367" s="70"/>
    </row>
    <row r="368" ht="15.75" customHeight="1">
      <c r="A368" s="70"/>
    </row>
    <row r="369" ht="15.75" customHeight="1">
      <c r="A369" s="70"/>
    </row>
    <row r="370" ht="15.75" customHeight="1">
      <c r="A370" s="70"/>
    </row>
    <row r="371" ht="15.75" customHeight="1">
      <c r="A371" s="70"/>
    </row>
    <row r="372" ht="15.75" customHeight="1">
      <c r="A372" s="70"/>
    </row>
    <row r="373" ht="15.75" customHeight="1">
      <c r="A373" s="70"/>
    </row>
    <row r="374" ht="15.75" customHeight="1">
      <c r="A374" s="70"/>
    </row>
    <row r="375" ht="15.75" customHeight="1">
      <c r="A375" s="70"/>
    </row>
    <row r="376" ht="15.75" customHeight="1">
      <c r="A376" s="70"/>
    </row>
    <row r="377" ht="15.75" customHeight="1">
      <c r="A377" s="70"/>
    </row>
    <row r="378" ht="15.75" customHeight="1">
      <c r="A378" s="70"/>
    </row>
    <row r="379" ht="15.75" customHeight="1">
      <c r="A379" s="70"/>
    </row>
    <row r="380" ht="15.75" customHeight="1">
      <c r="A380" s="70"/>
    </row>
    <row r="381" ht="15.75" customHeight="1">
      <c r="A381" s="70"/>
    </row>
    <row r="382" ht="15.75" customHeight="1">
      <c r="A382" s="70"/>
    </row>
    <row r="383" ht="15.75" customHeight="1">
      <c r="A383" s="70"/>
    </row>
    <row r="384" ht="15.75" customHeight="1">
      <c r="A384" s="70"/>
    </row>
    <row r="385" ht="15.75" customHeight="1">
      <c r="A385" s="70"/>
    </row>
    <row r="386" ht="15.75" customHeight="1">
      <c r="A386" s="70"/>
    </row>
    <row r="387" ht="15.75" customHeight="1">
      <c r="A387" s="70"/>
    </row>
    <row r="388" ht="15.75" customHeight="1">
      <c r="A388" s="70"/>
    </row>
    <row r="389" ht="15.75" customHeight="1">
      <c r="A389" s="70"/>
    </row>
    <row r="390" ht="15.75" customHeight="1">
      <c r="A390" s="70"/>
    </row>
    <row r="391" ht="15.75" customHeight="1">
      <c r="A391" s="70"/>
    </row>
    <row r="392" ht="15.75" customHeight="1">
      <c r="A392" s="70"/>
    </row>
    <row r="393" ht="15.75" customHeight="1">
      <c r="A393" s="70"/>
    </row>
    <row r="394" ht="15.75" customHeight="1">
      <c r="A394" s="70"/>
    </row>
    <row r="395" ht="15.75" customHeight="1">
      <c r="A395" s="70"/>
    </row>
    <row r="396" ht="15.75" customHeight="1">
      <c r="A396" s="70"/>
    </row>
    <row r="397" ht="15.75" customHeight="1">
      <c r="A397" s="70"/>
    </row>
    <row r="398" ht="15.75" customHeight="1">
      <c r="A398" s="70"/>
    </row>
    <row r="399" ht="15.75" customHeight="1">
      <c r="A399" s="70"/>
    </row>
    <row r="400" ht="15.75" customHeight="1">
      <c r="A400" s="70"/>
    </row>
    <row r="401" ht="15.75" customHeight="1">
      <c r="A401" s="70"/>
    </row>
    <row r="402" ht="15.75" customHeight="1">
      <c r="A402" s="70"/>
    </row>
    <row r="403" ht="15.75" customHeight="1">
      <c r="A403" s="70"/>
    </row>
    <row r="404" ht="15.75" customHeight="1">
      <c r="A404" s="70"/>
    </row>
    <row r="405" ht="15.75" customHeight="1">
      <c r="A405" s="70"/>
    </row>
    <row r="406" ht="15.75" customHeight="1">
      <c r="A406" s="70"/>
    </row>
    <row r="407" ht="15.75" customHeight="1">
      <c r="A407" s="70"/>
    </row>
    <row r="408" ht="15.75" customHeight="1">
      <c r="A408" s="70"/>
    </row>
    <row r="409" ht="15.75" customHeight="1">
      <c r="A409" s="70"/>
    </row>
    <row r="410" ht="15.75" customHeight="1">
      <c r="A410" s="70"/>
    </row>
    <row r="411" ht="15.75" customHeight="1">
      <c r="A411" s="70"/>
    </row>
    <row r="412" ht="15.75" customHeight="1">
      <c r="A412" s="70"/>
    </row>
    <row r="413" ht="15.75" customHeight="1">
      <c r="A413" s="70"/>
    </row>
    <row r="414" ht="15.75" customHeight="1">
      <c r="A414" s="70"/>
    </row>
    <row r="415" ht="15.75" customHeight="1">
      <c r="A415" s="70"/>
    </row>
    <row r="416" ht="15.75" customHeight="1">
      <c r="A416" s="70"/>
    </row>
    <row r="417" ht="15.75" customHeight="1">
      <c r="A417" s="70"/>
    </row>
    <row r="418" ht="15.75" customHeight="1">
      <c r="A418" s="70"/>
    </row>
    <row r="419" ht="15.75" customHeight="1">
      <c r="A419" s="70"/>
    </row>
    <row r="420" ht="15.75" customHeight="1">
      <c r="A420" s="70"/>
    </row>
    <row r="421" ht="15.75" customHeight="1">
      <c r="A421" s="70"/>
    </row>
    <row r="422" ht="15.75" customHeight="1">
      <c r="A422" s="70"/>
    </row>
    <row r="423" ht="15.75" customHeight="1">
      <c r="A423" s="70"/>
    </row>
    <row r="424" ht="15.75" customHeight="1">
      <c r="A424" s="70"/>
    </row>
    <row r="425" ht="15.75" customHeight="1">
      <c r="A425" s="70"/>
    </row>
    <row r="426" ht="15.75" customHeight="1">
      <c r="A426" s="70"/>
    </row>
    <row r="427" ht="15.75" customHeight="1">
      <c r="A427" s="70"/>
    </row>
    <row r="428" ht="15.75" customHeight="1">
      <c r="A428" s="70"/>
    </row>
    <row r="429" ht="15.75" customHeight="1">
      <c r="A429" s="70"/>
    </row>
    <row r="430" ht="15.75" customHeight="1">
      <c r="A430" s="70"/>
    </row>
    <row r="431" ht="15.75" customHeight="1">
      <c r="A431" s="70"/>
    </row>
    <row r="432" ht="15.75" customHeight="1">
      <c r="A432" s="70"/>
    </row>
    <row r="433" ht="15.75" customHeight="1">
      <c r="A433" s="70"/>
    </row>
    <row r="434" ht="15.75" customHeight="1">
      <c r="A434" s="70"/>
    </row>
    <row r="435" ht="15.75" customHeight="1">
      <c r="A435" s="70"/>
    </row>
    <row r="436" ht="15.75" customHeight="1">
      <c r="A436" s="70"/>
    </row>
    <row r="437" ht="15.75" customHeight="1">
      <c r="A437" s="70"/>
    </row>
    <row r="438" ht="15.75" customHeight="1">
      <c r="A438" s="70"/>
    </row>
    <row r="439" ht="15.75" customHeight="1">
      <c r="A439" s="70"/>
    </row>
    <row r="440" ht="15.75" customHeight="1">
      <c r="A440" s="70"/>
    </row>
    <row r="441" ht="15.75" customHeight="1">
      <c r="A441" s="70"/>
    </row>
    <row r="442" ht="15.75" customHeight="1">
      <c r="A442" s="70"/>
    </row>
    <row r="443" ht="15.75" customHeight="1">
      <c r="A443" s="70"/>
    </row>
    <row r="444" ht="15.75" customHeight="1">
      <c r="A444" s="70"/>
    </row>
    <row r="445" ht="15.75" customHeight="1">
      <c r="A445" s="70"/>
    </row>
    <row r="446" ht="15.75" customHeight="1">
      <c r="A446" s="70"/>
    </row>
    <row r="447" ht="15.75" customHeight="1">
      <c r="A447" s="70"/>
    </row>
    <row r="448" ht="15.75" customHeight="1">
      <c r="A448" s="70"/>
    </row>
    <row r="449" ht="15.75" customHeight="1">
      <c r="A449" s="70"/>
    </row>
    <row r="450" ht="15.75" customHeight="1">
      <c r="A450" s="70"/>
    </row>
    <row r="451" ht="15.75" customHeight="1">
      <c r="A451" s="70"/>
    </row>
    <row r="452" ht="15.75" customHeight="1">
      <c r="A452" s="70"/>
    </row>
    <row r="453" ht="15.75" customHeight="1">
      <c r="A453" s="70"/>
    </row>
    <row r="454" ht="15.75" customHeight="1">
      <c r="A454" s="70"/>
    </row>
    <row r="455" ht="15.75" customHeight="1">
      <c r="A455" s="70"/>
    </row>
    <row r="456" ht="15.75" customHeight="1">
      <c r="A456" s="70"/>
    </row>
    <row r="457" ht="15.75" customHeight="1">
      <c r="A457" s="70"/>
    </row>
    <row r="458" ht="15.75" customHeight="1">
      <c r="A458" s="70"/>
    </row>
    <row r="459" ht="15.75" customHeight="1">
      <c r="A459" s="70"/>
    </row>
    <row r="460" ht="15.75" customHeight="1">
      <c r="A460" s="70"/>
    </row>
    <row r="461" ht="15.75" customHeight="1">
      <c r="A461" s="70"/>
    </row>
    <row r="462" ht="15.75" customHeight="1">
      <c r="A462" s="70"/>
    </row>
    <row r="463" ht="15.75" customHeight="1">
      <c r="A463" s="70"/>
    </row>
    <row r="464" ht="15.75" customHeight="1">
      <c r="A464" s="70"/>
    </row>
    <row r="465" ht="15.75" customHeight="1">
      <c r="A465" s="70"/>
    </row>
    <row r="466" ht="15.75" customHeight="1">
      <c r="A466" s="70"/>
    </row>
    <row r="467" ht="15.75" customHeight="1">
      <c r="A467" s="70"/>
    </row>
    <row r="468" ht="15.75" customHeight="1">
      <c r="A468" s="70"/>
    </row>
    <row r="469" ht="15.75" customHeight="1">
      <c r="A469" s="70"/>
    </row>
    <row r="470" ht="15.75" customHeight="1">
      <c r="A470" s="70"/>
    </row>
    <row r="471" ht="15.75" customHeight="1">
      <c r="A471" s="70"/>
    </row>
    <row r="472" ht="15.75" customHeight="1">
      <c r="A472" s="70"/>
    </row>
    <row r="473" ht="15.75" customHeight="1">
      <c r="A473" s="70"/>
    </row>
    <row r="474" ht="15.75" customHeight="1">
      <c r="A474" s="70"/>
    </row>
    <row r="475" ht="15.75" customHeight="1">
      <c r="A475" s="70"/>
    </row>
    <row r="476" ht="15.75" customHeight="1">
      <c r="A476" s="70"/>
    </row>
    <row r="477" ht="15.75" customHeight="1">
      <c r="A477" s="70"/>
    </row>
    <row r="478" ht="15.75" customHeight="1">
      <c r="A478" s="70"/>
    </row>
    <row r="479" ht="15.75" customHeight="1">
      <c r="A479" s="70"/>
    </row>
    <row r="480" ht="15.75" customHeight="1">
      <c r="A480" s="70"/>
    </row>
    <row r="481" ht="15.75" customHeight="1">
      <c r="A481" s="70"/>
    </row>
    <row r="482" ht="15.75" customHeight="1">
      <c r="A482" s="70"/>
    </row>
    <row r="483" ht="15.75" customHeight="1">
      <c r="A483" s="70"/>
    </row>
    <row r="484" ht="15.75" customHeight="1">
      <c r="A484" s="70"/>
    </row>
    <row r="485" ht="15.75" customHeight="1">
      <c r="A485" s="70"/>
    </row>
    <row r="486" ht="15.75" customHeight="1">
      <c r="A486" s="70"/>
    </row>
    <row r="487" ht="15.75" customHeight="1">
      <c r="A487" s="70"/>
    </row>
    <row r="488" ht="15.75" customHeight="1">
      <c r="A488" s="70"/>
    </row>
    <row r="489" ht="15.75" customHeight="1">
      <c r="A489" s="70"/>
    </row>
    <row r="490" ht="15.75" customHeight="1">
      <c r="A490" s="70"/>
    </row>
    <row r="491" ht="15.75" customHeight="1">
      <c r="A491" s="70"/>
    </row>
    <row r="492" ht="15.75" customHeight="1">
      <c r="A492" s="70"/>
    </row>
    <row r="493" ht="15.75" customHeight="1">
      <c r="A493" s="70"/>
    </row>
    <row r="494" ht="15.75" customHeight="1">
      <c r="A494" s="70"/>
    </row>
    <row r="495" ht="15.75" customHeight="1">
      <c r="A495" s="70"/>
    </row>
    <row r="496" ht="15.75" customHeight="1">
      <c r="A496" s="70"/>
    </row>
    <row r="497" ht="15.75" customHeight="1">
      <c r="A497" s="70"/>
    </row>
    <row r="498" ht="15.75" customHeight="1">
      <c r="A498" s="70"/>
    </row>
    <row r="499" ht="15.75" customHeight="1">
      <c r="A499" s="70"/>
    </row>
    <row r="500" ht="15.75" customHeight="1">
      <c r="A500" s="70"/>
    </row>
    <row r="501" ht="15.75" customHeight="1">
      <c r="A501" s="70"/>
    </row>
    <row r="502" ht="15.75" customHeight="1">
      <c r="A502" s="70"/>
    </row>
    <row r="503" ht="15.75" customHeight="1">
      <c r="A503" s="70"/>
    </row>
    <row r="504" ht="15.75" customHeight="1">
      <c r="A504" s="70"/>
    </row>
    <row r="505" ht="15.75" customHeight="1">
      <c r="A505" s="70"/>
    </row>
    <row r="506" ht="15.75" customHeight="1">
      <c r="A506" s="70"/>
    </row>
    <row r="507" ht="15.75" customHeight="1">
      <c r="A507" s="70"/>
    </row>
    <row r="508" ht="15.75" customHeight="1">
      <c r="A508" s="70"/>
    </row>
    <row r="509" ht="15.75" customHeight="1">
      <c r="A509" s="70"/>
    </row>
    <row r="510" ht="15.75" customHeight="1">
      <c r="A510" s="70"/>
    </row>
    <row r="511" ht="15.75" customHeight="1">
      <c r="A511" s="70"/>
    </row>
    <row r="512" ht="15.75" customHeight="1">
      <c r="A512" s="70"/>
    </row>
    <row r="513" ht="15.75" customHeight="1">
      <c r="A513" s="70"/>
    </row>
    <row r="514" ht="15.75" customHeight="1">
      <c r="A514" s="70"/>
    </row>
    <row r="515" ht="15.75" customHeight="1">
      <c r="A515" s="70"/>
    </row>
    <row r="516" ht="15.75" customHeight="1">
      <c r="A516" s="70"/>
    </row>
    <row r="517" ht="15.75" customHeight="1">
      <c r="A517" s="70"/>
    </row>
    <row r="518" ht="15.75" customHeight="1">
      <c r="A518" s="70"/>
    </row>
    <row r="519" ht="15.75" customHeight="1">
      <c r="A519" s="70"/>
    </row>
    <row r="520" ht="15.75" customHeight="1">
      <c r="A520" s="70"/>
    </row>
    <row r="521" ht="15.75" customHeight="1">
      <c r="A521" s="70"/>
    </row>
    <row r="522" ht="15.75" customHeight="1">
      <c r="A522" s="70"/>
    </row>
    <row r="523" ht="15.75" customHeight="1">
      <c r="A523" s="70"/>
    </row>
    <row r="524" ht="15.75" customHeight="1">
      <c r="A524" s="70"/>
    </row>
    <row r="525" ht="15.75" customHeight="1">
      <c r="A525" s="70"/>
    </row>
    <row r="526" ht="15.75" customHeight="1">
      <c r="A526" s="70"/>
    </row>
    <row r="527" ht="15.75" customHeight="1">
      <c r="A527" s="70"/>
    </row>
    <row r="528" ht="15.75" customHeight="1">
      <c r="A528" s="70"/>
    </row>
    <row r="529" ht="15.75" customHeight="1">
      <c r="A529" s="70"/>
    </row>
    <row r="530" ht="15.75" customHeight="1">
      <c r="A530" s="70"/>
    </row>
    <row r="531" ht="15.75" customHeight="1">
      <c r="A531" s="70"/>
    </row>
    <row r="532" ht="15.75" customHeight="1">
      <c r="A532" s="70"/>
    </row>
    <row r="533" ht="15.75" customHeight="1">
      <c r="A533" s="70"/>
    </row>
    <row r="534" ht="15.75" customHeight="1">
      <c r="A534" s="70"/>
    </row>
    <row r="535" ht="15.75" customHeight="1">
      <c r="A535" s="70"/>
    </row>
    <row r="536" ht="15.75" customHeight="1">
      <c r="A536" s="70"/>
    </row>
    <row r="537" ht="15.75" customHeight="1">
      <c r="A537" s="70"/>
    </row>
    <row r="538" ht="15.75" customHeight="1">
      <c r="A538" s="70"/>
    </row>
    <row r="539" ht="15.75" customHeight="1">
      <c r="A539" s="70"/>
    </row>
    <row r="540" ht="15.75" customHeight="1">
      <c r="A540" s="70"/>
    </row>
    <row r="541" ht="15.75" customHeight="1">
      <c r="A541" s="70"/>
    </row>
    <row r="542" ht="15.75" customHeight="1">
      <c r="A542" s="70"/>
    </row>
    <row r="543" ht="15.75" customHeight="1">
      <c r="A543" s="70"/>
    </row>
    <row r="544" ht="15.75" customHeight="1">
      <c r="A544" s="70"/>
    </row>
    <row r="545" ht="15.75" customHeight="1">
      <c r="A545" s="70"/>
    </row>
    <row r="546" ht="15.75" customHeight="1">
      <c r="A546" s="70"/>
    </row>
    <row r="547" ht="15.75" customHeight="1">
      <c r="A547" s="70"/>
    </row>
    <row r="548" ht="15.75" customHeight="1">
      <c r="A548" s="70"/>
    </row>
    <row r="549" ht="15.75" customHeight="1">
      <c r="A549" s="70"/>
    </row>
    <row r="550" ht="15.75" customHeight="1">
      <c r="A550" s="70"/>
    </row>
    <row r="551" ht="15.75" customHeight="1">
      <c r="A551" s="70"/>
    </row>
    <row r="552" ht="15.75" customHeight="1">
      <c r="A552" s="70"/>
    </row>
    <row r="553" ht="15.75" customHeight="1">
      <c r="A553" s="70"/>
    </row>
    <row r="554" ht="15.75" customHeight="1">
      <c r="A554" s="70"/>
    </row>
    <row r="555" ht="15.75" customHeight="1">
      <c r="A555" s="70"/>
    </row>
    <row r="556" ht="15.75" customHeight="1">
      <c r="A556" s="70"/>
    </row>
    <row r="557" ht="15.75" customHeight="1">
      <c r="A557" s="70"/>
    </row>
    <row r="558" ht="15.75" customHeight="1">
      <c r="A558" s="70"/>
    </row>
    <row r="559" ht="15.75" customHeight="1">
      <c r="A559" s="70"/>
    </row>
    <row r="560" ht="15.75" customHeight="1">
      <c r="A560" s="70"/>
    </row>
    <row r="561" ht="15.75" customHeight="1">
      <c r="A561" s="70"/>
    </row>
    <row r="562" ht="15.75" customHeight="1">
      <c r="A562" s="70"/>
    </row>
    <row r="563" ht="15.75" customHeight="1">
      <c r="A563" s="70"/>
    </row>
    <row r="564" ht="15.75" customHeight="1">
      <c r="A564" s="70"/>
    </row>
    <row r="565" ht="15.75" customHeight="1">
      <c r="A565" s="70"/>
    </row>
    <row r="566" ht="15.75" customHeight="1">
      <c r="A566" s="70"/>
    </row>
    <row r="567" ht="15.75" customHeight="1">
      <c r="A567" s="70"/>
    </row>
    <row r="568" ht="15.75" customHeight="1">
      <c r="A568" s="70"/>
    </row>
    <row r="569" ht="15.75" customHeight="1">
      <c r="A569" s="70"/>
    </row>
    <row r="570" ht="15.75" customHeight="1">
      <c r="A570" s="70"/>
    </row>
    <row r="571" ht="15.75" customHeight="1">
      <c r="A571" s="70"/>
    </row>
    <row r="572" ht="15.75" customHeight="1">
      <c r="A572" s="70"/>
    </row>
    <row r="573" ht="15.75" customHeight="1">
      <c r="A573" s="70"/>
    </row>
    <row r="574" ht="15.75" customHeight="1">
      <c r="A574" s="70"/>
    </row>
    <row r="575" ht="15.75" customHeight="1">
      <c r="A575" s="70"/>
    </row>
    <row r="576" ht="15.75" customHeight="1">
      <c r="A576" s="70"/>
    </row>
    <row r="577" ht="15.75" customHeight="1">
      <c r="A577" s="70"/>
    </row>
    <row r="578" ht="15.75" customHeight="1">
      <c r="A578" s="70"/>
    </row>
    <row r="579" ht="15.75" customHeight="1">
      <c r="A579" s="70"/>
    </row>
    <row r="580" ht="15.75" customHeight="1">
      <c r="A580" s="70"/>
    </row>
    <row r="581" ht="15.75" customHeight="1">
      <c r="A581" s="70"/>
    </row>
    <row r="582" ht="15.75" customHeight="1">
      <c r="A582" s="70"/>
    </row>
    <row r="583" ht="15.75" customHeight="1">
      <c r="A583" s="70"/>
    </row>
    <row r="584" ht="15.75" customHeight="1">
      <c r="A584" s="70"/>
    </row>
    <row r="585" ht="15.75" customHeight="1">
      <c r="A585" s="70"/>
    </row>
    <row r="586" ht="15.75" customHeight="1">
      <c r="A586" s="70"/>
    </row>
    <row r="587" ht="15.75" customHeight="1">
      <c r="A587" s="70"/>
    </row>
    <row r="588" ht="15.75" customHeight="1">
      <c r="A588" s="70"/>
    </row>
    <row r="589" ht="15.75" customHeight="1">
      <c r="A589" s="70"/>
    </row>
    <row r="590" ht="15.75" customHeight="1">
      <c r="A590" s="70"/>
    </row>
    <row r="591" ht="15.75" customHeight="1">
      <c r="A591" s="70"/>
    </row>
    <row r="592" ht="15.75" customHeight="1">
      <c r="A592" s="70"/>
    </row>
    <row r="593" ht="15.75" customHeight="1">
      <c r="A593" s="70"/>
    </row>
    <row r="594" ht="15.75" customHeight="1">
      <c r="A594" s="70"/>
    </row>
    <row r="595" ht="15.75" customHeight="1">
      <c r="A595" s="70"/>
    </row>
    <row r="596" ht="15.75" customHeight="1">
      <c r="A596" s="70"/>
    </row>
    <row r="597" ht="15.75" customHeight="1">
      <c r="A597" s="70"/>
    </row>
    <row r="598" ht="15.75" customHeight="1">
      <c r="A598" s="70"/>
    </row>
    <row r="599" ht="15.75" customHeight="1">
      <c r="A599" s="70"/>
    </row>
    <row r="600" ht="15.75" customHeight="1">
      <c r="A600" s="70"/>
    </row>
    <row r="601" ht="15.75" customHeight="1">
      <c r="A601" s="70"/>
    </row>
    <row r="602" ht="15.75" customHeight="1">
      <c r="A602" s="70"/>
    </row>
    <row r="603" ht="15.75" customHeight="1">
      <c r="A603" s="70"/>
    </row>
    <row r="604" ht="15.75" customHeight="1">
      <c r="A604" s="70"/>
    </row>
    <row r="605" ht="15.75" customHeight="1">
      <c r="A605" s="70"/>
    </row>
    <row r="606" ht="15.75" customHeight="1">
      <c r="A606" s="70"/>
    </row>
    <row r="607" ht="15.75" customHeight="1">
      <c r="A607" s="70"/>
    </row>
    <row r="608" ht="15.75" customHeight="1">
      <c r="A608" s="70"/>
    </row>
    <row r="609" ht="15.75" customHeight="1">
      <c r="A609" s="70"/>
    </row>
    <row r="610" ht="15.75" customHeight="1">
      <c r="A610" s="70"/>
    </row>
    <row r="611" ht="15.75" customHeight="1">
      <c r="A611" s="70"/>
    </row>
    <row r="612" ht="15.75" customHeight="1">
      <c r="A612" s="70"/>
    </row>
    <row r="613" ht="15.75" customHeight="1">
      <c r="A613" s="70"/>
    </row>
    <row r="614" ht="15.75" customHeight="1">
      <c r="A614" s="70"/>
    </row>
    <row r="615" ht="15.75" customHeight="1">
      <c r="A615" s="70"/>
    </row>
    <row r="616" ht="15.75" customHeight="1">
      <c r="A616" s="70"/>
    </row>
    <row r="617" ht="15.75" customHeight="1">
      <c r="A617" s="70"/>
    </row>
    <row r="618" ht="15.75" customHeight="1">
      <c r="A618" s="70"/>
    </row>
    <row r="619" ht="15.75" customHeight="1">
      <c r="A619" s="70"/>
    </row>
    <row r="620" ht="15.75" customHeight="1">
      <c r="A620" s="70"/>
    </row>
    <row r="621" ht="15.75" customHeight="1">
      <c r="A621" s="70"/>
    </row>
    <row r="622" ht="15.75" customHeight="1">
      <c r="A622" s="70"/>
    </row>
    <row r="623" ht="15.75" customHeight="1">
      <c r="A623" s="70"/>
    </row>
    <row r="624" ht="15.75" customHeight="1">
      <c r="A624" s="70"/>
    </row>
    <row r="625" ht="15.75" customHeight="1">
      <c r="A625" s="70"/>
    </row>
    <row r="626" ht="15.75" customHeight="1">
      <c r="A626" s="70"/>
    </row>
    <row r="627" ht="15.75" customHeight="1">
      <c r="A627" s="70"/>
    </row>
    <row r="628" ht="15.75" customHeight="1">
      <c r="A628" s="70"/>
    </row>
    <row r="629" ht="15.75" customHeight="1">
      <c r="A629" s="70"/>
    </row>
    <row r="630" ht="15.75" customHeight="1">
      <c r="A630" s="70"/>
    </row>
    <row r="631" ht="15.75" customHeight="1">
      <c r="A631" s="70"/>
    </row>
    <row r="632" ht="15.75" customHeight="1">
      <c r="A632" s="70"/>
    </row>
    <row r="633" ht="15.75" customHeight="1">
      <c r="A633" s="70"/>
    </row>
    <row r="634" ht="15.75" customHeight="1">
      <c r="A634" s="70"/>
    </row>
    <row r="635" ht="15.75" customHeight="1">
      <c r="A635" s="70"/>
    </row>
    <row r="636" ht="15.75" customHeight="1">
      <c r="A636" s="70"/>
    </row>
    <row r="637" ht="15.75" customHeight="1">
      <c r="A637" s="70"/>
    </row>
    <row r="638" ht="15.75" customHeight="1">
      <c r="A638" s="70"/>
    </row>
    <row r="639" ht="15.75" customHeight="1">
      <c r="A639" s="70"/>
    </row>
    <row r="640" ht="15.75" customHeight="1">
      <c r="A640" s="70"/>
    </row>
    <row r="641" ht="15.75" customHeight="1">
      <c r="A641" s="70"/>
    </row>
    <row r="642" ht="15.75" customHeight="1">
      <c r="A642" s="70"/>
    </row>
    <row r="643" ht="15.75" customHeight="1">
      <c r="A643" s="70"/>
    </row>
    <row r="644" ht="15.75" customHeight="1">
      <c r="A644" s="70"/>
    </row>
    <row r="645" ht="15.75" customHeight="1">
      <c r="A645" s="70"/>
    </row>
    <row r="646" ht="15.75" customHeight="1">
      <c r="A646" s="70"/>
    </row>
    <row r="647" ht="15.75" customHeight="1">
      <c r="A647" s="70"/>
    </row>
    <row r="648" ht="15.75" customHeight="1">
      <c r="A648" s="70"/>
    </row>
    <row r="649" ht="15.75" customHeight="1">
      <c r="A649" s="70"/>
    </row>
    <row r="650" ht="15.75" customHeight="1">
      <c r="A650" s="70"/>
    </row>
    <row r="651" ht="15.75" customHeight="1">
      <c r="A651" s="70"/>
    </row>
    <row r="652" ht="15.75" customHeight="1">
      <c r="A652" s="70"/>
    </row>
    <row r="653" ht="15.75" customHeight="1">
      <c r="A653" s="70"/>
    </row>
    <row r="654" ht="15.75" customHeight="1">
      <c r="A654" s="70"/>
    </row>
    <row r="655" ht="15.75" customHeight="1">
      <c r="A655" s="70"/>
    </row>
    <row r="656" ht="15.75" customHeight="1">
      <c r="A656" s="70"/>
    </row>
    <row r="657" ht="15.75" customHeight="1">
      <c r="A657" s="70"/>
    </row>
    <row r="658" ht="15.75" customHeight="1">
      <c r="A658" s="70"/>
    </row>
    <row r="659" ht="15.75" customHeight="1">
      <c r="A659" s="70"/>
    </row>
    <row r="660" ht="15.75" customHeight="1">
      <c r="A660" s="70"/>
    </row>
    <row r="661" ht="15.75" customHeight="1">
      <c r="A661" s="70"/>
    </row>
    <row r="662" ht="15.75" customHeight="1">
      <c r="A662" s="70"/>
    </row>
    <row r="663" ht="15.75" customHeight="1">
      <c r="A663" s="70"/>
    </row>
    <row r="664" ht="15.75" customHeight="1">
      <c r="A664" s="70"/>
    </row>
    <row r="665" ht="15.75" customHeight="1">
      <c r="A665" s="70"/>
    </row>
    <row r="666" ht="15.75" customHeight="1">
      <c r="A666" s="70"/>
    </row>
    <row r="667" ht="15.75" customHeight="1">
      <c r="A667" s="70"/>
    </row>
    <row r="668" ht="15.75" customHeight="1">
      <c r="A668" s="70"/>
    </row>
    <row r="669" ht="15.75" customHeight="1">
      <c r="A669" s="70"/>
    </row>
    <row r="670" ht="15.75" customHeight="1">
      <c r="A670" s="70"/>
    </row>
    <row r="671" ht="15.75" customHeight="1">
      <c r="A671" s="70"/>
    </row>
    <row r="672" ht="15.75" customHeight="1">
      <c r="A672" s="70"/>
    </row>
    <row r="673" ht="15.75" customHeight="1">
      <c r="A673" s="70"/>
    </row>
    <row r="674" ht="15.75" customHeight="1">
      <c r="A674" s="70"/>
    </row>
    <row r="675" ht="15.75" customHeight="1">
      <c r="A675" s="70"/>
    </row>
    <row r="676" ht="15.75" customHeight="1">
      <c r="A676" s="70"/>
    </row>
    <row r="677" ht="15.75" customHeight="1">
      <c r="A677" s="70"/>
    </row>
    <row r="678" ht="15.75" customHeight="1">
      <c r="A678" s="70"/>
    </row>
    <row r="679" ht="15.75" customHeight="1">
      <c r="A679" s="70"/>
    </row>
    <row r="680" ht="15.75" customHeight="1">
      <c r="A680" s="70"/>
    </row>
    <row r="681" ht="15.75" customHeight="1">
      <c r="A681" s="70"/>
    </row>
    <row r="682" ht="15.75" customHeight="1">
      <c r="A682" s="70"/>
    </row>
    <row r="683" ht="15.75" customHeight="1">
      <c r="A683" s="70"/>
    </row>
    <row r="684" ht="15.75" customHeight="1">
      <c r="A684" s="70"/>
    </row>
    <row r="685" ht="15.75" customHeight="1">
      <c r="A685" s="70"/>
    </row>
    <row r="686" ht="15.75" customHeight="1">
      <c r="A686" s="70"/>
    </row>
    <row r="687" ht="15.75" customHeight="1">
      <c r="A687" s="70"/>
    </row>
    <row r="688" ht="15.75" customHeight="1">
      <c r="A688" s="70"/>
    </row>
    <row r="689" ht="15.75" customHeight="1">
      <c r="A689" s="70"/>
    </row>
    <row r="690" ht="15.75" customHeight="1">
      <c r="A690" s="70"/>
    </row>
    <row r="691" ht="15.75" customHeight="1">
      <c r="A691" s="70"/>
    </row>
    <row r="692" ht="15.75" customHeight="1">
      <c r="A692" s="70"/>
    </row>
    <row r="693" ht="15.75" customHeight="1">
      <c r="A693" s="70"/>
    </row>
    <row r="694" ht="15.75" customHeight="1">
      <c r="A694" s="70"/>
    </row>
    <row r="695" ht="15.75" customHeight="1">
      <c r="A695" s="70"/>
    </row>
    <row r="696" ht="15.75" customHeight="1">
      <c r="A696" s="70"/>
    </row>
    <row r="697" ht="15.75" customHeight="1">
      <c r="A697" s="70"/>
    </row>
    <row r="698" ht="15.75" customHeight="1">
      <c r="A698" s="70"/>
    </row>
    <row r="699" ht="15.75" customHeight="1">
      <c r="A699" s="70"/>
    </row>
    <row r="700" ht="15.75" customHeight="1">
      <c r="A700" s="70"/>
    </row>
    <row r="701" ht="15.75" customHeight="1">
      <c r="A701" s="70"/>
    </row>
    <row r="702" ht="15.75" customHeight="1">
      <c r="A702" s="70"/>
    </row>
    <row r="703" ht="15.75" customHeight="1">
      <c r="A703" s="70"/>
    </row>
    <row r="704" ht="15.75" customHeight="1">
      <c r="A704" s="70"/>
    </row>
    <row r="705" ht="15.75" customHeight="1">
      <c r="A705" s="70"/>
    </row>
    <row r="706" ht="15.75" customHeight="1">
      <c r="A706" s="70"/>
    </row>
    <row r="707" ht="15.75" customHeight="1">
      <c r="A707" s="70"/>
    </row>
    <row r="708" ht="15.75" customHeight="1">
      <c r="A708" s="70"/>
    </row>
    <row r="709" ht="15.75" customHeight="1">
      <c r="A709" s="70"/>
    </row>
    <row r="710" ht="15.75" customHeight="1">
      <c r="A710" s="70"/>
    </row>
    <row r="711" ht="15.75" customHeight="1">
      <c r="A711" s="70"/>
    </row>
    <row r="712" ht="15.75" customHeight="1">
      <c r="A712" s="70"/>
    </row>
    <row r="713" ht="15.75" customHeight="1">
      <c r="A713" s="70"/>
    </row>
    <row r="714" ht="15.75" customHeight="1">
      <c r="A714" s="70"/>
    </row>
    <row r="715" ht="15.75" customHeight="1">
      <c r="A715" s="70"/>
    </row>
    <row r="716" ht="15.75" customHeight="1">
      <c r="A716" s="70"/>
    </row>
    <row r="717" ht="15.75" customHeight="1">
      <c r="A717" s="70"/>
    </row>
    <row r="718" ht="15.75" customHeight="1">
      <c r="A718" s="70"/>
    </row>
    <row r="719" ht="15.75" customHeight="1">
      <c r="A719" s="70"/>
    </row>
    <row r="720" ht="15.75" customHeight="1">
      <c r="A720" s="70"/>
    </row>
    <row r="721" ht="15.75" customHeight="1">
      <c r="A721" s="70"/>
    </row>
    <row r="722" ht="15.75" customHeight="1">
      <c r="A722" s="70"/>
    </row>
    <row r="723" ht="15.75" customHeight="1">
      <c r="A723" s="70"/>
    </row>
    <row r="724" ht="15.75" customHeight="1">
      <c r="A724" s="70"/>
    </row>
    <row r="725" ht="15.75" customHeight="1">
      <c r="A725" s="70"/>
    </row>
    <row r="726" ht="15.75" customHeight="1">
      <c r="A726" s="70"/>
    </row>
    <row r="727" ht="15.75" customHeight="1">
      <c r="A727" s="70"/>
    </row>
    <row r="728" ht="15.75" customHeight="1">
      <c r="A728" s="70"/>
    </row>
    <row r="729" ht="15.75" customHeight="1">
      <c r="A729" s="70"/>
    </row>
    <row r="730" ht="15.75" customHeight="1">
      <c r="A730" s="70"/>
    </row>
    <row r="731" ht="15.75" customHeight="1">
      <c r="A731" s="70"/>
    </row>
    <row r="732" ht="15.75" customHeight="1">
      <c r="A732" s="70"/>
    </row>
    <row r="733" ht="15.75" customHeight="1">
      <c r="A733" s="70"/>
    </row>
    <row r="734" ht="15.75" customHeight="1">
      <c r="A734" s="70"/>
    </row>
    <row r="735" ht="15.75" customHeight="1">
      <c r="A735" s="70"/>
    </row>
    <row r="736" ht="15.75" customHeight="1">
      <c r="A736" s="70"/>
    </row>
    <row r="737" ht="15.75" customHeight="1">
      <c r="A737" s="70"/>
    </row>
    <row r="738" ht="15.75" customHeight="1">
      <c r="A738" s="70"/>
    </row>
    <row r="739" ht="15.75" customHeight="1">
      <c r="A739" s="70"/>
    </row>
    <row r="740" ht="15.75" customHeight="1">
      <c r="A740" s="70"/>
    </row>
    <row r="741" ht="15.75" customHeight="1">
      <c r="A741" s="70"/>
    </row>
    <row r="742" ht="15.75" customHeight="1">
      <c r="A742" s="70"/>
    </row>
    <row r="743" ht="15.75" customHeight="1">
      <c r="A743" s="70"/>
    </row>
    <row r="744" ht="15.75" customHeight="1">
      <c r="A744" s="70"/>
    </row>
    <row r="745" ht="15.75" customHeight="1">
      <c r="A745" s="70"/>
    </row>
    <row r="746" ht="15.75" customHeight="1">
      <c r="A746" s="70"/>
    </row>
    <row r="747" ht="15.75" customHeight="1">
      <c r="A747" s="70"/>
    </row>
    <row r="748" ht="15.75" customHeight="1">
      <c r="A748" s="70"/>
    </row>
    <row r="749" ht="15.75" customHeight="1">
      <c r="A749" s="70"/>
    </row>
    <row r="750" ht="15.75" customHeight="1">
      <c r="A750" s="70"/>
    </row>
    <row r="751" ht="15.75" customHeight="1">
      <c r="A751" s="70"/>
    </row>
    <row r="752" ht="15.75" customHeight="1">
      <c r="A752" s="70"/>
    </row>
    <row r="753" ht="15.75" customHeight="1">
      <c r="A753" s="70"/>
    </row>
    <row r="754" ht="15.75" customHeight="1">
      <c r="A754" s="70"/>
    </row>
    <row r="755" ht="15.75" customHeight="1">
      <c r="A755" s="70"/>
    </row>
    <row r="756" ht="15.75" customHeight="1">
      <c r="A756" s="70"/>
    </row>
    <row r="757" ht="15.75" customHeight="1">
      <c r="A757" s="70"/>
    </row>
    <row r="758" ht="15.75" customHeight="1">
      <c r="A758" s="70"/>
    </row>
    <row r="759" ht="15.75" customHeight="1">
      <c r="A759" s="70"/>
    </row>
    <row r="760" ht="15.75" customHeight="1">
      <c r="A760" s="70"/>
    </row>
    <row r="761" ht="15.75" customHeight="1">
      <c r="A761" s="70"/>
    </row>
    <row r="762" ht="15.75" customHeight="1">
      <c r="A762" s="70"/>
    </row>
    <row r="763" ht="15.75" customHeight="1">
      <c r="A763" s="70"/>
    </row>
    <row r="764" ht="15.75" customHeight="1">
      <c r="A764" s="70"/>
    </row>
    <row r="765" ht="15.75" customHeight="1">
      <c r="A765" s="70"/>
    </row>
    <row r="766" ht="15.75" customHeight="1">
      <c r="A766" s="70"/>
    </row>
    <row r="767" ht="15.75" customHeight="1">
      <c r="A767" s="70"/>
    </row>
    <row r="768" ht="15.75" customHeight="1">
      <c r="A768" s="70"/>
    </row>
    <row r="769" ht="15.75" customHeight="1">
      <c r="A769" s="70"/>
    </row>
    <row r="770" ht="15.75" customHeight="1">
      <c r="A770" s="70"/>
    </row>
    <row r="771" ht="15.75" customHeight="1">
      <c r="A771" s="70"/>
    </row>
    <row r="772" ht="15.75" customHeight="1">
      <c r="A772" s="70"/>
    </row>
    <row r="773" ht="15.75" customHeight="1">
      <c r="A773" s="70"/>
    </row>
    <row r="774" ht="15.75" customHeight="1">
      <c r="A774" s="70"/>
    </row>
    <row r="775" ht="15.75" customHeight="1">
      <c r="A775" s="70"/>
    </row>
    <row r="776" ht="15.75" customHeight="1">
      <c r="A776" s="70"/>
    </row>
    <row r="777" ht="15.75" customHeight="1">
      <c r="A777" s="70"/>
    </row>
    <row r="778" ht="15.75" customHeight="1">
      <c r="A778" s="70"/>
    </row>
    <row r="779" ht="15.75" customHeight="1">
      <c r="A779" s="70"/>
    </row>
    <row r="780" ht="15.75" customHeight="1">
      <c r="A780" s="70"/>
    </row>
    <row r="781" ht="15.75" customHeight="1">
      <c r="A781" s="70"/>
    </row>
    <row r="782" ht="15.75" customHeight="1">
      <c r="A782" s="70"/>
    </row>
    <row r="783" ht="15.75" customHeight="1">
      <c r="A783" s="70"/>
    </row>
    <row r="784" ht="15.75" customHeight="1">
      <c r="A784" s="70"/>
    </row>
    <row r="785" ht="15.75" customHeight="1">
      <c r="A785" s="70"/>
    </row>
    <row r="786" ht="15.75" customHeight="1">
      <c r="A786" s="70"/>
    </row>
    <row r="787" ht="15.75" customHeight="1">
      <c r="A787" s="70"/>
    </row>
    <row r="788" ht="15.75" customHeight="1">
      <c r="A788" s="70"/>
    </row>
    <row r="789" ht="15.75" customHeight="1">
      <c r="A789" s="70"/>
    </row>
    <row r="790" ht="15.75" customHeight="1">
      <c r="A790" s="70"/>
    </row>
    <row r="791" ht="15.75" customHeight="1">
      <c r="A791" s="70"/>
    </row>
    <row r="792" ht="15.75" customHeight="1">
      <c r="A792" s="70"/>
    </row>
    <row r="793" ht="15.75" customHeight="1">
      <c r="A793" s="70"/>
    </row>
    <row r="794" ht="15.75" customHeight="1">
      <c r="A794" s="70"/>
    </row>
    <row r="795" ht="15.75" customHeight="1">
      <c r="A795" s="70"/>
    </row>
    <row r="796" ht="15.75" customHeight="1">
      <c r="A796" s="70"/>
    </row>
    <row r="797" ht="15.75" customHeight="1">
      <c r="A797" s="70"/>
    </row>
    <row r="798" ht="15.75" customHeight="1">
      <c r="A798" s="70"/>
    </row>
    <row r="799" ht="15.75" customHeight="1">
      <c r="A799" s="70"/>
    </row>
    <row r="800" ht="15.75" customHeight="1">
      <c r="A800" s="70"/>
    </row>
    <row r="801" ht="15.75" customHeight="1">
      <c r="A801" s="70"/>
    </row>
    <row r="802" ht="15.75" customHeight="1">
      <c r="A802" s="70"/>
    </row>
    <row r="803" ht="15.75" customHeight="1">
      <c r="A803" s="70"/>
    </row>
    <row r="804" ht="15.75" customHeight="1">
      <c r="A804" s="70"/>
    </row>
    <row r="805" ht="15.75" customHeight="1">
      <c r="A805" s="70"/>
    </row>
    <row r="806" ht="15.75" customHeight="1">
      <c r="A806" s="70"/>
    </row>
    <row r="807" ht="15.75" customHeight="1">
      <c r="A807" s="70"/>
    </row>
    <row r="808" ht="15.75" customHeight="1">
      <c r="A808" s="70"/>
    </row>
    <row r="809" ht="15.75" customHeight="1">
      <c r="A809" s="70"/>
    </row>
    <row r="810" ht="15.75" customHeight="1">
      <c r="A810" s="70"/>
    </row>
    <row r="811" ht="15.75" customHeight="1">
      <c r="A811" s="70"/>
    </row>
    <row r="812" ht="15.75" customHeight="1">
      <c r="A812" s="70"/>
    </row>
    <row r="813" ht="15.75" customHeight="1">
      <c r="A813" s="70"/>
    </row>
    <row r="814" ht="15.75" customHeight="1">
      <c r="A814" s="70"/>
    </row>
    <row r="815" ht="15.75" customHeight="1">
      <c r="A815" s="70"/>
    </row>
    <row r="816" ht="15.75" customHeight="1">
      <c r="A816" s="70"/>
    </row>
    <row r="817" ht="15.75" customHeight="1">
      <c r="A817" s="70"/>
    </row>
    <row r="818" ht="15.75" customHeight="1">
      <c r="A818" s="70"/>
    </row>
    <row r="819" ht="15.75" customHeight="1">
      <c r="A819" s="70"/>
    </row>
    <row r="820" ht="15.75" customHeight="1">
      <c r="A820" s="70"/>
    </row>
    <row r="821" ht="15.75" customHeight="1">
      <c r="A821" s="70"/>
    </row>
    <row r="822" ht="15.75" customHeight="1">
      <c r="A822" s="70"/>
    </row>
    <row r="823" ht="15.75" customHeight="1">
      <c r="A823" s="70"/>
    </row>
    <row r="824" ht="15.75" customHeight="1">
      <c r="A824" s="70"/>
    </row>
    <row r="825" ht="15.75" customHeight="1">
      <c r="A825" s="70"/>
    </row>
    <row r="826" ht="15.75" customHeight="1">
      <c r="A826" s="70"/>
    </row>
    <row r="827" ht="15.75" customHeight="1">
      <c r="A827" s="70"/>
    </row>
    <row r="828" ht="15.75" customHeight="1">
      <c r="A828" s="70"/>
    </row>
    <row r="829" ht="15.75" customHeight="1">
      <c r="A829" s="70"/>
    </row>
    <row r="830" ht="15.75" customHeight="1">
      <c r="A830" s="70"/>
    </row>
    <row r="831" ht="15.75" customHeight="1">
      <c r="A831" s="70"/>
    </row>
    <row r="832" ht="15.75" customHeight="1">
      <c r="A832" s="70"/>
    </row>
    <row r="833" ht="15.75" customHeight="1">
      <c r="A833" s="70"/>
    </row>
    <row r="834" ht="15.75" customHeight="1">
      <c r="A834" s="70"/>
    </row>
    <row r="835" ht="15.75" customHeight="1">
      <c r="A835" s="70"/>
    </row>
    <row r="836" ht="15.75" customHeight="1">
      <c r="A836" s="70"/>
    </row>
    <row r="837" ht="15.75" customHeight="1">
      <c r="A837" s="70"/>
    </row>
    <row r="838" ht="15.75" customHeight="1">
      <c r="A838" s="70"/>
    </row>
    <row r="839" ht="15.75" customHeight="1">
      <c r="A839" s="70"/>
    </row>
    <row r="840" ht="15.75" customHeight="1">
      <c r="A840" s="70"/>
    </row>
    <row r="841" ht="15.75" customHeight="1">
      <c r="A841" s="70"/>
    </row>
    <row r="842" ht="15.75" customHeight="1">
      <c r="A842" s="70"/>
    </row>
    <row r="843" ht="15.75" customHeight="1">
      <c r="A843" s="70"/>
    </row>
    <row r="844" ht="15.75" customHeight="1">
      <c r="A844" s="70"/>
    </row>
    <row r="845" ht="15.75" customHeight="1">
      <c r="A845" s="70"/>
    </row>
    <row r="846" ht="15.75" customHeight="1">
      <c r="A846" s="70"/>
    </row>
    <row r="847" ht="15.75" customHeight="1">
      <c r="A847" s="70"/>
    </row>
    <row r="848" ht="15.75" customHeight="1">
      <c r="A848" s="70"/>
    </row>
    <row r="849" ht="15.75" customHeight="1">
      <c r="A849" s="70"/>
    </row>
    <row r="850" ht="15.75" customHeight="1">
      <c r="A850" s="70"/>
    </row>
    <row r="851" ht="15.75" customHeight="1">
      <c r="A851" s="70"/>
    </row>
    <row r="852" ht="15.75" customHeight="1">
      <c r="A852" s="70"/>
    </row>
    <row r="853" ht="15.75" customHeight="1">
      <c r="A853" s="70"/>
    </row>
    <row r="854" ht="15.75" customHeight="1">
      <c r="A854" s="70"/>
    </row>
    <row r="855" ht="15.75" customHeight="1">
      <c r="A855" s="70"/>
    </row>
    <row r="856" ht="15.75" customHeight="1">
      <c r="A856" s="70"/>
    </row>
    <row r="857" ht="15.75" customHeight="1">
      <c r="A857" s="70"/>
    </row>
    <row r="858" ht="15.75" customHeight="1">
      <c r="A858" s="70"/>
    </row>
    <row r="859" ht="15.75" customHeight="1">
      <c r="A859" s="70"/>
    </row>
    <row r="860" ht="15.75" customHeight="1">
      <c r="A860" s="70"/>
    </row>
    <row r="861" ht="15.75" customHeight="1">
      <c r="A861" s="70"/>
    </row>
    <row r="862" ht="15.75" customHeight="1">
      <c r="A862" s="70"/>
    </row>
    <row r="863" ht="15.75" customHeight="1">
      <c r="A863" s="70"/>
    </row>
    <row r="864" ht="15.75" customHeight="1">
      <c r="A864" s="70"/>
    </row>
    <row r="865" ht="15.75" customHeight="1">
      <c r="A865" s="70"/>
    </row>
    <row r="866" ht="15.75" customHeight="1">
      <c r="A866" s="70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26.56"/>
    <col customWidth="1" min="2" max="2" width="18.56"/>
    <col customWidth="1" min="3" max="3" width="18.0"/>
    <col customWidth="1" min="4" max="4" width="16.44"/>
    <col customWidth="1" min="5" max="5" width="14.56"/>
    <col customWidth="1" min="6" max="41" width="15.0"/>
    <col customWidth="1" min="42" max="42" width="12.67"/>
    <col customWidth="1" min="43" max="43" width="12.11"/>
    <col customWidth="1" min="44" max="44" width="15.11"/>
    <col customWidth="1" min="45" max="45" width="14.44"/>
    <col customWidth="1" min="46" max="46" width="41.44"/>
    <col customWidth="1" min="47" max="47" width="14.0"/>
  </cols>
  <sheetData>
    <row r="1" ht="15.75" customHeight="1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Q1" s="4"/>
    </row>
    <row r="2">
      <c r="A2" s="163" t="s">
        <v>174</v>
      </c>
      <c r="B2" s="15"/>
      <c r="C2" s="15"/>
      <c r="D2" s="16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Q2" s="4"/>
    </row>
    <row r="3" ht="15.75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Q3" s="4"/>
    </row>
    <row r="4" ht="15.75" customHeight="1">
      <c r="B4" s="165">
        <v>1985.0</v>
      </c>
      <c r="C4" s="165">
        <v>1986.0</v>
      </c>
      <c r="D4" s="165">
        <v>1987.0</v>
      </c>
      <c r="E4" s="165">
        <v>1988.0</v>
      </c>
      <c r="F4" s="165">
        <v>1989.0</v>
      </c>
      <c r="G4" s="165">
        <v>1990.0</v>
      </c>
      <c r="H4" s="165">
        <v>1991.0</v>
      </c>
      <c r="I4" s="165">
        <v>1992.0</v>
      </c>
      <c r="J4" s="165">
        <v>1993.0</v>
      </c>
      <c r="K4" s="165">
        <v>1994.0</v>
      </c>
      <c r="L4" s="165">
        <v>1995.0</v>
      </c>
      <c r="M4" s="165">
        <v>1996.0</v>
      </c>
      <c r="N4" s="165">
        <v>1997.0</v>
      </c>
      <c r="O4" s="165">
        <v>1998.0</v>
      </c>
      <c r="P4" s="165">
        <v>1999.0</v>
      </c>
      <c r="Q4" s="165">
        <v>2000.0</v>
      </c>
      <c r="R4" s="165">
        <v>2001.0</v>
      </c>
      <c r="S4" s="165">
        <v>2002.0</v>
      </c>
      <c r="T4" s="165">
        <v>2003.0</v>
      </c>
      <c r="U4" s="165">
        <v>2004.0</v>
      </c>
      <c r="V4" s="165">
        <v>2005.0</v>
      </c>
      <c r="W4" s="165">
        <v>2006.0</v>
      </c>
      <c r="X4" s="165">
        <v>2007.0</v>
      </c>
      <c r="Y4" s="165">
        <v>2008.0</v>
      </c>
      <c r="Z4" s="165">
        <v>2009.0</v>
      </c>
      <c r="AA4" s="165">
        <v>2010.0</v>
      </c>
      <c r="AB4" s="165">
        <v>2011.0</v>
      </c>
      <c r="AC4" s="165">
        <v>2012.0</v>
      </c>
      <c r="AD4" s="165">
        <v>2013.0</v>
      </c>
      <c r="AE4" s="165">
        <v>2014.0</v>
      </c>
      <c r="AF4" s="165">
        <v>2015.0</v>
      </c>
      <c r="AG4" s="165">
        <v>2016.0</v>
      </c>
      <c r="AH4" s="165">
        <v>2017.0</v>
      </c>
      <c r="AI4" s="165">
        <v>2018.0</v>
      </c>
      <c r="AJ4" s="165">
        <v>2019.0</v>
      </c>
      <c r="AK4" s="165">
        <v>2020.0</v>
      </c>
      <c r="AL4" s="165">
        <v>2021.0</v>
      </c>
      <c r="AM4" s="165">
        <v>2022.0</v>
      </c>
      <c r="AN4" s="165">
        <v>2023.0</v>
      </c>
      <c r="AO4" s="165">
        <v>2024.0</v>
      </c>
      <c r="AP4" s="165">
        <v>2025.0</v>
      </c>
      <c r="AQ4" s="166"/>
    </row>
    <row r="5" ht="15.75" customHeight="1">
      <c r="A5" s="167" t="s">
        <v>14</v>
      </c>
      <c r="B5" s="167">
        <v>6.20533523351796E8</v>
      </c>
      <c r="C5" s="167">
        <v>6.171420183028858E8</v>
      </c>
      <c r="D5" s="167">
        <v>6.130578263245653E8</v>
      </c>
      <c r="E5" s="167">
        <v>6.086675310344896E8</v>
      </c>
      <c r="F5" s="167">
        <v>6.047159494291239E8</v>
      </c>
      <c r="G5" s="167">
        <v>6.015490946609141E8</v>
      </c>
      <c r="H5" s="167">
        <v>5.981319759345168E8</v>
      </c>
      <c r="I5" s="167">
        <v>5.942906975784593E8</v>
      </c>
      <c r="J5" s="167">
        <v>5.905566084689115E8</v>
      </c>
      <c r="K5" s="167">
        <v>5.861266779050158E8</v>
      </c>
      <c r="L5" s="167">
        <v>5.81463553799632E8</v>
      </c>
      <c r="M5" s="167">
        <v>5.77663202166129E8</v>
      </c>
      <c r="N5" s="167">
        <v>5.741041058387643E8</v>
      </c>
      <c r="O5" s="167">
        <v>5.705498435028949E8</v>
      </c>
      <c r="P5" s="167">
        <v>5.671746873347595E8</v>
      </c>
      <c r="Q5" s="167">
        <v>5.645593004803387E8</v>
      </c>
      <c r="R5" s="167">
        <v>5.612200270742925E8</v>
      </c>
      <c r="S5" s="167">
        <v>5.577247329900241E8</v>
      </c>
      <c r="T5" s="167">
        <v>5.53260861490478E8</v>
      </c>
      <c r="U5" s="167">
        <v>5.489160018503497E8</v>
      </c>
      <c r="V5" s="167">
        <v>5.457503630652622E8</v>
      </c>
      <c r="W5" s="167">
        <v>5.433283436583576E8</v>
      </c>
      <c r="X5" s="167">
        <v>5.415231799523696E8</v>
      </c>
      <c r="Y5" s="167">
        <v>5.394951680291954E8</v>
      </c>
      <c r="Z5" s="167">
        <v>5.381203252618979E8</v>
      </c>
      <c r="AA5" s="167">
        <v>5.370575394579698E8</v>
      </c>
      <c r="AB5" s="167">
        <v>5.3597435906570315E8</v>
      </c>
      <c r="AC5" s="167">
        <v>5.34420296851013E8</v>
      </c>
      <c r="AD5" s="167">
        <v>5.3264455166640407E8</v>
      </c>
      <c r="AE5" s="167">
        <v>5.310720265593331E8</v>
      </c>
      <c r="AF5" s="167">
        <v>5.2942575371711767E8</v>
      </c>
      <c r="AG5" s="167">
        <v>5.278984927433465E8</v>
      </c>
      <c r="AH5" s="167">
        <v>5.266388420367846E8</v>
      </c>
      <c r="AI5" s="167">
        <v>5.253465655656447E8</v>
      </c>
      <c r="AJ5" s="167">
        <v>5.231883222227504E8</v>
      </c>
      <c r="AK5" s="167">
        <v>5.2092733097962475E8</v>
      </c>
      <c r="AL5" s="167">
        <v>5.1824183509995055E8</v>
      </c>
      <c r="AM5" s="168">
        <v>5.1477610280326134E8</v>
      </c>
      <c r="AN5" s="168">
        <v>5.1124210690842104E8</v>
      </c>
      <c r="AO5" s="168">
        <v>5.090817488664865E8</v>
      </c>
      <c r="AP5" s="168">
        <v>5.05743963971196E8</v>
      </c>
      <c r="AQ5" s="30"/>
      <c r="AR5" s="169">
        <f t="shared" ref="AR5:AR36" si="1">AP5-B5</f>
        <v>-114789559.4</v>
      </c>
      <c r="AS5" s="170">
        <f t="shared" ref="AS5:AS28" si="2">AR5/B5</f>
        <v>-0.1849852668</v>
      </c>
      <c r="AT5" s="171" t="s">
        <v>175</v>
      </c>
      <c r="AU5" s="172">
        <f>AP5+AP12</f>
        <v>551660517.3</v>
      </c>
    </row>
    <row r="6" ht="15.75" customHeight="1">
      <c r="A6" s="173" t="s">
        <v>20</v>
      </c>
      <c r="B6" s="174">
        <v>4.244907122610724E8</v>
      </c>
      <c r="C6" s="174">
        <v>4.2311287393423516E8</v>
      </c>
      <c r="D6" s="174">
        <v>4.205155539589829E8</v>
      </c>
      <c r="E6" s="174">
        <v>4.180025136093421E8</v>
      </c>
      <c r="F6" s="174">
        <v>4.160456437360191E8</v>
      </c>
      <c r="G6" s="174">
        <v>4.145860140849269E8</v>
      </c>
      <c r="H6" s="174">
        <v>4.1294230284776574E8</v>
      </c>
      <c r="I6" s="174">
        <v>4.109957817414835E8</v>
      </c>
      <c r="J6" s="174">
        <v>4.0916598369229877E8</v>
      </c>
      <c r="K6" s="174">
        <v>4.069059610971795E8</v>
      </c>
      <c r="L6" s="174">
        <v>4.040593652162037E8</v>
      </c>
      <c r="M6" s="174">
        <v>4.016038728627872E8</v>
      </c>
      <c r="N6" s="174">
        <v>3.991027716558655E8</v>
      </c>
      <c r="O6" s="174">
        <v>3.968157630010339E8</v>
      </c>
      <c r="P6" s="174">
        <v>3.944616697094785E8</v>
      </c>
      <c r="Q6" s="174">
        <v>3.925858147393533E8</v>
      </c>
      <c r="R6" s="174">
        <v>3.9045590402235323E8</v>
      </c>
      <c r="S6" s="174">
        <v>3.8812559341603994E8</v>
      </c>
      <c r="T6" s="174">
        <v>3.8496324277919793E8</v>
      </c>
      <c r="U6" s="174">
        <v>3.820851250447978E8</v>
      </c>
      <c r="V6" s="174">
        <v>3.7983011407568365E8</v>
      </c>
      <c r="W6" s="174">
        <v>3.781915498492678E8</v>
      </c>
      <c r="X6" s="174">
        <v>3.7700597933468086E8</v>
      </c>
      <c r="Y6" s="174">
        <v>3.757665720895053E8</v>
      </c>
      <c r="Z6" s="174">
        <v>3.750176496686735E8</v>
      </c>
      <c r="AA6" s="174">
        <v>3.747279710575476E8</v>
      </c>
      <c r="AB6" s="174">
        <v>3.7425660296880436E8</v>
      </c>
      <c r="AC6" s="174">
        <v>3.739602033948527E8</v>
      </c>
      <c r="AD6" s="174">
        <v>3.734259326788698E8</v>
      </c>
      <c r="AE6" s="174">
        <v>3.728664452362523E8</v>
      </c>
      <c r="AF6" s="174">
        <v>3.7214079887239903E8</v>
      </c>
      <c r="AG6" s="174">
        <v>3.7137432340175736E8</v>
      </c>
      <c r="AH6" s="174">
        <v>3.707217012516934E8</v>
      </c>
      <c r="AI6" s="174">
        <v>3.7002900179662645E8</v>
      </c>
      <c r="AJ6" s="174">
        <v>3.686169410564549E8</v>
      </c>
      <c r="AK6" s="174">
        <v>3.67175641184354E8</v>
      </c>
      <c r="AL6" s="174">
        <v>3.653380064401402E8</v>
      </c>
      <c r="AM6" s="174">
        <v>3.6344775995517004E8</v>
      </c>
      <c r="AN6" s="174">
        <v>3.6165790362363577E8</v>
      </c>
      <c r="AO6" s="174">
        <v>3.6044436446770585E8</v>
      </c>
      <c r="AP6" s="174">
        <v>3.59441149137014E8</v>
      </c>
      <c r="AQ6" s="174"/>
      <c r="AR6" s="169">
        <f t="shared" si="1"/>
        <v>-65049563.12</v>
      </c>
      <c r="AS6" s="170">
        <f t="shared" si="2"/>
        <v>-0.1532414285</v>
      </c>
      <c r="AT6" s="3" t="s">
        <v>176</v>
      </c>
      <c r="AU6" s="4">
        <f>AU5/AP36</f>
        <v>0.6485203066</v>
      </c>
    </row>
    <row r="7" ht="15.75" customHeight="1">
      <c r="A7" s="175" t="s">
        <v>57</v>
      </c>
      <c r="B7" s="174">
        <v>1.527802697608273E8</v>
      </c>
      <c r="C7" s="174">
        <v>1.5158459435616034E8</v>
      </c>
      <c r="D7" s="174">
        <v>1.500484296166416E8</v>
      </c>
      <c r="E7" s="174">
        <v>1.4803244974101123E8</v>
      </c>
      <c r="F7" s="174">
        <v>1.4624039636185655E8</v>
      </c>
      <c r="G7" s="174">
        <v>1.4517274068455496E8</v>
      </c>
      <c r="H7" s="174">
        <v>1.4322090019516188E8</v>
      </c>
      <c r="I7" s="174">
        <v>1.4161278378817478E8</v>
      </c>
      <c r="J7" s="174">
        <v>1.3977515186601368E8</v>
      </c>
      <c r="K7" s="174">
        <v>1.379669904143009E8</v>
      </c>
      <c r="L7" s="174">
        <v>1.359063357379896E8</v>
      </c>
      <c r="M7" s="174">
        <v>1.348768689516302E8</v>
      </c>
      <c r="N7" s="174">
        <v>1.3385512063945395E8</v>
      </c>
      <c r="O7" s="174">
        <v>1.3319232184194867E8</v>
      </c>
      <c r="P7" s="174">
        <v>1.322873854259953E8</v>
      </c>
      <c r="Q7" s="174">
        <v>1.3138369235895446E8</v>
      </c>
      <c r="R7" s="174">
        <v>1.3042402329831463E8</v>
      </c>
      <c r="S7" s="174">
        <v>1.2909971786858046E8</v>
      </c>
      <c r="T7" s="174">
        <v>1.2778580367275558E8</v>
      </c>
      <c r="U7" s="174">
        <v>1.2650106374992245E8</v>
      </c>
      <c r="V7" s="174">
        <v>1.2572967656735376E8</v>
      </c>
      <c r="W7" s="174">
        <v>1.2468027334650202E8</v>
      </c>
      <c r="X7" s="174">
        <v>1.2419691738762286E8</v>
      </c>
      <c r="Y7" s="174">
        <v>1.2337793054390086E8</v>
      </c>
      <c r="Z7" s="174">
        <v>1.2308431555436428E8</v>
      </c>
      <c r="AA7" s="174">
        <v>1.2223565698817644E8</v>
      </c>
      <c r="AB7" s="174">
        <v>1.2110480175025238E8</v>
      </c>
      <c r="AC7" s="174">
        <v>1.2044870588780275E8</v>
      </c>
      <c r="AD7" s="174">
        <v>1.1904620588184825E8</v>
      </c>
      <c r="AE7" s="174">
        <v>1.17825726059332E8</v>
      </c>
      <c r="AF7" s="174">
        <v>1.1721820894515851E8</v>
      </c>
      <c r="AG7" s="174">
        <v>1.164969609453732E8</v>
      </c>
      <c r="AH7" s="174">
        <v>1.1593318033380526E8</v>
      </c>
      <c r="AI7" s="174">
        <v>1.1512062136264367E8</v>
      </c>
      <c r="AJ7" s="174">
        <v>1.1466925508642948E8</v>
      </c>
      <c r="AK7" s="174">
        <v>1.1393041213077162E8</v>
      </c>
      <c r="AL7" s="174">
        <v>1.1312051113643496E8</v>
      </c>
      <c r="AM7" s="174">
        <v>1.1163348946159643E8</v>
      </c>
      <c r="AN7" s="174">
        <v>1.0986605299437433E8</v>
      </c>
      <c r="AO7" s="174">
        <v>1.090966418102411E8</v>
      </c>
      <c r="AP7" s="174">
        <v>1.0675104888053593E8</v>
      </c>
      <c r="AQ7" s="174"/>
      <c r="AR7" s="169">
        <f t="shared" si="1"/>
        <v>-46029220.88</v>
      </c>
      <c r="AS7" s="170">
        <f t="shared" si="2"/>
        <v>-0.3012772589</v>
      </c>
    </row>
    <row r="8" ht="15.75" customHeight="1">
      <c r="A8" s="176" t="s">
        <v>65</v>
      </c>
      <c r="B8" s="174">
        <v>1097235.1852997474</v>
      </c>
      <c r="C8" s="174">
        <v>484843.4600383651</v>
      </c>
      <c r="D8" s="174">
        <v>704269.7356738317</v>
      </c>
      <c r="E8" s="174">
        <v>1024956.5518922398</v>
      </c>
      <c r="F8" s="174">
        <v>1083875.4134746788</v>
      </c>
      <c r="G8" s="174">
        <v>501776.1185407585</v>
      </c>
      <c r="H8" s="174">
        <v>781081.2407236294</v>
      </c>
      <c r="I8" s="174">
        <v>603188.0424016049</v>
      </c>
      <c r="J8" s="174">
        <v>677154.7108210211</v>
      </c>
      <c r="K8" s="174">
        <v>414714.5250638607</v>
      </c>
      <c r="L8" s="174">
        <v>804937.7233353092</v>
      </c>
      <c r="M8" s="174">
        <v>680982.4612318582</v>
      </c>
      <c r="N8" s="174">
        <v>766102.832522945</v>
      </c>
      <c r="O8" s="174">
        <v>316611.2917233871</v>
      </c>
      <c r="P8" s="174">
        <v>432380.2678845329</v>
      </c>
      <c r="Q8" s="174">
        <v>380049.651441729</v>
      </c>
      <c r="R8" s="174">
        <v>144418.02117398722</v>
      </c>
      <c r="S8" s="174">
        <v>349492.59153932706</v>
      </c>
      <c r="T8" s="174">
        <v>401381.36998567893</v>
      </c>
      <c r="U8" s="174">
        <v>272818.9307919819</v>
      </c>
      <c r="V8" s="174">
        <v>150982.9173098255</v>
      </c>
      <c r="W8" s="174">
        <v>450367.3740094472</v>
      </c>
      <c r="X8" s="174">
        <v>329154.0057794003</v>
      </c>
      <c r="Y8" s="174">
        <v>406028.636128025</v>
      </c>
      <c r="Z8" s="174">
        <v>132944.4627828122</v>
      </c>
      <c r="AA8" s="174">
        <v>194290.23459783907</v>
      </c>
      <c r="AB8" s="174">
        <v>693826.5090243984</v>
      </c>
      <c r="AC8" s="174">
        <v>116153.28678894043</v>
      </c>
      <c r="AD8" s="174">
        <v>264096.5060948533</v>
      </c>
      <c r="AE8" s="174">
        <v>488955.0922134194</v>
      </c>
      <c r="AF8" s="174">
        <v>191207.09402570207</v>
      </c>
      <c r="AG8" s="174">
        <v>184739.21051140284</v>
      </c>
      <c r="AH8" s="174">
        <v>184878.49159428786</v>
      </c>
      <c r="AI8" s="174">
        <v>404177.64835594094</v>
      </c>
      <c r="AJ8" s="174">
        <v>143005.27290812985</v>
      </c>
      <c r="AK8" s="174">
        <v>58543.85390193477</v>
      </c>
      <c r="AL8" s="174">
        <v>68930.75553711556</v>
      </c>
      <c r="AM8" s="174">
        <v>103263.92746156605</v>
      </c>
      <c r="AN8" s="174">
        <v>222514.9673117372</v>
      </c>
      <c r="AO8" s="174">
        <v>43786.35238438702</v>
      </c>
      <c r="AP8" s="174">
        <v>174266.54173482704</v>
      </c>
      <c r="AQ8" s="174"/>
      <c r="AR8" s="169">
        <f t="shared" si="1"/>
        <v>-922968.6436</v>
      </c>
      <c r="AS8" s="170">
        <f t="shared" si="2"/>
        <v>-0.8411766738</v>
      </c>
      <c r="AT8" s="15" t="s">
        <v>177</v>
      </c>
      <c r="AU8" s="172">
        <f>AR5+AR12</f>
        <v>-124186136.9</v>
      </c>
    </row>
    <row r="9" ht="15.75" customHeight="1">
      <c r="A9" s="176" t="s">
        <v>68</v>
      </c>
      <c r="B9" s="174">
        <v>997674.6331135712</v>
      </c>
      <c r="C9" s="174">
        <v>998425.3661037345</v>
      </c>
      <c r="D9" s="174">
        <v>995894.726287054</v>
      </c>
      <c r="E9" s="174">
        <v>998438.9445272326</v>
      </c>
      <c r="F9" s="174">
        <v>1002295.1932238536</v>
      </c>
      <c r="G9" s="174">
        <v>1007358.1109698924</v>
      </c>
      <c r="H9" s="174">
        <v>1009368.6969120211</v>
      </c>
      <c r="I9" s="174">
        <v>1009256.8200955807</v>
      </c>
      <c r="J9" s="174">
        <v>1008640.0853594225</v>
      </c>
      <c r="K9" s="174">
        <v>1010442.3046880381</v>
      </c>
      <c r="L9" s="174">
        <v>1014620.566172779</v>
      </c>
      <c r="M9" s="174">
        <v>1017114.3402720536</v>
      </c>
      <c r="N9" s="174">
        <v>1016742.8501127359</v>
      </c>
      <c r="O9" s="174">
        <v>1010528.5538741553</v>
      </c>
      <c r="P9" s="174">
        <v>1006149.4241657283</v>
      </c>
      <c r="Q9" s="174">
        <v>1016380.5533300517</v>
      </c>
      <c r="R9" s="174">
        <v>1018108.4754858373</v>
      </c>
      <c r="S9" s="174">
        <v>1020328.59521071</v>
      </c>
      <c r="T9" s="174">
        <v>1021253.5813757833</v>
      </c>
      <c r="U9" s="174">
        <v>1023237.0261359996</v>
      </c>
      <c r="V9" s="174">
        <v>1022632.2547708469</v>
      </c>
      <c r="W9" s="174">
        <v>1022171.7734459259</v>
      </c>
      <c r="X9" s="174">
        <v>1021615.0002783621</v>
      </c>
      <c r="Y9" s="174">
        <v>1022044.3564421054</v>
      </c>
      <c r="Z9" s="174">
        <v>1024879.9701678697</v>
      </c>
      <c r="AA9" s="174">
        <v>1025522.193727185</v>
      </c>
      <c r="AB9" s="174">
        <v>1028242.5624027442</v>
      </c>
      <c r="AC9" s="174">
        <v>1028684.8624456029</v>
      </c>
      <c r="AD9" s="174">
        <v>1030519.7487960932</v>
      </c>
      <c r="AE9" s="174">
        <v>1033684.9110158632</v>
      </c>
      <c r="AF9" s="174">
        <v>1030270.1504052914</v>
      </c>
      <c r="AG9" s="174">
        <v>1026186.9234716757</v>
      </c>
      <c r="AH9" s="174">
        <v>1024216.1781592482</v>
      </c>
      <c r="AI9" s="174">
        <v>1024745.9340435975</v>
      </c>
      <c r="AJ9" s="174">
        <v>1028632.9136535773</v>
      </c>
      <c r="AK9" s="174">
        <v>1026944.9068605289</v>
      </c>
      <c r="AL9" s="174">
        <v>1033733.7689590682</v>
      </c>
      <c r="AM9" s="174">
        <v>1030910.8515572504</v>
      </c>
      <c r="AN9" s="174">
        <v>1038951.3424707021</v>
      </c>
      <c r="AO9" s="174">
        <v>1041042.4063618686</v>
      </c>
      <c r="AP9" s="174">
        <v>1043628.9534560528</v>
      </c>
      <c r="AQ9" s="174"/>
      <c r="AR9" s="169">
        <f t="shared" si="1"/>
        <v>45954.32034</v>
      </c>
      <c r="AS9" s="170">
        <f t="shared" si="2"/>
        <v>0.04606143007</v>
      </c>
    </row>
    <row r="10" ht="15.75" customHeight="1">
      <c r="A10" s="176" t="s">
        <v>74</v>
      </c>
      <c r="B10" s="174">
        <v>4.0594305258373454E7</v>
      </c>
      <c r="C10" s="174">
        <v>4.039178137164146E7</v>
      </c>
      <c r="D10" s="174">
        <v>4.0230870914921775E7</v>
      </c>
      <c r="E10" s="174">
        <v>4.004905715787687E7</v>
      </c>
      <c r="F10" s="174">
        <v>3.97871963878945E7</v>
      </c>
      <c r="G10" s="174">
        <v>3.972508491371595E7</v>
      </c>
      <c r="H10" s="174">
        <v>3.962372480894389E7</v>
      </c>
      <c r="I10" s="174">
        <v>3.9519699517638355E7</v>
      </c>
      <c r="J10" s="174">
        <v>3.937974410618616E7</v>
      </c>
      <c r="K10" s="174">
        <v>3.9280977115361065E7</v>
      </c>
      <c r="L10" s="174">
        <v>3.913354073856752E7</v>
      </c>
      <c r="M10" s="174">
        <v>3.894268462819395E7</v>
      </c>
      <c r="N10" s="174">
        <v>3.882531931570021E7</v>
      </c>
      <c r="O10" s="174">
        <v>3.8679088881687246E7</v>
      </c>
      <c r="P10" s="174">
        <v>3.845250148921134E7</v>
      </c>
      <c r="Q10" s="174">
        <v>3.8658789845966995E7</v>
      </c>
      <c r="R10" s="174">
        <v>3.864389233323289E7</v>
      </c>
      <c r="S10" s="174">
        <v>3.859650658003986E7</v>
      </c>
      <c r="T10" s="174">
        <v>3.8556582634741515E7</v>
      </c>
      <c r="U10" s="174">
        <v>3.8501560814187914E7</v>
      </c>
      <c r="V10" s="174">
        <v>3.8484744835539594E7</v>
      </c>
      <c r="W10" s="174">
        <v>3.845088447211144E7</v>
      </c>
      <c r="X10" s="174">
        <v>3.843396741811008E7</v>
      </c>
      <c r="Y10" s="174">
        <v>3.8386114293125436E7</v>
      </c>
      <c r="Z10" s="174">
        <v>3.832373664941744E7</v>
      </c>
      <c r="AA10" s="174">
        <v>3.833658555428874E7</v>
      </c>
      <c r="AB10" s="174">
        <v>3.8350866955577575E7</v>
      </c>
      <c r="AC10" s="174">
        <v>3.832606915318023E7</v>
      </c>
      <c r="AD10" s="174">
        <v>3.8337359581652015E7</v>
      </c>
      <c r="AE10" s="174">
        <v>3.831768911985947E7</v>
      </c>
      <c r="AF10" s="174">
        <v>3.830570566606319E7</v>
      </c>
      <c r="AG10" s="174">
        <v>3.8277623239916205E7</v>
      </c>
      <c r="AH10" s="174">
        <v>3.823826113297739E7</v>
      </c>
      <c r="AI10" s="174">
        <v>3.823208888073461E7</v>
      </c>
      <c r="AJ10" s="174">
        <v>3.819451563493304E7</v>
      </c>
      <c r="AK10" s="174">
        <v>3.820061960540865E7</v>
      </c>
      <c r="AL10" s="174">
        <v>3.814687064019717E7</v>
      </c>
      <c r="AM10" s="174">
        <v>3.802840984559648E7</v>
      </c>
      <c r="AN10" s="174">
        <v>3.7926011805354096E7</v>
      </c>
      <c r="AO10" s="174">
        <v>3.7925283672977954E7</v>
      </c>
      <c r="AP10" s="174">
        <v>3.780385751910921E7</v>
      </c>
      <c r="AQ10" s="174"/>
      <c r="AR10" s="169">
        <f t="shared" si="1"/>
        <v>-2790447.739</v>
      </c>
      <c r="AS10" s="170">
        <f t="shared" si="2"/>
        <v>-0.06873988165</v>
      </c>
      <c r="AT10" s="15" t="s">
        <v>178</v>
      </c>
      <c r="AU10" s="4">
        <f>AP22/B22</f>
        <v>3.584453915</v>
      </c>
    </row>
    <row r="11" ht="15.75" customHeight="1">
      <c r="A11" s="176" t="s">
        <v>40</v>
      </c>
      <c r="B11" s="174">
        <v>573326.253109459</v>
      </c>
      <c r="C11" s="174">
        <v>569499.8147066145</v>
      </c>
      <c r="D11" s="174">
        <v>562807.3720583213</v>
      </c>
      <c r="E11" s="174">
        <v>560115.0298398156</v>
      </c>
      <c r="F11" s="174">
        <v>556542.3366552441</v>
      </c>
      <c r="G11" s="174">
        <v>556120.7482055108</v>
      </c>
      <c r="H11" s="174">
        <v>554598.1450096939</v>
      </c>
      <c r="I11" s="174">
        <v>549987.668665555</v>
      </c>
      <c r="J11" s="174">
        <v>549934.008232468</v>
      </c>
      <c r="K11" s="174">
        <v>547592.4484224196</v>
      </c>
      <c r="L11" s="174">
        <v>544753.8173629706</v>
      </c>
      <c r="M11" s="174">
        <v>541678.9220138082</v>
      </c>
      <c r="N11" s="174">
        <v>538048.5451090294</v>
      </c>
      <c r="O11" s="174">
        <v>535529.9326276176</v>
      </c>
      <c r="P11" s="174">
        <v>534601.0180240357</v>
      </c>
      <c r="Q11" s="174">
        <v>534573.3312921348</v>
      </c>
      <c r="R11" s="174">
        <v>533680.9237319066</v>
      </c>
      <c r="S11" s="174">
        <v>533093.9386138165</v>
      </c>
      <c r="T11" s="174">
        <v>532597.452421566</v>
      </c>
      <c r="U11" s="174">
        <v>532196.2845136176</v>
      </c>
      <c r="V11" s="174">
        <v>532212.4146044068</v>
      </c>
      <c r="W11" s="174">
        <v>533096.8430210638</v>
      </c>
      <c r="X11" s="174">
        <v>535546.8058979218</v>
      </c>
      <c r="Y11" s="174">
        <v>536478.1100936868</v>
      </c>
      <c r="Z11" s="174">
        <v>536798.9564920585</v>
      </c>
      <c r="AA11" s="174">
        <v>537513.4296320041</v>
      </c>
      <c r="AB11" s="174">
        <v>540018.3196417951</v>
      </c>
      <c r="AC11" s="174">
        <v>540480.2659427345</v>
      </c>
      <c r="AD11" s="174">
        <v>540437.2691430341</v>
      </c>
      <c r="AE11" s="174">
        <v>539526.1406600382</v>
      </c>
      <c r="AF11" s="174">
        <v>539562.9890659087</v>
      </c>
      <c r="AG11" s="174">
        <v>538659.0223166891</v>
      </c>
      <c r="AH11" s="174">
        <v>536604.6485549674</v>
      </c>
      <c r="AI11" s="174">
        <v>535929.9432404052</v>
      </c>
      <c r="AJ11" s="174">
        <v>535972.2583713083</v>
      </c>
      <c r="AK11" s="174">
        <v>535169.2983279962</v>
      </c>
      <c r="AL11" s="174">
        <v>533782.3586821104</v>
      </c>
      <c r="AM11" s="174">
        <v>532268.7618795717</v>
      </c>
      <c r="AN11" s="174">
        <v>530672.1752743828</v>
      </c>
      <c r="AO11" s="174">
        <v>530630.1568153576</v>
      </c>
      <c r="AP11" s="174">
        <v>530012.9393460725</v>
      </c>
      <c r="AQ11" s="174"/>
      <c r="AR11" s="169">
        <f t="shared" si="1"/>
        <v>-43313.31376</v>
      </c>
      <c r="AS11" s="170">
        <f t="shared" si="2"/>
        <v>-0.07554741045</v>
      </c>
      <c r="AT11" s="15" t="s">
        <v>181</v>
      </c>
      <c r="AU11" s="4">
        <f>AP21/B21</f>
        <v>1.592513521</v>
      </c>
    </row>
    <row r="12" ht="15.75" customHeight="1">
      <c r="A12" s="167" t="s">
        <v>81</v>
      </c>
      <c r="B12" s="167">
        <v>5.531313087433375E7</v>
      </c>
      <c r="C12" s="167">
        <v>5.581611800007007E7</v>
      </c>
      <c r="D12" s="167">
        <v>5.472172066716976E7</v>
      </c>
      <c r="E12" s="167">
        <v>5.261581529435241E7</v>
      </c>
      <c r="F12" s="167">
        <v>5.27478523006287E7</v>
      </c>
      <c r="G12" s="167">
        <v>5.348816970661778E7</v>
      </c>
      <c r="H12" s="167">
        <v>5.187777971057648E7</v>
      </c>
      <c r="I12" s="167">
        <v>5.2036283366224125E7</v>
      </c>
      <c r="J12" s="167">
        <v>5.175658528426102E7</v>
      </c>
      <c r="K12" s="167">
        <v>5.286383550699557E7</v>
      </c>
      <c r="L12" s="167">
        <v>5.162328356819829E7</v>
      </c>
      <c r="M12" s="167">
        <v>5.183119923515847E7</v>
      </c>
      <c r="N12" s="167">
        <v>5.139201987172326E7</v>
      </c>
      <c r="O12" s="167">
        <v>5.179694881332545E7</v>
      </c>
      <c r="P12" s="167">
        <v>5.1029828631461814E7</v>
      </c>
      <c r="Q12" s="167">
        <v>5.197769902040565E7</v>
      </c>
      <c r="R12" s="167">
        <v>5.2566892363701314E7</v>
      </c>
      <c r="S12" s="167">
        <v>5.197998312177753E7</v>
      </c>
      <c r="T12" s="167">
        <v>5.221388774989513E7</v>
      </c>
      <c r="U12" s="167">
        <v>5.219788333490403E7</v>
      </c>
      <c r="V12" s="167">
        <v>5.182616927042234E7</v>
      </c>
      <c r="W12" s="167">
        <v>5.081361796701669E7</v>
      </c>
      <c r="X12" s="167">
        <v>5.0510721206673115E7</v>
      </c>
      <c r="Y12" s="167">
        <v>5.055982979866963E7</v>
      </c>
      <c r="Z12" s="167">
        <v>5.102804061832763E7</v>
      </c>
      <c r="AA12" s="167">
        <v>5.065369801493887E7</v>
      </c>
      <c r="AB12" s="167">
        <v>4.936897210932661E7</v>
      </c>
      <c r="AC12" s="167">
        <v>5.039731882865851E7</v>
      </c>
      <c r="AD12" s="167">
        <v>5.015951073039698E7</v>
      </c>
      <c r="AE12" s="167">
        <v>4.915700318025217E7</v>
      </c>
      <c r="AF12" s="167">
        <v>4.979243171466235E7</v>
      </c>
      <c r="AG12" s="167">
        <v>4.951776850625909E7</v>
      </c>
      <c r="AH12" s="167">
        <v>4.919091349607128E7</v>
      </c>
      <c r="AI12" s="167">
        <v>4.805486126208656E7</v>
      </c>
      <c r="AJ12" s="167">
        <v>4.8721502859047964E7</v>
      </c>
      <c r="AK12" s="167">
        <v>4.890152238569326E7</v>
      </c>
      <c r="AL12" s="167">
        <v>4.822431224484515E7</v>
      </c>
      <c r="AM12" s="168">
        <v>4.697396743933875E7</v>
      </c>
      <c r="AN12" s="168">
        <v>4.681392994354458E7</v>
      </c>
      <c r="AO12" s="168">
        <v>4.710956068643757E7</v>
      </c>
      <c r="AP12" s="168">
        <v>4.5916553319222786E7</v>
      </c>
      <c r="AQ12" s="30"/>
      <c r="AR12" s="169">
        <f t="shared" si="1"/>
        <v>-9396577.555</v>
      </c>
      <c r="AS12" s="170">
        <f t="shared" si="2"/>
        <v>-0.1698796905</v>
      </c>
      <c r="AT12" s="171"/>
    </row>
    <row r="13" ht="15.75" customHeight="1">
      <c r="A13" s="30" t="s">
        <v>83</v>
      </c>
      <c r="B13" s="174">
        <v>2.187908935380194E7</v>
      </c>
      <c r="C13" s="174">
        <v>2.1334554363619294E7</v>
      </c>
      <c r="D13" s="174">
        <v>2.156804703618317E7</v>
      </c>
      <c r="E13" s="174">
        <v>2.081665101787329E7</v>
      </c>
      <c r="F13" s="174">
        <v>2.128100788808288E7</v>
      </c>
      <c r="G13" s="174">
        <v>2.0106359634223875E7</v>
      </c>
      <c r="H13" s="174">
        <v>2.0221238583362516E7</v>
      </c>
      <c r="I13" s="174">
        <v>2.009721589498574E7</v>
      </c>
      <c r="J13" s="174">
        <v>1.9761824643394254E7</v>
      </c>
      <c r="K13" s="174">
        <v>1.9389754210454136E7</v>
      </c>
      <c r="L13" s="174">
        <v>2.0360492592100948E7</v>
      </c>
      <c r="M13" s="174">
        <v>1.9930061923002962E7</v>
      </c>
      <c r="N13" s="174">
        <v>2.042581548180363E7</v>
      </c>
      <c r="O13" s="174">
        <v>1.8830686742250644E7</v>
      </c>
      <c r="P13" s="174">
        <v>1.9180089269708868E7</v>
      </c>
      <c r="Q13" s="174">
        <v>2.0327608168384865E7</v>
      </c>
      <c r="R13" s="174">
        <v>1.9337358180994354E7</v>
      </c>
      <c r="S13" s="174">
        <v>2.0276056190449495E7</v>
      </c>
      <c r="T13" s="174">
        <v>2.0524733306919955E7</v>
      </c>
      <c r="U13" s="174">
        <v>2.0149348857638538E7</v>
      </c>
      <c r="V13" s="174">
        <v>1.964652715612459E7</v>
      </c>
      <c r="W13" s="174">
        <v>2.05898765049652E7</v>
      </c>
      <c r="X13" s="174">
        <v>2.045430539395699E7</v>
      </c>
      <c r="Y13" s="174">
        <v>2.068804727607452E7</v>
      </c>
      <c r="Z13" s="174">
        <v>1.914217896132152E7</v>
      </c>
      <c r="AA13" s="174">
        <v>1.9887183802829634E7</v>
      </c>
      <c r="AB13" s="174">
        <v>1.92974098383886E7</v>
      </c>
      <c r="AC13" s="174">
        <v>1.8668036182810597E7</v>
      </c>
      <c r="AD13" s="174">
        <v>1.957368470089458E7</v>
      </c>
      <c r="AE13" s="174">
        <v>2.0259953767975636E7</v>
      </c>
      <c r="AF13" s="174">
        <v>1.9862637371877797E7</v>
      </c>
      <c r="AG13" s="174">
        <v>2.01796713146829E7</v>
      </c>
      <c r="AH13" s="174">
        <v>1.9791269641751945E7</v>
      </c>
      <c r="AI13" s="174">
        <v>2.0732324271246262E7</v>
      </c>
      <c r="AJ13" s="174">
        <v>1.9485460860331826E7</v>
      </c>
      <c r="AK13" s="174">
        <v>1.8509528486926954E7</v>
      </c>
      <c r="AL13" s="174">
        <v>1.835345084228881E7</v>
      </c>
      <c r="AM13" s="174">
        <v>1.8037197951236688E7</v>
      </c>
      <c r="AN13" s="174">
        <v>1.9606621452812802E7</v>
      </c>
      <c r="AO13" s="174">
        <v>1.8118063782209445E7</v>
      </c>
      <c r="AP13" s="174">
        <v>1.865475598932744E7</v>
      </c>
      <c r="AQ13" s="174"/>
      <c r="AR13" s="169">
        <f t="shared" si="1"/>
        <v>-3224333.364</v>
      </c>
      <c r="AS13" s="170">
        <f t="shared" si="2"/>
        <v>-0.1473705469</v>
      </c>
    </row>
    <row r="14" ht="15.75" customHeight="1">
      <c r="A14" s="30" t="s">
        <v>94</v>
      </c>
      <c r="B14" s="174">
        <v>7648.299643982019</v>
      </c>
      <c r="C14" s="174">
        <v>7614.613572607527</v>
      </c>
      <c r="D14" s="174">
        <v>7321.349813232573</v>
      </c>
      <c r="E14" s="174">
        <v>7332.763603857494</v>
      </c>
      <c r="F14" s="174">
        <v>7318.4022338563145</v>
      </c>
      <c r="G14" s="174">
        <v>7310.232407696663</v>
      </c>
      <c r="H14" s="174">
        <v>7325.410373205673</v>
      </c>
      <c r="I14" s="174">
        <v>7305.627555340708</v>
      </c>
      <c r="J14" s="174">
        <v>7392.538618383929</v>
      </c>
      <c r="K14" s="174">
        <v>7325.388988269157</v>
      </c>
      <c r="L14" s="174">
        <v>7198.8064740540085</v>
      </c>
      <c r="M14" s="174">
        <v>7348.943989129752</v>
      </c>
      <c r="N14" s="174">
        <v>7327.920261987407</v>
      </c>
      <c r="O14" s="174">
        <v>7439.148988580318</v>
      </c>
      <c r="P14" s="174">
        <v>7486.8439392762375</v>
      </c>
      <c r="Q14" s="174">
        <v>7803.346448089643</v>
      </c>
      <c r="R14" s="174">
        <v>7567.800710839861</v>
      </c>
      <c r="S14" s="174">
        <v>7488.710618817178</v>
      </c>
      <c r="T14" s="174">
        <v>7558.150774060115</v>
      </c>
      <c r="U14" s="174">
        <v>7647.987955120957</v>
      </c>
      <c r="V14" s="174">
        <v>7637.452076696848</v>
      </c>
      <c r="W14" s="174">
        <v>7517.74244008179</v>
      </c>
      <c r="X14" s="174">
        <v>7572.273885540785</v>
      </c>
      <c r="Y14" s="174">
        <v>7685.78042738659</v>
      </c>
      <c r="Z14" s="174">
        <v>7430.965848700087</v>
      </c>
      <c r="AA14" s="174">
        <v>7393.660249621759</v>
      </c>
      <c r="AB14" s="174">
        <v>7375.1356284120175</v>
      </c>
      <c r="AC14" s="174">
        <v>7333.9712653199695</v>
      </c>
      <c r="AD14" s="174">
        <v>7345.991208154429</v>
      </c>
      <c r="AE14" s="174">
        <v>7316.119034015061</v>
      </c>
      <c r="AF14" s="174">
        <v>7187.953285095295</v>
      </c>
      <c r="AG14" s="174">
        <v>6945.193174127325</v>
      </c>
      <c r="AH14" s="174">
        <v>6940.020018499884</v>
      </c>
      <c r="AI14" s="174">
        <v>6869.471583563362</v>
      </c>
      <c r="AJ14" s="174">
        <v>6761.287723303282</v>
      </c>
      <c r="AK14" s="174">
        <v>6679.100670611607</v>
      </c>
      <c r="AL14" s="174">
        <v>6703.376479974439</v>
      </c>
      <c r="AM14" s="174">
        <v>6830.413098803867</v>
      </c>
      <c r="AN14" s="174">
        <v>6956.183764294533</v>
      </c>
      <c r="AO14" s="174">
        <v>6864.367270965731</v>
      </c>
      <c r="AP14" s="174">
        <v>6973.638068194614</v>
      </c>
      <c r="AQ14" s="174"/>
      <c r="AR14" s="169">
        <f t="shared" si="1"/>
        <v>-674.6615758</v>
      </c>
      <c r="AS14" s="170">
        <f t="shared" si="2"/>
        <v>-0.08821066213</v>
      </c>
      <c r="AU14" s="4">
        <f>(AP22-B22)/B22</f>
        <v>2.584453915</v>
      </c>
    </row>
    <row r="15" ht="15.75" customHeight="1">
      <c r="A15" s="30" t="s">
        <v>97</v>
      </c>
      <c r="B15" s="174">
        <v>3.0430090167579483E7</v>
      </c>
      <c r="C15" s="174">
        <v>3.14682480634246E7</v>
      </c>
      <c r="D15" s="174">
        <v>3.0129980531807765E7</v>
      </c>
      <c r="E15" s="174">
        <v>2.877628698692165E7</v>
      </c>
      <c r="F15" s="174">
        <v>2.844459352888514E7</v>
      </c>
      <c r="G15" s="174">
        <v>3.036451417989288E7</v>
      </c>
      <c r="H15" s="174">
        <v>2.8635067365389332E7</v>
      </c>
      <c r="I15" s="174">
        <v>2.8908566842960242E7</v>
      </c>
      <c r="J15" s="174">
        <v>2.8958778625686575E7</v>
      </c>
      <c r="K15" s="174">
        <v>3.0436510382535882E7</v>
      </c>
      <c r="L15" s="174">
        <v>2.8227575191170163E7</v>
      </c>
      <c r="M15" s="174">
        <v>2.886433263228577E7</v>
      </c>
      <c r="N15" s="174">
        <v>2.792227459435513E7</v>
      </c>
      <c r="O15" s="174">
        <v>2.991191327710683E7</v>
      </c>
      <c r="P15" s="174">
        <v>2.879749129327358E7</v>
      </c>
      <c r="Q15" s="174">
        <v>2.859604043114371E7</v>
      </c>
      <c r="R15" s="174">
        <v>3.0165449013905875E7</v>
      </c>
      <c r="S15" s="174">
        <v>2.8631659274497617E7</v>
      </c>
      <c r="T15" s="174">
        <v>2.862064077130145E7</v>
      </c>
      <c r="U15" s="174">
        <v>2.8953953578513194E7</v>
      </c>
      <c r="V15" s="174">
        <v>2.908367346454217E7</v>
      </c>
      <c r="W15" s="174">
        <v>2.7125162770518646E7</v>
      </c>
      <c r="X15" s="174">
        <v>2.6964591315158717E7</v>
      </c>
      <c r="Y15" s="174">
        <v>2.6778288405084964E7</v>
      </c>
      <c r="Z15" s="174">
        <v>2.879324687660462E7</v>
      </c>
      <c r="AA15" s="174">
        <v>2.7681943274955083E7</v>
      </c>
      <c r="AB15" s="174">
        <v>2.699720618582972E7</v>
      </c>
      <c r="AC15" s="174">
        <v>2.8648615175560784E7</v>
      </c>
      <c r="AD15" s="174">
        <v>2.750881265832547E7</v>
      </c>
      <c r="AE15" s="174">
        <v>2.5835572253516678E7</v>
      </c>
      <c r="AF15" s="174">
        <v>2.6861639768510107E7</v>
      </c>
      <c r="AG15" s="174">
        <v>2.6259182328400645E7</v>
      </c>
      <c r="AH15" s="174">
        <v>2.6312731881590314E7</v>
      </c>
      <c r="AI15" s="174">
        <v>2.4223954769614007E7</v>
      </c>
      <c r="AJ15" s="174">
        <v>2.6115923301721156E7</v>
      </c>
      <c r="AK15" s="174">
        <v>2.7252282875091847E7</v>
      </c>
      <c r="AL15" s="174">
        <v>2.673567626746506E7</v>
      </c>
      <c r="AM15" s="174">
        <v>2.579033224085392E7</v>
      </c>
      <c r="AN15" s="174">
        <v>2.405833288307628E7</v>
      </c>
      <c r="AO15" s="174">
        <v>2.5837457931961462E7</v>
      </c>
      <c r="AP15" s="174">
        <v>2.40670188866139E7</v>
      </c>
      <c r="AQ15" s="174"/>
      <c r="AR15" s="169">
        <f t="shared" si="1"/>
        <v>-6363071.281</v>
      </c>
      <c r="AS15" s="170">
        <f t="shared" si="2"/>
        <v>-0.2091045819</v>
      </c>
    </row>
    <row r="16" ht="15.75" customHeight="1">
      <c r="A16" s="30" t="s">
        <v>103</v>
      </c>
      <c r="B16" s="174">
        <v>370790.99615080486</v>
      </c>
      <c r="C16" s="174">
        <v>390648.4243646446</v>
      </c>
      <c r="D16" s="174">
        <v>410311.29106428905</v>
      </c>
      <c r="E16" s="174">
        <v>418977.8986060829</v>
      </c>
      <c r="F16" s="174">
        <v>426261.51772833115</v>
      </c>
      <c r="G16" s="174">
        <v>426762.211450844</v>
      </c>
      <c r="H16" s="174">
        <v>430635.0933426222</v>
      </c>
      <c r="I16" s="174">
        <v>438509.048220816</v>
      </c>
      <c r="J16" s="174">
        <v>440730.8948090087</v>
      </c>
      <c r="K16" s="174">
        <v>443041.42859639745</v>
      </c>
      <c r="L16" s="174">
        <v>446973.1733801541</v>
      </c>
      <c r="M16" s="174">
        <v>450622.65493651445</v>
      </c>
      <c r="N16" s="174">
        <v>457200.7083930745</v>
      </c>
      <c r="O16" s="174">
        <v>464338.1586499893</v>
      </c>
      <c r="P16" s="174">
        <v>457565.7759398385</v>
      </c>
      <c r="Q16" s="174">
        <v>454166.3059927332</v>
      </c>
      <c r="R16" s="174">
        <v>461241.0063156049</v>
      </c>
      <c r="S16" s="174">
        <v>470334.2397217944</v>
      </c>
      <c r="T16" s="174">
        <v>467458.6687125369</v>
      </c>
      <c r="U16" s="174">
        <v>484727.7601249601</v>
      </c>
      <c r="V16" s="174">
        <v>482360.2912101491</v>
      </c>
      <c r="W16" s="174">
        <v>485829.8915590189</v>
      </c>
      <c r="X16" s="174">
        <v>480714.5508400415</v>
      </c>
      <c r="Y16" s="174">
        <v>483314.252353835</v>
      </c>
      <c r="Z16" s="174">
        <v>484919.59227977006</v>
      </c>
      <c r="AA16" s="174">
        <v>482747.1869633111</v>
      </c>
      <c r="AB16" s="174">
        <v>478499.1975328148</v>
      </c>
      <c r="AC16" s="174">
        <v>487939.90292570705</v>
      </c>
      <c r="AD16" s="174">
        <v>484980.6763267946</v>
      </c>
      <c r="AE16" s="174">
        <v>466176.8924698483</v>
      </c>
      <c r="AF16" s="174">
        <v>473776.5636607102</v>
      </c>
      <c r="AG16" s="174">
        <v>487050.1059144705</v>
      </c>
      <c r="AH16" s="174">
        <v>499426.9423922817</v>
      </c>
      <c r="AI16" s="174">
        <v>515181.19138471</v>
      </c>
      <c r="AJ16" s="174">
        <v>542645.449105945</v>
      </c>
      <c r="AK16" s="174">
        <v>566418.4005883404</v>
      </c>
      <c r="AL16" s="174">
        <v>564619.6441159127</v>
      </c>
      <c r="AM16" s="174">
        <v>580145.2223662512</v>
      </c>
      <c r="AN16" s="174">
        <v>588020.3178478319</v>
      </c>
      <c r="AO16" s="174">
        <v>596135.1251632554</v>
      </c>
      <c r="AP16" s="174">
        <v>629110.7381951921</v>
      </c>
      <c r="AQ16" s="174"/>
      <c r="AR16" s="169">
        <f t="shared" si="1"/>
        <v>258319.742</v>
      </c>
      <c r="AS16" s="170">
        <f t="shared" si="2"/>
        <v>0.6966721003</v>
      </c>
    </row>
    <row r="17" ht="15.75" customHeight="1">
      <c r="A17" s="173" t="s">
        <v>117</v>
      </c>
      <c r="B17" s="174">
        <v>74370.12716381237</v>
      </c>
      <c r="C17" s="174">
        <v>74386.64623728044</v>
      </c>
      <c r="D17" s="174">
        <v>74305.959950287</v>
      </c>
      <c r="E17" s="174">
        <v>75137.30545493183</v>
      </c>
      <c r="F17" s="174">
        <v>72392.00117850365</v>
      </c>
      <c r="G17" s="174">
        <v>71102.83036340347</v>
      </c>
      <c r="H17" s="174">
        <v>70496.21187471942</v>
      </c>
      <c r="I17" s="174">
        <v>70539.75899255379</v>
      </c>
      <c r="J17" s="174">
        <v>72645.54866336068</v>
      </c>
      <c r="K17" s="174">
        <v>73207.2937896302</v>
      </c>
      <c r="L17" s="174">
        <v>72958.39911489264</v>
      </c>
      <c r="M17" s="174">
        <v>71844.9273083741</v>
      </c>
      <c r="N17" s="174">
        <v>71766.9889953614</v>
      </c>
      <c r="O17" s="174">
        <v>73592.82628982556</v>
      </c>
      <c r="P17" s="174">
        <v>74377.54874026493</v>
      </c>
      <c r="Q17" s="174">
        <v>75466.41779718023</v>
      </c>
      <c r="R17" s="174">
        <v>75312.95656209727</v>
      </c>
      <c r="S17" s="174">
        <v>74335.97089379902</v>
      </c>
      <c r="T17" s="174">
        <v>73629.1263027956</v>
      </c>
      <c r="U17" s="174">
        <v>73363.02108200695</v>
      </c>
      <c r="V17" s="174">
        <v>73829.51570230105</v>
      </c>
      <c r="W17" s="174">
        <v>74160.19322479873</v>
      </c>
      <c r="X17" s="174">
        <v>73112.04786582038</v>
      </c>
      <c r="Y17" s="174">
        <v>71093.71200084845</v>
      </c>
      <c r="Z17" s="174">
        <v>70707.30958391732</v>
      </c>
      <c r="AA17" s="174">
        <v>70556.93849361586</v>
      </c>
      <c r="AB17" s="174">
        <v>68456.80376905536</v>
      </c>
      <c r="AC17" s="174">
        <v>65011.20940701323</v>
      </c>
      <c r="AD17" s="174">
        <v>62707.98416492344</v>
      </c>
      <c r="AE17" s="174">
        <v>61109.82958017616</v>
      </c>
      <c r="AF17" s="174">
        <v>60585.47926203045</v>
      </c>
      <c r="AG17" s="174">
        <v>60724.98490608558</v>
      </c>
      <c r="AH17" s="174">
        <v>59865.89825737341</v>
      </c>
      <c r="AI17" s="174">
        <v>58281.41339339626</v>
      </c>
      <c r="AJ17" s="174">
        <v>56277.18656540553</v>
      </c>
      <c r="AK17" s="174">
        <v>55372.84387631851</v>
      </c>
      <c r="AL17" s="174">
        <v>54958.52559769918</v>
      </c>
      <c r="AM17" s="174">
        <v>53567.1025012758</v>
      </c>
      <c r="AN17" s="174">
        <v>52048.720768719686</v>
      </c>
      <c r="AO17" s="174">
        <v>50038.273954315446</v>
      </c>
      <c r="AP17" s="174">
        <v>46998.27686505753</v>
      </c>
      <c r="AQ17" s="174"/>
      <c r="AR17" s="169">
        <f t="shared" si="1"/>
        <v>-27371.8503</v>
      </c>
      <c r="AS17" s="170">
        <f t="shared" si="2"/>
        <v>-0.3680489915</v>
      </c>
    </row>
    <row r="18" ht="15.75" customHeight="1">
      <c r="A18" s="30" t="s">
        <v>130</v>
      </c>
      <c r="B18" s="174">
        <v>1874190.1769063529</v>
      </c>
      <c r="C18" s="174">
        <v>1863221.7725794122</v>
      </c>
      <c r="D18" s="174">
        <v>1862485.5130945372</v>
      </c>
      <c r="E18" s="174">
        <v>1862176.09015777</v>
      </c>
      <c r="F18" s="174">
        <v>1863282.2685812686</v>
      </c>
      <c r="G18" s="174">
        <v>1863884.0573200805</v>
      </c>
      <c r="H18" s="174">
        <v>1864318.5611737361</v>
      </c>
      <c r="I18" s="174">
        <v>1864394.5787389046</v>
      </c>
      <c r="J18" s="174">
        <v>1864351.86332995</v>
      </c>
      <c r="K18" s="174">
        <v>1863740.6217225343</v>
      </c>
      <c r="L18" s="174">
        <v>1862780.2312383729</v>
      </c>
      <c r="M18" s="174">
        <v>1862682.8788478642</v>
      </c>
      <c r="N18" s="174">
        <v>1863114.992733166</v>
      </c>
      <c r="O18" s="174">
        <v>1863893.5355884754</v>
      </c>
      <c r="P18" s="174">
        <v>1864919.8376002682</v>
      </c>
      <c r="Q18" s="174">
        <v>1865508.5315696707</v>
      </c>
      <c r="R18" s="174">
        <v>1865836.4678767754</v>
      </c>
      <c r="S18" s="174">
        <v>1867139.4194231245</v>
      </c>
      <c r="T18" s="174">
        <v>1867185.1682871992</v>
      </c>
      <c r="U18" s="174">
        <v>1867857.193263048</v>
      </c>
      <c r="V18" s="174">
        <v>1867985.3330507495</v>
      </c>
      <c r="W18" s="174">
        <v>1867643.1592409941</v>
      </c>
      <c r="X18" s="174">
        <v>1866906.8640746505</v>
      </c>
      <c r="Y18" s="174">
        <v>1865958.8316342195</v>
      </c>
      <c r="Z18" s="174">
        <v>1865982.8506868074</v>
      </c>
      <c r="AA18" s="174">
        <v>1865599.5997970975</v>
      </c>
      <c r="AB18" s="174">
        <v>1864946.5933208114</v>
      </c>
      <c r="AC18" s="174">
        <v>1865284.2800710564</v>
      </c>
      <c r="AD18" s="174">
        <v>1866364.757761011</v>
      </c>
      <c r="AE18" s="174">
        <v>1868455.075309266</v>
      </c>
      <c r="AF18" s="174">
        <v>1868921.8242641296</v>
      </c>
      <c r="AG18" s="174">
        <v>1868076.4054960806</v>
      </c>
      <c r="AH18" s="174">
        <v>1868704.7801487285</v>
      </c>
      <c r="AI18" s="174">
        <v>1868605.8714095429</v>
      </c>
      <c r="AJ18" s="174">
        <v>1869202.259398589</v>
      </c>
      <c r="AK18" s="174">
        <v>1870231.8582678814</v>
      </c>
      <c r="AL18" s="174">
        <v>1870264.3312602527</v>
      </c>
      <c r="AM18" s="174">
        <v>1871170.2862588677</v>
      </c>
      <c r="AN18" s="174">
        <v>1873656.2902571291</v>
      </c>
      <c r="AO18" s="174">
        <v>1876996.2009276014</v>
      </c>
      <c r="AP18" s="174">
        <v>1885597.356872018</v>
      </c>
      <c r="AQ18" s="174"/>
      <c r="AR18" s="169">
        <f t="shared" si="1"/>
        <v>11407.17997</v>
      </c>
      <c r="AS18" s="170">
        <f t="shared" si="2"/>
        <v>0.006086458091</v>
      </c>
    </row>
    <row r="19" ht="15.75" customHeight="1">
      <c r="A19" s="30" t="s">
        <v>142</v>
      </c>
      <c r="B19" s="174">
        <v>676951.7530873723</v>
      </c>
      <c r="C19" s="174">
        <v>677444.1162722415</v>
      </c>
      <c r="D19" s="174">
        <v>669268.9852564684</v>
      </c>
      <c r="E19" s="174">
        <v>659253.2317348269</v>
      </c>
      <c r="F19" s="174">
        <v>652996.6939387167</v>
      </c>
      <c r="G19" s="174">
        <v>648236.5609590036</v>
      </c>
      <c r="H19" s="174">
        <v>648698.4850603526</v>
      </c>
      <c r="I19" s="174">
        <v>649751.6147705303</v>
      </c>
      <c r="J19" s="174">
        <v>650861.1697594834</v>
      </c>
      <c r="K19" s="174">
        <v>650256.1809087212</v>
      </c>
      <c r="L19" s="174">
        <v>645305.1747197167</v>
      </c>
      <c r="M19" s="174">
        <v>644305.2747878598</v>
      </c>
      <c r="N19" s="174">
        <v>644519.1851809202</v>
      </c>
      <c r="O19" s="174">
        <v>645085.124451117</v>
      </c>
      <c r="P19" s="174">
        <v>647898.0622597188</v>
      </c>
      <c r="Q19" s="174">
        <v>651105.8190694122</v>
      </c>
      <c r="R19" s="174">
        <v>654126.937335764</v>
      </c>
      <c r="S19" s="174">
        <v>652969.3161728779</v>
      </c>
      <c r="T19" s="174">
        <v>652682.5575971409</v>
      </c>
      <c r="U19" s="174">
        <v>660984.9363271662</v>
      </c>
      <c r="V19" s="174">
        <v>664156.05771568</v>
      </c>
      <c r="W19" s="174">
        <v>663427.7050679543</v>
      </c>
      <c r="X19" s="174">
        <v>663518.7608913553</v>
      </c>
      <c r="Y19" s="174">
        <v>665441.5410938647</v>
      </c>
      <c r="Z19" s="174">
        <v>663574.0620022952</v>
      </c>
      <c r="AA19" s="174">
        <v>658273.5516505012</v>
      </c>
      <c r="AB19" s="174">
        <v>655078.3548571884</v>
      </c>
      <c r="AC19" s="174">
        <v>655098.106618032</v>
      </c>
      <c r="AD19" s="174">
        <v>655613.9617160398</v>
      </c>
      <c r="AE19" s="174">
        <v>658419.2423665613</v>
      </c>
      <c r="AF19" s="174">
        <v>657682.753802476</v>
      </c>
      <c r="AG19" s="174">
        <v>656118.1736847739</v>
      </c>
      <c r="AH19" s="174">
        <v>651974.3319121373</v>
      </c>
      <c r="AI19" s="174">
        <v>649644.2734550833</v>
      </c>
      <c r="AJ19" s="174">
        <v>645232.5142017397</v>
      </c>
      <c r="AK19" s="174">
        <v>641008.8202713027</v>
      </c>
      <c r="AL19" s="174">
        <v>638639.2576374408</v>
      </c>
      <c r="AM19" s="174">
        <v>634724.2230229453</v>
      </c>
      <c r="AN19" s="174">
        <v>628294.0950175188</v>
      </c>
      <c r="AO19" s="174">
        <v>624005.0049505263</v>
      </c>
      <c r="AP19" s="174">
        <v>626098.4332809828</v>
      </c>
      <c r="AQ19" s="174"/>
      <c r="AR19" s="169">
        <f t="shared" si="1"/>
        <v>-50853.31981</v>
      </c>
      <c r="AS19" s="170">
        <f t="shared" si="2"/>
        <v>-0.07512104013</v>
      </c>
    </row>
    <row r="20" ht="15.75" customHeight="1">
      <c r="A20" s="168" t="s">
        <v>76</v>
      </c>
      <c r="B20" s="167">
        <v>1.5023030663133025E8</v>
      </c>
      <c r="C20" s="167">
        <v>1.5445908570373127E8</v>
      </c>
      <c r="D20" s="167">
        <v>1.592313679503389E8</v>
      </c>
      <c r="E20" s="167">
        <v>1.638543749005931E8</v>
      </c>
      <c r="F20" s="167">
        <v>1.6796763819139004E8</v>
      </c>
      <c r="G20" s="167">
        <v>1.715794773010092E8</v>
      </c>
      <c r="H20" s="167">
        <v>1.751982036811035E8</v>
      </c>
      <c r="I20" s="167">
        <v>1.792300652532101E8</v>
      </c>
      <c r="J20" s="167">
        <v>1.8313908188661543E8</v>
      </c>
      <c r="K20" s="167">
        <v>1.8777858214030033E8</v>
      </c>
      <c r="L20" s="167">
        <v>1.9258731277889687E8</v>
      </c>
      <c r="M20" s="167">
        <v>1.9656053128141373E8</v>
      </c>
      <c r="N20" s="167">
        <v>2.00081685766857E8</v>
      </c>
      <c r="O20" s="167">
        <v>2.039516979610573E8</v>
      </c>
      <c r="P20" s="167">
        <v>2.072931329962155E8</v>
      </c>
      <c r="Q20" s="167">
        <v>2.1031040315003687E8</v>
      </c>
      <c r="R20" s="167">
        <v>2.1368718440362042E8</v>
      </c>
      <c r="S20" s="167">
        <v>2.1690127078009197E8</v>
      </c>
      <c r="T20" s="167">
        <v>2.2147208289999393E8</v>
      </c>
      <c r="U20" s="167">
        <v>2.256828265785873E8</v>
      </c>
      <c r="V20" s="167">
        <v>2.2894494516443124E8</v>
      </c>
      <c r="W20" s="167">
        <v>2.314083309229855E8</v>
      </c>
      <c r="X20" s="167">
        <v>2.333598956945448E8</v>
      </c>
      <c r="Y20" s="167">
        <v>2.3555277635532743E8</v>
      </c>
      <c r="Z20" s="167">
        <v>2.3709964004574496E8</v>
      </c>
      <c r="AA20" s="167">
        <v>2.3857887135950485E8</v>
      </c>
      <c r="AB20" s="167">
        <v>2.3992227774985868E8</v>
      </c>
      <c r="AC20" s="167">
        <v>2.4174374847687483E8</v>
      </c>
      <c r="AD20" s="167">
        <v>2.4382116672169405E8</v>
      </c>
      <c r="AE20" s="167">
        <v>2.4547436381085157E8</v>
      </c>
      <c r="AF20" s="167">
        <v>2.474122631795773E8</v>
      </c>
      <c r="AG20" s="167">
        <v>2.4906087694369024E8</v>
      </c>
      <c r="AH20" s="167">
        <v>2.5052605397988823E8</v>
      </c>
      <c r="AI20" s="167">
        <v>2.5190367520131874E8</v>
      </c>
      <c r="AJ20" s="167">
        <v>2.5427543946271858E8</v>
      </c>
      <c r="AK20" s="167">
        <v>2.5669134690348783E8</v>
      </c>
      <c r="AL20" s="167">
        <v>2.598668363788812E8</v>
      </c>
      <c r="AM20" s="168">
        <v>2.634010756081582E8</v>
      </c>
      <c r="AN20" s="168">
        <v>2.6728094061568803E8</v>
      </c>
      <c r="AO20" s="168">
        <v>2.69779857582163E8</v>
      </c>
      <c r="AP20" s="168">
        <v>2.733145849763439E8</v>
      </c>
      <c r="AQ20" s="30"/>
      <c r="AR20" s="169">
        <f t="shared" si="1"/>
        <v>123084278.3</v>
      </c>
      <c r="AS20" s="170">
        <f t="shared" si="2"/>
        <v>0.8193039148</v>
      </c>
      <c r="AT20" s="171"/>
    </row>
    <row r="21" ht="15.75" customHeight="1">
      <c r="A21" s="173" t="s">
        <v>80</v>
      </c>
      <c r="B21" s="174">
        <v>1.0399745834575118E8</v>
      </c>
      <c r="C21" s="174">
        <v>1.1220048456318542E8</v>
      </c>
      <c r="D21" s="174">
        <v>1.1725209188247204E8</v>
      </c>
      <c r="E21" s="174">
        <v>1.2102381437224925E8</v>
      </c>
      <c r="F21" s="174">
        <v>1.2402287042909156E8</v>
      </c>
      <c r="G21" s="174">
        <v>1.2655674710565816E8</v>
      </c>
      <c r="H21" s="174">
        <v>1.2878092005306642E8</v>
      </c>
      <c r="I21" s="174">
        <v>1.3193464056743841E8</v>
      </c>
      <c r="J21" s="174">
        <v>1.347282610172003E8</v>
      </c>
      <c r="K21" s="174">
        <v>1.3787644765923962E8</v>
      </c>
      <c r="L21" s="174">
        <v>1.4128909112967405E8</v>
      </c>
      <c r="M21" s="174">
        <v>1.4424992720457458E8</v>
      </c>
      <c r="N21" s="174">
        <v>1.4688775976316777E8</v>
      </c>
      <c r="O21" s="174">
        <v>1.4992324410776278E8</v>
      </c>
      <c r="P21" s="174">
        <v>1.52325713063328E8</v>
      </c>
      <c r="Q21" s="174">
        <v>1.543627125857479E8</v>
      </c>
      <c r="R21" s="174">
        <v>1.5624632389091006E8</v>
      </c>
      <c r="S21" s="174">
        <v>1.5801219678224805E8</v>
      </c>
      <c r="T21" s="174">
        <v>1.6080219094085574E8</v>
      </c>
      <c r="U21" s="174">
        <v>1.6246871823020312E8</v>
      </c>
      <c r="V21" s="174">
        <v>1.638198335237681E8</v>
      </c>
      <c r="W21" s="174">
        <v>1.6428922396668935E8</v>
      </c>
      <c r="X21" s="174">
        <v>1.645807498400342E8</v>
      </c>
      <c r="Y21" s="174">
        <v>1.6479154897464243E8</v>
      </c>
      <c r="Z21" s="174">
        <v>1.6474790440168437E8</v>
      </c>
      <c r="AA21" s="174">
        <v>1.6466326687939653E8</v>
      </c>
      <c r="AB21" s="174">
        <v>1.64578215994297E8</v>
      </c>
      <c r="AC21" s="174">
        <v>1.64530670053634E8</v>
      </c>
      <c r="AD21" s="174">
        <v>1.6394136530258107E8</v>
      </c>
      <c r="AE21" s="174">
        <v>1.6332708212046692E8</v>
      </c>
      <c r="AF21" s="174">
        <v>1.6310853259395197E8</v>
      </c>
      <c r="AG21" s="174">
        <v>1.6291349710964745E8</v>
      </c>
      <c r="AH21" s="174">
        <v>1.6236038973513502E8</v>
      </c>
      <c r="AI21" s="174">
        <v>1.6222723970352554E8</v>
      </c>
      <c r="AJ21" s="174">
        <v>1.624023680820428E8</v>
      </c>
      <c r="AK21" s="174">
        <v>1.6249138677964363E8</v>
      </c>
      <c r="AL21" s="174">
        <v>1.6312296973189455E8</v>
      </c>
      <c r="AM21" s="174">
        <v>1.6416706704290837E8</v>
      </c>
      <c r="AN21" s="174">
        <v>1.6546761761461228E8</v>
      </c>
      <c r="AO21" s="174">
        <v>1.654470350453064E8</v>
      </c>
      <c r="AP21" s="174">
        <v>1.656173585403075E8</v>
      </c>
      <c r="AQ21" s="174"/>
      <c r="AR21" s="169">
        <f t="shared" si="1"/>
        <v>61619900.19</v>
      </c>
      <c r="AS21" s="170">
        <f t="shared" si="2"/>
        <v>0.5925135208</v>
      </c>
      <c r="AT21" s="15"/>
      <c r="AU21" s="4"/>
    </row>
    <row r="22" ht="15.75" customHeight="1">
      <c r="A22" s="30" t="s">
        <v>86</v>
      </c>
      <c r="B22" s="174">
        <v>1.8555450161564175E7</v>
      </c>
      <c r="C22" s="174">
        <v>1.9146374287728835E7</v>
      </c>
      <c r="D22" s="174">
        <v>2.0819010572834257E7</v>
      </c>
      <c r="E22" s="174">
        <v>2.2334427446991194E7</v>
      </c>
      <c r="F22" s="174">
        <v>2.3849855692784403E7</v>
      </c>
      <c r="G22" s="174">
        <v>2.557094374101937E7</v>
      </c>
      <c r="H22" s="174">
        <v>2.7683397069937307E7</v>
      </c>
      <c r="I22" s="174">
        <v>2.8425094215873305E7</v>
      </c>
      <c r="J22" s="174">
        <v>2.947165791575365E7</v>
      </c>
      <c r="K22" s="174">
        <v>3.0342300294316474E7</v>
      </c>
      <c r="L22" s="174">
        <v>3.111147286077714E7</v>
      </c>
      <c r="M22" s="174">
        <v>3.2057004382190313E7</v>
      </c>
      <c r="N22" s="174">
        <v>3.264511576950683E7</v>
      </c>
      <c r="O22" s="174">
        <v>3.327655338424694E7</v>
      </c>
      <c r="P22" s="174">
        <v>3.424147340398037E7</v>
      </c>
      <c r="Q22" s="174">
        <v>3.528877491812822E7</v>
      </c>
      <c r="R22" s="174">
        <v>3.65045224329007E7</v>
      </c>
      <c r="S22" s="174">
        <v>3.747608379627184E7</v>
      </c>
      <c r="T22" s="174">
        <v>3.8308157948706694E7</v>
      </c>
      <c r="U22" s="174">
        <v>4.030532361794127E7</v>
      </c>
      <c r="V22" s="174">
        <v>4.2317861879137576E7</v>
      </c>
      <c r="W22" s="174">
        <v>4.430285140754437E7</v>
      </c>
      <c r="X22" s="174">
        <v>4.586565523809323E7</v>
      </c>
      <c r="Y22" s="174">
        <v>4.730270607898651E7</v>
      </c>
      <c r="Z22" s="174">
        <v>4.848677789831447E7</v>
      </c>
      <c r="AA22" s="174">
        <v>4.94791260639059E7</v>
      </c>
      <c r="AB22" s="174">
        <v>5.0206035261413924E7</v>
      </c>
      <c r="AC22" s="174">
        <v>5.132866225412192E7</v>
      </c>
      <c r="AD22" s="174">
        <v>5.3353782424599975E7</v>
      </c>
      <c r="AE22" s="174">
        <v>5.5526507225817025E7</v>
      </c>
      <c r="AF22" s="174">
        <v>5.747339107045875E7</v>
      </c>
      <c r="AG22" s="174">
        <v>5.900695321397283E7</v>
      </c>
      <c r="AH22" s="174">
        <v>6.0666414600141086E7</v>
      </c>
      <c r="AI22" s="174">
        <v>6.129785490529623E7</v>
      </c>
      <c r="AJ22" s="174">
        <v>6.214793552023192E7</v>
      </c>
      <c r="AK22" s="174">
        <v>6.298091811005128E7</v>
      </c>
      <c r="AL22" s="174">
        <v>6.342959683720521E7</v>
      </c>
      <c r="AM22" s="174">
        <v>6.397198850531046E7</v>
      </c>
      <c r="AN22" s="174">
        <v>6.456426590115143E7</v>
      </c>
      <c r="AO22" s="174">
        <v>6.520658081310106E7</v>
      </c>
      <c r="AP22" s="174">
        <v>6.651115598177094E7</v>
      </c>
      <c r="AQ22" s="174"/>
      <c r="AR22" s="169">
        <f t="shared" si="1"/>
        <v>47955705.82</v>
      </c>
      <c r="AS22" s="170">
        <f t="shared" si="2"/>
        <v>2.584453915</v>
      </c>
    </row>
    <row r="23" ht="15.75" customHeight="1">
      <c r="A23" s="30" t="s">
        <v>134</v>
      </c>
      <c r="B23" s="174">
        <v>1875445.426249075</v>
      </c>
      <c r="C23" s="174">
        <v>2093490.9552026778</v>
      </c>
      <c r="D23" s="174">
        <v>2292123.6323747206</v>
      </c>
      <c r="E23" s="174">
        <v>2686127.9360994007</v>
      </c>
      <c r="F23" s="174">
        <v>2841222.1086056726</v>
      </c>
      <c r="G23" s="174">
        <v>2968526.7637791364</v>
      </c>
      <c r="H23" s="174">
        <v>3198293.0888025314</v>
      </c>
      <c r="I23" s="174">
        <v>3340737.595648788</v>
      </c>
      <c r="J23" s="174">
        <v>3475692.251965234</v>
      </c>
      <c r="K23" s="174">
        <v>3618773.925188152</v>
      </c>
      <c r="L23" s="174">
        <v>3711008.0423326665</v>
      </c>
      <c r="M23" s="174">
        <v>3771437.9645691435</v>
      </c>
      <c r="N23" s="174">
        <v>3895290.249383785</v>
      </c>
      <c r="O23" s="174">
        <v>3953811.5813889233</v>
      </c>
      <c r="P23" s="174">
        <v>4025340.912727716</v>
      </c>
      <c r="Q23" s="174">
        <v>4115149.672153348</v>
      </c>
      <c r="R23" s="174">
        <v>4162429.4927106765</v>
      </c>
      <c r="S23" s="174">
        <v>4241782.658472651</v>
      </c>
      <c r="T23" s="174">
        <v>4344247.34292584</v>
      </c>
      <c r="U23" s="174">
        <v>4507484.601347751</v>
      </c>
      <c r="V23" s="174">
        <v>4729222.57851913</v>
      </c>
      <c r="W23" s="174">
        <v>4966834.003284069</v>
      </c>
      <c r="X23" s="174">
        <v>5255548.048954139</v>
      </c>
      <c r="Y23" s="174">
        <v>5620722.116777983</v>
      </c>
      <c r="Z23" s="174">
        <v>6091818.75124655</v>
      </c>
      <c r="AA23" s="174">
        <v>6564545.071564357</v>
      </c>
      <c r="AB23" s="174">
        <v>6959974.822171531</v>
      </c>
      <c r="AC23" s="174">
        <v>7430501.049732772</v>
      </c>
      <c r="AD23" s="174">
        <v>8022024.436553208</v>
      </c>
      <c r="AE23" s="174">
        <v>8335070.697310743</v>
      </c>
      <c r="AF23" s="174">
        <v>8604314.703002641</v>
      </c>
      <c r="AG23" s="174">
        <v>8778903.36172802</v>
      </c>
      <c r="AH23" s="174">
        <v>8939636.646357909</v>
      </c>
      <c r="AI23" s="174">
        <v>9075739.92545531</v>
      </c>
      <c r="AJ23" s="174">
        <v>9255749.111321354</v>
      </c>
      <c r="AK23" s="174">
        <v>9416319.395247158</v>
      </c>
      <c r="AL23" s="174">
        <v>9590058.483664626</v>
      </c>
      <c r="AM23" s="174">
        <v>9704706.923049482</v>
      </c>
      <c r="AN23" s="174">
        <v>9799791.155889517</v>
      </c>
      <c r="AO23" s="174">
        <v>9899074.273627987</v>
      </c>
      <c r="AP23" s="174">
        <v>9875749.945986465</v>
      </c>
      <c r="AQ23" s="174"/>
      <c r="AR23" s="169">
        <f t="shared" si="1"/>
        <v>8000304.52</v>
      </c>
      <c r="AS23" s="170">
        <f t="shared" si="2"/>
        <v>4.265815687</v>
      </c>
      <c r="AT23" s="15"/>
    </row>
    <row r="24" ht="15.75" customHeight="1">
      <c r="A24" s="173" t="s">
        <v>137</v>
      </c>
      <c r="B24" s="174">
        <v>2.5801952697765812E7</v>
      </c>
      <c r="C24" s="174">
        <v>2.1018735897614326E7</v>
      </c>
      <c r="D24" s="174">
        <v>1.886814186265787E7</v>
      </c>
      <c r="E24" s="174">
        <v>1.7810005145253237E7</v>
      </c>
      <c r="F24" s="174">
        <v>1.7253689960908383E7</v>
      </c>
      <c r="G24" s="174">
        <v>1.6483259690552529E7</v>
      </c>
      <c r="H24" s="174">
        <v>1.5535593469297254E7</v>
      </c>
      <c r="I24" s="174">
        <v>1.5529592874249576E7</v>
      </c>
      <c r="J24" s="174">
        <v>1.5463470701696236E7</v>
      </c>
      <c r="K24" s="174">
        <v>1.5941060261556104E7</v>
      </c>
      <c r="L24" s="174">
        <v>1.6475740746112987E7</v>
      </c>
      <c r="M24" s="174">
        <v>1.6482161730079673E7</v>
      </c>
      <c r="N24" s="174">
        <v>1.6653519984798605E7</v>
      </c>
      <c r="O24" s="174">
        <v>1.6798088887658644E7</v>
      </c>
      <c r="P24" s="174">
        <v>1.6700605616179418E7</v>
      </c>
      <c r="Q24" s="174">
        <v>1.6543765974007387E7</v>
      </c>
      <c r="R24" s="174">
        <v>1.6773908587098973E7</v>
      </c>
      <c r="S24" s="174">
        <v>1.7171207543099422E7</v>
      </c>
      <c r="T24" s="174">
        <v>1.801748666750564E7</v>
      </c>
      <c r="U24" s="174">
        <v>1.8401300129095163E7</v>
      </c>
      <c r="V24" s="174">
        <v>1.8078027183006432E7</v>
      </c>
      <c r="W24" s="174">
        <v>1.784942154546772E7</v>
      </c>
      <c r="X24" s="174">
        <v>1.765794256746324E7</v>
      </c>
      <c r="Y24" s="174">
        <v>1.7837799184920523E7</v>
      </c>
      <c r="Z24" s="174">
        <v>1.777313899449956E7</v>
      </c>
      <c r="AA24" s="174">
        <v>1.787193334463808E7</v>
      </c>
      <c r="AB24" s="174">
        <v>1.8178051671976194E7</v>
      </c>
      <c r="AC24" s="174">
        <v>1.845391511938614E7</v>
      </c>
      <c r="AD24" s="174">
        <v>1.8503994557959806E7</v>
      </c>
      <c r="AE24" s="174">
        <v>1.8285703767256897E7</v>
      </c>
      <c r="AF24" s="174">
        <v>1.8226024812163956E7</v>
      </c>
      <c r="AG24" s="174">
        <v>1.8361523258341942E7</v>
      </c>
      <c r="AH24" s="174">
        <v>1.8559612998254213E7</v>
      </c>
      <c r="AI24" s="174">
        <v>1.930284066704165E7</v>
      </c>
      <c r="AJ24" s="174">
        <v>2.0469386749122504E7</v>
      </c>
      <c r="AK24" s="174">
        <v>2.1802722618545778E7</v>
      </c>
      <c r="AL24" s="174">
        <v>2.372421132611679E7</v>
      </c>
      <c r="AM24" s="174">
        <v>2.5557313136889875E7</v>
      </c>
      <c r="AN24" s="174">
        <v>2.7449265944034815E7</v>
      </c>
      <c r="AO24" s="174">
        <v>2.9227167450127535E7</v>
      </c>
      <c r="AP24" s="174">
        <v>3.131032050827903E7</v>
      </c>
      <c r="AQ24" s="174"/>
      <c r="AR24" s="169">
        <f t="shared" si="1"/>
        <v>5508367.811</v>
      </c>
      <c r="AS24" s="170">
        <f t="shared" si="2"/>
        <v>0.2134864704</v>
      </c>
    </row>
    <row r="25" ht="15.75" customHeight="1">
      <c r="A25" s="168" t="s">
        <v>89</v>
      </c>
      <c r="B25" s="167">
        <v>3626429.4592865803</v>
      </c>
      <c r="C25" s="167">
        <v>3532981.0096317423</v>
      </c>
      <c r="D25" s="167">
        <v>3481399.9349179105</v>
      </c>
      <c r="E25" s="167">
        <v>3526940.3141803695</v>
      </c>
      <c r="F25" s="167">
        <v>3572257.0377214076</v>
      </c>
      <c r="G25" s="167">
        <v>3603949.88393623</v>
      </c>
      <c r="H25" s="167">
        <v>3680338.2541290917</v>
      </c>
      <c r="I25" s="167">
        <v>3765328.2118697977</v>
      </c>
      <c r="J25" s="167">
        <v>3829222.294340882</v>
      </c>
      <c r="K25" s="167">
        <v>3907443.5596858603</v>
      </c>
      <c r="L25" s="167">
        <v>4024791.426820785</v>
      </c>
      <c r="M25" s="167">
        <v>4112383.614434856</v>
      </c>
      <c r="N25" s="167">
        <v>4184173.693500416</v>
      </c>
      <c r="O25" s="167">
        <v>4268880.451410891</v>
      </c>
      <c r="P25" s="167">
        <v>4371897.132695462</v>
      </c>
      <c r="Q25" s="167">
        <v>4462072.701939159</v>
      </c>
      <c r="R25" s="167">
        <v>4527659.276173454</v>
      </c>
      <c r="S25" s="167">
        <v>4605544.207863875</v>
      </c>
      <c r="T25" s="167">
        <v>4691939.190657002</v>
      </c>
      <c r="U25" s="167">
        <v>4731309.182225734</v>
      </c>
      <c r="V25" s="167">
        <v>4782223.415162611</v>
      </c>
      <c r="W25" s="167">
        <v>4827504.092835782</v>
      </c>
      <c r="X25" s="167">
        <v>4869604.626876858</v>
      </c>
      <c r="Y25" s="167">
        <v>4934518.983819312</v>
      </c>
      <c r="Z25" s="167">
        <v>4991330.771710932</v>
      </c>
      <c r="AA25" s="167">
        <v>5022425.631826286</v>
      </c>
      <c r="AB25" s="167">
        <v>5057382.350205523</v>
      </c>
      <c r="AC25" s="167">
        <v>5124096.536619381</v>
      </c>
      <c r="AD25" s="167">
        <v>5226805.234984618</v>
      </c>
      <c r="AE25" s="167">
        <v>5325107.899962148</v>
      </c>
      <c r="AF25" s="167">
        <v>5409124.185416262</v>
      </c>
      <c r="AG25" s="167">
        <v>5493863.598266723</v>
      </c>
      <c r="AH25" s="167">
        <v>5557117.46414139</v>
      </c>
      <c r="AI25" s="167">
        <v>5616592.876486948</v>
      </c>
      <c r="AJ25" s="167">
        <v>5681889.080716774</v>
      </c>
      <c r="AK25" s="167">
        <v>5783063.981053657</v>
      </c>
      <c r="AL25" s="167">
        <v>5895420.447525156</v>
      </c>
      <c r="AM25" s="168">
        <v>6019665.51015588</v>
      </c>
      <c r="AN25" s="168">
        <v>6149720.821778016</v>
      </c>
      <c r="AO25" s="168">
        <v>6291998.749299787</v>
      </c>
      <c r="AP25" s="168">
        <v>6374980.097670273</v>
      </c>
      <c r="AQ25" s="30"/>
      <c r="AR25" s="169">
        <f t="shared" si="1"/>
        <v>2748550.638</v>
      </c>
      <c r="AS25" s="170">
        <f t="shared" si="2"/>
        <v>0.7579219917</v>
      </c>
      <c r="AT25" s="171"/>
    </row>
    <row r="26" ht="15.75" customHeight="1">
      <c r="A26" s="173" t="s">
        <v>143</v>
      </c>
      <c r="B26" s="174">
        <v>527661.6012968976</v>
      </c>
      <c r="C26" s="174">
        <v>523818.6124373107</v>
      </c>
      <c r="D26" s="174">
        <v>533565.5036143349</v>
      </c>
      <c r="E26" s="174">
        <v>537616.0416731741</v>
      </c>
      <c r="F26" s="174">
        <v>537116.6264686349</v>
      </c>
      <c r="G26" s="174">
        <v>533082.9252828256</v>
      </c>
      <c r="H26" s="174">
        <v>527868.2271466486</v>
      </c>
      <c r="I26" s="174">
        <v>529489.1790559201</v>
      </c>
      <c r="J26" s="174">
        <v>528131.8412530457</v>
      </c>
      <c r="K26" s="174">
        <v>525307.8242367655</v>
      </c>
      <c r="L26" s="174">
        <v>533735.9182506019</v>
      </c>
      <c r="M26" s="174">
        <v>539939.4139192373</v>
      </c>
      <c r="N26" s="174">
        <v>530842.8667710229</v>
      </c>
      <c r="O26" s="174">
        <v>524783.7927929399</v>
      </c>
      <c r="P26" s="174">
        <v>523716.83399707056</v>
      </c>
      <c r="Q26" s="174">
        <v>522162.9386265238</v>
      </c>
      <c r="R26" s="174">
        <v>520169.95924347057</v>
      </c>
      <c r="S26" s="174">
        <v>522696.78679879225</v>
      </c>
      <c r="T26" s="174">
        <v>520928.1313641992</v>
      </c>
      <c r="U26" s="174">
        <v>509547.6786747748</v>
      </c>
      <c r="V26" s="174">
        <v>502278.4419061212</v>
      </c>
      <c r="W26" s="174">
        <v>503013.06233322073</v>
      </c>
      <c r="X26" s="174">
        <v>497448.7961008047</v>
      </c>
      <c r="Y26" s="174">
        <v>489280.19466797635</v>
      </c>
      <c r="Z26" s="174">
        <v>489694.34041070763</v>
      </c>
      <c r="AA26" s="174">
        <v>494576.71782443696</v>
      </c>
      <c r="AB26" s="174">
        <v>501463.2519623141</v>
      </c>
      <c r="AC26" s="174">
        <v>510796.6378928764</v>
      </c>
      <c r="AD26" s="174">
        <v>511942.8432161008</v>
      </c>
      <c r="AE26" s="174">
        <v>511928.06378328707</v>
      </c>
      <c r="AF26" s="174">
        <v>509161.3363055041</v>
      </c>
      <c r="AG26" s="174">
        <v>508357.84850107355</v>
      </c>
      <c r="AH26" s="174">
        <v>504035.0378471732</v>
      </c>
      <c r="AI26" s="174">
        <v>500483.76130514545</v>
      </c>
      <c r="AJ26" s="174">
        <v>493991.14919983444</v>
      </c>
      <c r="AK26" s="174">
        <v>489061.89216958237</v>
      </c>
      <c r="AL26" s="174">
        <v>482067.52904146165</v>
      </c>
      <c r="AM26" s="174">
        <v>475687.93054729776</v>
      </c>
      <c r="AN26" s="174">
        <v>475399.09612481087</v>
      </c>
      <c r="AO26" s="174">
        <v>474248.6783430201</v>
      </c>
      <c r="AP26" s="174">
        <v>469129.1763165639</v>
      </c>
      <c r="AQ26" s="174"/>
      <c r="AR26" s="169">
        <f t="shared" si="1"/>
        <v>-58532.42498</v>
      </c>
      <c r="AS26" s="170">
        <f t="shared" si="2"/>
        <v>-0.11092796</v>
      </c>
    </row>
    <row r="27" ht="15.75" customHeight="1">
      <c r="A27" s="173" t="s">
        <v>146</v>
      </c>
      <c r="B27" s="174">
        <v>1908481.3055037213</v>
      </c>
      <c r="C27" s="174">
        <v>1984425.1136419848</v>
      </c>
      <c r="D27" s="174">
        <v>2030403.6401190793</v>
      </c>
      <c r="E27" s="174">
        <v>2100645.8339976743</v>
      </c>
      <c r="F27" s="174">
        <v>2168866.3323425325</v>
      </c>
      <c r="G27" s="174">
        <v>2237805.2778068786</v>
      </c>
      <c r="H27" s="174">
        <v>2317688.698828477</v>
      </c>
      <c r="I27" s="174">
        <v>2397870.8947847765</v>
      </c>
      <c r="J27" s="174">
        <v>2475059.955731533</v>
      </c>
      <c r="K27" s="174">
        <v>2551263.13991524</v>
      </c>
      <c r="L27" s="174">
        <v>2631356.9368333737</v>
      </c>
      <c r="M27" s="174">
        <v>2700721.330843091</v>
      </c>
      <c r="N27" s="174">
        <v>2773146.8495317493</v>
      </c>
      <c r="O27" s="174">
        <v>2845894.4688157295</v>
      </c>
      <c r="P27" s="174">
        <v>2925832.05109399</v>
      </c>
      <c r="Q27" s="174">
        <v>2999400.7709746896</v>
      </c>
      <c r="R27" s="174">
        <v>3070577.4620180437</v>
      </c>
      <c r="S27" s="174">
        <v>3131583.7974520926</v>
      </c>
      <c r="T27" s="174">
        <v>3189798.7627662215</v>
      </c>
      <c r="U27" s="174">
        <v>3240140.415558424</v>
      </c>
      <c r="V27" s="174">
        <v>3288608.591236159</v>
      </c>
      <c r="W27" s="174">
        <v>3336453.1686970866</v>
      </c>
      <c r="X27" s="174">
        <v>3384029.50381453</v>
      </c>
      <c r="Y27" s="174">
        <v>3439323.3837436032</v>
      </c>
      <c r="Z27" s="174">
        <v>3493252.440222826</v>
      </c>
      <c r="AA27" s="174">
        <v>3551226.66912226</v>
      </c>
      <c r="AB27" s="174">
        <v>3614303.048828011</v>
      </c>
      <c r="AC27" s="174">
        <v>3686355.514736648</v>
      </c>
      <c r="AD27" s="174">
        <v>3760054.1965824943</v>
      </c>
      <c r="AE27" s="174">
        <v>3828913.1076694173</v>
      </c>
      <c r="AF27" s="174">
        <v>3891319.032096264</v>
      </c>
      <c r="AG27" s="174">
        <v>3949974.858649923</v>
      </c>
      <c r="AH27" s="174">
        <v>4002627.7281569</v>
      </c>
      <c r="AI27" s="174">
        <v>4053033.9416529443</v>
      </c>
      <c r="AJ27" s="174">
        <v>4098375.351916519</v>
      </c>
      <c r="AK27" s="174">
        <v>4145009.000760716</v>
      </c>
      <c r="AL27" s="174">
        <v>4190343.1035327176</v>
      </c>
      <c r="AM27" s="174">
        <v>4238495.026693957</v>
      </c>
      <c r="AN27" s="174">
        <v>4286813.892983783</v>
      </c>
      <c r="AO27" s="174">
        <v>4363140.774151442</v>
      </c>
      <c r="AP27" s="174">
        <v>4439128.65922234</v>
      </c>
      <c r="AQ27" s="174"/>
      <c r="AR27" s="169">
        <f t="shared" si="1"/>
        <v>2530647.354</v>
      </c>
      <c r="AS27" s="170">
        <f t="shared" si="2"/>
        <v>1.326000599</v>
      </c>
    </row>
    <row r="28" ht="15.75" customHeight="1">
      <c r="A28" s="30" t="s">
        <v>148</v>
      </c>
      <c r="B28" s="174">
        <v>65634.34278994765</v>
      </c>
      <c r="C28" s="174">
        <v>85033.17515293005</v>
      </c>
      <c r="D28" s="174">
        <v>102824.56149174184</v>
      </c>
      <c r="E28" s="174">
        <v>125006.0057586728</v>
      </c>
      <c r="F28" s="174">
        <v>152375.3697311213</v>
      </c>
      <c r="G28" s="174">
        <v>173055.37887610364</v>
      </c>
      <c r="H28" s="174">
        <v>182376.35053563723</v>
      </c>
      <c r="I28" s="174">
        <v>194003.0239959885</v>
      </c>
      <c r="J28" s="174">
        <v>208200.30352260522</v>
      </c>
      <c r="K28" s="174">
        <v>217902.29821678923</v>
      </c>
      <c r="L28" s="174">
        <v>222495.15003517983</v>
      </c>
      <c r="M28" s="174">
        <v>227093.13514500097</v>
      </c>
      <c r="N28" s="174">
        <v>233527.21471521578</v>
      </c>
      <c r="O28" s="174">
        <v>240054.47332527433</v>
      </c>
      <c r="P28" s="174">
        <v>244210.30849426275</v>
      </c>
      <c r="Q28" s="174">
        <v>247777.05528682296</v>
      </c>
      <c r="R28" s="174">
        <v>249681.6017676522</v>
      </c>
      <c r="S28" s="174">
        <v>252625.46202705792</v>
      </c>
      <c r="T28" s="174">
        <v>256980.9879133674</v>
      </c>
      <c r="U28" s="174">
        <v>260624.77513382002</v>
      </c>
      <c r="V28" s="174">
        <v>265368.71276329306</v>
      </c>
      <c r="W28" s="174">
        <v>268849.60071063257</v>
      </c>
      <c r="X28" s="174">
        <v>275714.74648740905</v>
      </c>
      <c r="Y28" s="174">
        <v>281332.97208664555</v>
      </c>
      <c r="Z28" s="174">
        <v>286272.7728750615</v>
      </c>
      <c r="AA28" s="174">
        <v>291644.3647258061</v>
      </c>
      <c r="AB28" s="174">
        <v>299638.0591938487</v>
      </c>
      <c r="AC28" s="174">
        <v>306341.00623766583</v>
      </c>
      <c r="AD28" s="174">
        <v>312796.43901131</v>
      </c>
      <c r="AE28" s="174">
        <v>322669.44448694465</v>
      </c>
      <c r="AF28" s="174">
        <v>333685.9435872122</v>
      </c>
      <c r="AG28" s="174">
        <v>345407.7017190841</v>
      </c>
      <c r="AH28" s="174">
        <v>358671.53590093914</v>
      </c>
      <c r="AI28" s="174">
        <v>371291.92346445844</v>
      </c>
      <c r="AJ28" s="174">
        <v>387582.04313931306</v>
      </c>
      <c r="AK28" s="174">
        <v>436313.0613036133</v>
      </c>
      <c r="AL28" s="174">
        <v>471783.74932013033</v>
      </c>
      <c r="AM28" s="174">
        <v>505385.04508088477</v>
      </c>
      <c r="AN28" s="174">
        <v>537088.9508190018</v>
      </c>
      <c r="AO28" s="174">
        <v>569065.4687964142</v>
      </c>
      <c r="AP28" s="174">
        <v>606769.0923633323</v>
      </c>
      <c r="AQ28" s="174"/>
      <c r="AR28" s="169">
        <f t="shared" si="1"/>
        <v>541134.7496</v>
      </c>
      <c r="AS28" s="170">
        <f t="shared" si="2"/>
        <v>8.244689085</v>
      </c>
    </row>
    <row r="29" ht="15.75" customHeight="1">
      <c r="A29" s="30" t="s">
        <v>171</v>
      </c>
      <c r="B29" s="174">
        <v>0.0</v>
      </c>
      <c r="C29" s="174">
        <v>0.0</v>
      </c>
      <c r="D29" s="174">
        <v>0.0</v>
      </c>
      <c r="E29" s="174">
        <v>0.0</v>
      </c>
      <c r="F29" s="174">
        <v>0.0</v>
      </c>
      <c r="G29" s="174">
        <v>0.0</v>
      </c>
      <c r="H29" s="174">
        <v>0.0</v>
      </c>
      <c r="I29" s="174">
        <v>0.0</v>
      </c>
      <c r="J29" s="174">
        <v>0.0</v>
      </c>
      <c r="K29" s="174">
        <v>0.0</v>
      </c>
      <c r="L29" s="174">
        <v>0.0</v>
      </c>
      <c r="M29" s="174">
        <v>0.0</v>
      </c>
      <c r="N29" s="174">
        <v>0.0</v>
      </c>
      <c r="O29" s="174">
        <v>0.0</v>
      </c>
      <c r="P29" s="174">
        <v>0.0</v>
      </c>
      <c r="Q29" s="174">
        <v>0.0</v>
      </c>
      <c r="R29" s="174">
        <v>0.0</v>
      </c>
      <c r="S29" s="174">
        <v>0.0</v>
      </c>
      <c r="T29" s="174">
        <v>0.0</v>
      </c>
      <c r="U29" s="174">
        <v>0.0</v>
      </c>
      <c r="V29" s="174">
        <v>0.0</v>
      </c>
      <c r="W29" s="174">
        <v>0.0</v>
      </c>
      <c r="X29" s="174">
        <v>0.0</v>
      </c>
      <c r="Y29" s="174">
        <v>0.0</v>
      </c>
      <c r="Z29" s="174">
        <v>0.0</v>
      </c>
      <c r="AA29" s="174">
        <v>0.0</v>
      </c>
      <c r="AB29" s="174">
        <v>0.0</v>
      </c>
      <c r="AC29" s="174">
        <v>0.0</v>
      </c>
      <c r="AD29" s="174">
        <v>0.0</v>
      </c>
      <c r="AE29" s="174">
        <v>0.0</v>
      </c>
      <c r="AF29" s="174">
        <v>0.0</v>
      </c>
      <c r="AG29" s="174">
        <v>1124.0429684936491</v>
      </c>
      <c r="AH29" s="174">
        <v>2328.1761785583585</v>
      </c>
      <c r="AI29" s="174">
        <v>4780.120778021267</v>
      </c>
      <c r="AJ29" s="174">
        <v>6667.201715771489</v>
      </c>
      <c r="AK29" s="174">
        <v>7542.036094439714</v>
      </c>
      <c r="AL29" s="174">
        <v>10902.196873553527</v>
      </c>
      <c r="AM29" s="174">
        <v>18414.381799255527</v>
      </c>
      <c r="AN29" s="174">
        <v>27842.603580352978</v>
      </c>
      <c r="AO29" s="174">
        <v>37660.983182196185</v>
      </c>
      <c r="AP29" s="174">
        <v>43259.25492918725</v>
      </c>
      <c r="AQ29" s="174"/>
      <c r="AR29" s="169">
        <f t="shared" si="1"/>
        <v>43259.25493</v>
      </c>
      <c r="AS29" s="170" t="s">
        <v>211</v>
      </c>
    </row>
    <row r="30" ht="15.75" customHeight="1">
      <c r="A30" s="30" t="s">
        <v>172</v>
      </c>
      <c r="B30" s="174">
        <v>0.0</v>
      </c>
      <c r="C30" s="174">
        <v>0.0</v>
      </c>
      <c r="D30" s="174">
        <v>0.0</v>
      </c>
      <c r="E30" s="174">
        <v>0.0</v>
      </c>
      <c r="F30" s="174">
        <v>0.0</v>
      </c>
      <c r="G30" s="174">
        <v>0.0</v>
      </c>
      <c r="H30" s="174">
        <v>0.0</v>
      </c>
      <c r="I30" s="174">
        <v>0.0</v>
      </c>
      <c r="J30" s="174">
        <v>0.0</v>
      </c>
      <c r="K30" s="174">
        <v>0.0</v>
      </c>
      <c r="L30" s="174">
        <v>0.0</v>
      </c>
      <c r="M30" s="174">
        <v>0.0</v>
      </c>
      <c r="N30" s="174">
        <v>0.0</v>
      </c>
      <c r="O30" s="174">
        <v>0.0</v>
      </c>
      <c r="P30" s="174">
        <v>0.0</v>
      </c>
      <c r="Q30" s="174">
        <v>0.0</v>
      </c>
      <c r="R30" s="174">
        <v>0.0</v>
      </c>
      <c r="S30" s="174">
        <v>0.0</v>
      </c>
      <c r="T30" s="174">
        <v>0.0</v>
      </c>
      <c r="U30" s="174">
        <v>0.0</v>
      </c>
      <c r="V30" s="174">
        <v>0.0</v>
      </c>
      <c r="W30" s="174">
        <v>0.0</v>
      </c>
      <c r="X30" s="174">
        <v>0.0</v>
      </c>
      <c r="Y30" s="174">
        <v>0.0</v>
      </c>
      <c r="Z30" s="174">
        <v>0.0</v>
      </c>
      <c r="AA30" s="174">
        <v>0.0</v>
      </c>
      <c r="AB30" s="174">
        <v>0.0</v>
      </c>
      <c r="AC30" s="174">
        <v>0.0</v>
      </c>
      <c r="AD30" s="174">
        <v>0.0</v>
      </c>
      <c r="AE30" s="174">
        <v>0.0</v>
      </c>
      <c r="AF30" s="174">
        <v>0.0</v>
      </c>
      <c r="AG30" s="174">
        <v>4783.010936297602</v>
      </c>
      <c r="AH30" s="174">
        <v>7789.988618103018</v>
      </c>
      <c r="AI30" s="174">
        <v>9222.419394396964</v>
      </c>
      <c r="AJ30" s="174">
        <v>14718.686952264414</v>
      </c>
      <c r="AK30" s="174">
        <v>17276.450856182873</v>
      </c>
      <c r="AL30" s="174">
        <v>20039.800126000984</v>
      </c>
      <c r="AM30" s="174">
        <v>23173.894834515413</v>
      </c>
      <c r="AN30" s="174">
        <v>25577.112174969527</v>
      </c>
      <c r="AO30" s="174">
        <v>27464.010337158248</v>
      </c>
      <c r="AP30" s="174">
        <v>28678.998492529325</v>
      </c>
      <c r="AQ30" s="174"/>
      <c r="AR30" s="169">
        <f t="shared" si="1"/>
        <v>28678.99849</v>
      </c>
      <c r="AS30" s="170" t="s">
        <v>211</v>
      </c>
    </row>
    <row r="31" ht="15.75" customHeight="1">
      <c r="A31" s="173" t="s">
        <v>157</v>
      </c>
      <c r="B31" s="174">
        <v>1124652.209696014</v>
      </c>
      <c r="C31" s="174">
        <v>939704.1083995168</v>
      </c>
      <c r="D31" s="174">
        <v>814606.2296927548</v>
      </c>
      <c r="E31" s="174">
        <v>763672.432750848</v>
      </c>
      <c r="F31" s="174">
        <v>713898.709179119</v>
      </c>
      <c r="G31" s="174">
        <v>660006.3019704225</v>
      </c>
      <c r="H31" s="174">
        <v>652404.9776183292</v>
      </c>
      <c r="I31" s="174">
        <v>643965.1140331125</v>
      </c>
      <c r="J31" s="174">
        <v>617830.1938336979</v>
      </c>
      <c r="K31" s="174">
        <v>612970.2973170659</v>
      </c>
      <c r="L31" s="174">
        <v>637203.4217016295</v>
      </c>
      <c r="M31" s="174">
        <v>644629.7345275265</v>
      </c>
      <c r="N31" s="174">
        <v>646656.7624824279</v>
      </c>
      <c r="O31" s="174">
        <v>658147.7164769464</v>
      </c>
      <c r="P31" s="174">
        <v>678137.939110138</v>
      </c>
      <c r="Q31" s="174">
        <v>692731.9370511227</v>
      </c>
      <c r="R31" s="174">
        <v>687230.2531442869</v>
      </c>
      <c r="S31" s="174">
        <v>698638.1615859313</v>
      </c>
      <c r="T31" s="174">
        <v>724231.308613214</v>
      </c>
      <c r="U31" s="174">
        <v>720996.3128587155</v>
      </c>
      <c r="V31" s="174">
        <v>725967.6692570372</v>
      </c>
      <c r="W31" s="174">
        <v>719188.2610948425</v>
      </c>
      <c r="X31" s="174">
        <v>712411.5804741144</v>
      </c>
      <c r="Y31" s="174">
        <v>724582.4333210875</v>
      </c>
      <c r="Z31" s="174">
        <v>722111.2182023373</v>
      </c>
      <c r="AA31" s="174">
        <v>684977.8801537838</v>
      </c>
      <c r="AB31" s="174">
        <v>641977.9902213499</v>
      </c>
      <c r="AC31" s="174">
        <v>620603.3777521908</v>
      </c>
      <c r="AD31" s="174">
        <v>642011.7561747128</v>
      </c>
      <c r="AE31" s="174">
        <v>661597.2840224975</v>
      </c>
      <c r="AF31" s="174">
        <v>674957.8734272822</v>
      </c>
      <c r="AG31" s="174">
        <v>684216.1354918513</v>
      </c>
      <c r="AH31" s="174">
        <v>681664.9974397157</v>
      </c>
      <c r="AI31" s="174">
        <v>677780.7098919802</v>
      </c>
      <c r="AJ31" s="174">
        <v>680554.6477930723</v>
      </c>
      <c r="AK31" s="174">
        <v>687861.5398691222</v>
      </c>
      <c r="AL31" s="174">
        <v>720284.0686312926</v>
      </c>
      <c r="AM31" s="174">
        <v>758509.2311999695</v>
      </c>
      <c r="AN31" s="174">
        <v>796999.1660950981</v>
      </c>
      <c r="AO31" s="174">
        <v>820418.8344895565</v>
      </c>
      <c r="AP31" s="174">
        <v>788014.916346319</v>
      </c>
      <c r="AQ31" s="174"/>
      <c r="AR31" s="169">
        <f t="shared" si="1"/>
        <v>-336637.2933</v>
      </c>
      <c r="AS31" s="170">
        <f t="shared" ref="AS31:AS36" si="3">AR31/B31</f>
        <v>-0.2993256853</v>
      </c>
    </row>
    <row r="32" ht="15.75" customHeight="1">
      <c r="A32" s="168" t="s">
        <v>91</v>
      </c>
      <c r="B32" s="167">
        <v>2.0937930580964945E7</v>
      </c>
      <c r="C32" s="167">
        <v>1.9691171561729316E7</v>
      </c>
      <c r="D32" s="167">
        <v>2.0149155386383962E7</v>
      </c>
      <c r="E32" s="167">
        <v>2.197692329900609E7</v>
      </c>
      <c r="F32" s="167">
        <v>2.1637964008479815E7</v>
      </c>
      <c r="G32" s="167">
        <v>2.0421046476549875E7</v>
      </c>
      <c r="H32" s="167">
        <v>2.175352213062376E7</v>
      </c>
      <c r="I32" s="167">
        <v>2.131955654132146E7</v>
      </c>
      <c r="J32" s="167">
        <v>2.136050206870005E7</v>
      </c>
      <c r="K32" s="167">
        <v>1.9965625665800273E7</v>
      </c>
      <c r="L32" s="167">
        <v>2.0943396492507372E7</v>
      </c>
      <c r="M32" s="167">
        <v>2.0475090029221013E7</v>
      </c>
      <c r="N32" s="167">
        <v>2.0880492210168954E7</v>
      </c>
      <c r="O32" s="167">
        <v>2.0075232481222212E7</v>
      </c>
      <c r="P32" s="167">
        <v>2.0773146165225264E7</v>
      </c>
      <c r="Q32" s="167">
        <v>1.933326875474796E7</v>
      </c>
      <c r="R32" s="167">
        <v>1.8641127726778418E7</v>
      </c>
      <c r="S32" s="167">
        <v>1.9431493845250446E7</v>
      </c>
      <c r="T32" s="167">
        <v>1.9004377224931788E7</v>
      </c>
      <c r="U32" s="167">
        <v>1.9115164453456312E7</v>
      </c>
      <c r="V32" s="167">
        <v>1.933953292696402E7</v>
      </c>
      <c r="W32" s="167">
        <v>2.026547889568873E7</v>
      </c>
      <c r="X32" s="167">
        <v>2.0379904363281574E7</v>
      </c>
      <c r="Y32" s="167">
        <v>2.010103637510381E7</v>
      </c>
      <c r="Z32" s="167">
        <v>1.9404041868164174E7</v>
      </c>
      <c r="AA32" s="167">
        <v>1.9330884019572314E7</v>
      </c>
      <c r="AB32" s="167">
        <v>2.0320467879628E7</v>
      </c>
      <c r="AC32" s="167">
        <v>1.895801633324745E7</v>
      </c>
      <c r="AD32" s="167">
        <v>1.879143032778562E7</v>
      </c>
      <c r="AE32" s="167">
        <v>1.9614954759770494E7</v>
      </c>
      <c r="AF32" s="167">
        <v>1.860388814804178E7</v>
      </c>
      <c r="AG32" s="167">
        <v>1.8672452466776956E7</v>
      </c>
      <c r="AH32" s="167">
        <v>1.8730542461648177E7</v>
      </c>
      <c r="AI32" s="167">
        <v>1.972181980892708E7</v>
      </c>
      <c r="AJ32" s="167">
        <v>1.8776421527960576E7</v>
      </c>
      <c r="AK32" s="167">
        <v>1.834032054902743E7</v>
      </c>
      <c r="AL32" s="167">
        <v>1.8415203835571148E7</v>
      </c>
      <c r="AM32" s="168">
        <v>1.9472805817967262E7</v>
      </c>
      <c r="AN32" s="168">
        <v>1.9156951462254193E7</v>
      </c>
      <c r="AO32" s="168">
        <v>1.8380503294324655E7</v>
      </c>
      <c r="AP32" s="168">
        <v>1.929361521263376E7</v>
      </c>
      <c r="AQ32" s="30"/>
      <c r="AR32" s="169">
        <f t="shared" si="1"/>
        <v>-1644315.368</v>
      </c>
      <c r="AS32" s="170">
        <f t="shared" si="3"/>
        <v>-0.07853285032</v>
      </c>
    </row>
    <row r="33" ht="15.75" customHeight="1">
      <c r="A33" s="186" t="s">
        <v>163</v>
      </c>
      <c r="B33" s="174">
        <v>2.091304742897747E7</v>
      </c>
      <c r="C33" s="174">
        <v>1.966440325820716E7</v>
      </c>
      <c r="D33" s="174">
        <v>2.011965032770653E7</v>
      </c>
      <c r="E33" s="174">
        <v>2.1945962671518277E7</v>
      </c>
      <c r="F33" s="174">
        <v>2.160598051661768E7</v>
      </c>
      <c r="G33" s="174">
        <v>2.0388322566348378E7</v>
      </c>
      <c r="H33" s="174">
        <v>2.1720454622401487E7</v>
      </c>
      <c r="I33" s="174">
        <v>2.1286294126225278E7</v>
      </c>
      <c r="J33" s="174">
        <v>2.1327576895042162E7</v>
      </c>
      <c r="K33" s="174">
        <v>1.9932701730147403E7</v>
      </c>
      <c r="L33" s="174">
        <v>2.0910102316939984E7</v>
      </c>
      <c r="M33" s="174">
        <v>2.044208873359431E7</v>
      </c>
      <c r="N33" s="174">
        <v>2.0847047460402783E7</v>
      </c>
      <c r="O33" s="174">
        <v>2.004101954179989E7</v>
      </c>
      <c r="P33" s="174">
        <v>2.073777944073161E7</v>
      </c>
      <c r="Q33" s="174">
        <v>1.929551984891164E7</v>
      </c>
      <c r="R33" s="174">
        <v>1.8599877900067452E7</v>
      </c>
      <c r="S33" s="174">
        <v>1.938849059160419E7</v>
      </c>
      <c r="T33" s="174">
        <v>1.8959319624180242E7</v>
      </c>
      <c r="U33" s="174">
        <v>1.9069232231517073E7</v>
      </c>
      <c r="V33" s="174">
        <v>1.9293277192642942E7</v>
      </c>
      <c r="W33" s="174">
        <v>2.0219261122414548E7</v>
      </c>
      <c r="X33" s="174">
        <v>2.033300045654533E7</v>
      </c>
      <c r="Y33" s="174">
        <v>2.0051700640492387E7</v>
      </c>
      <c r="Z33" s="174">
        <v>1.9352007615544014E7</v>
      </c>
      <c r="AA33" s="174">
        <v>1.927669279240507E7</v>
      </c>
      <c r="AB33" s="174">
        <v>2.026223208228646E7</v>
      </c>
      <c r="AC33" s="174">
        <v>1.8896753616070013E7</v>
      </c>
      <c r="AD33" s="174">
        <v>1.8727940048761223E7</v>
      </c>
      <c r="AE33" s="174">
        <v>1.954977356690292E7</v>
      </c>
      <c r="AF33" s="174">
        <v>1.853622998583353E7</v>
      </c>
      <c r="AG33" s="174">
        <v>1.8601602498809274E7</v>
      </c>
      <c r="AH33" s="174">
        <v>1.865772559736266E7</v>
      </c>
      <c r="AI33" s="174">
        <v>1.9647455245452452E7</v>
      </c>
      <c r="AJ33" s="174">
        <v>1.8700716129663613E7</v>
      </c>
      <c r="AK33" s="174">
        <v>1.8266287830351245E7</v>
      </c>
      <c r="AL33" s="174">
        <v>1.834173522049446E7</v>
      </c>
      <c r="AM33" s="174">
        <v>1.939942321696498E7</v>
      </c>
      <c r="AN33" s="174">
        <v>1.9081957035766535E7</v>
      </c>
      <c r="AO33" s="174">
        <v>1.8305547927182216E7</v>
      </c>
      <c r="AP33" s="174">
        <v>1.9215107453691486E7</v>
      </c>
      <c r="AQ33" s="174"/>
      <c r="AR33" s="169">
        <f t="shared" si="1"/>
        <v>-1697939.975</v>
      </c>
      <c r="AS33" s="170">
        <f t="shared" si="3"/>
        <v>-0.08119046165</v>
      </c>
    </row>
    <row r="34" ht="15.75" customHeight="1">
      <c r="A34" s="186" t="s">
        <v>165</v>
      </c>
      <c r="B34" s="174">
        <v>24883.15198747604</v>
      </c>
      <c r="C34" s="174">
        <v>26768.303522156522</v>
      </c>
      <c r="D34" s="174">
        <v>29505.058677430246</v>
      </c>
      <c r="E34" s="174">
        <v>30960.627487812028</v>
      </c>
      <c r="F34" s="174">
        <v>31983.491862134877</v>
      </c>
      <c r="G34" s="174">
        <v>32723.910201496867</v>
      </c>
      <c r="H34" s="174">
        <v>33067.508222273405</v>
      </c>
      <c r="I34" s="174">
        <v>33262.41509618052</v>
      </c>
      <c r="J34" s="174">
        <v>32925.173657887</v>
      </c>
      <c r="K34" s="174">
        <v>32923.93565287032</v>
      </c>
      <c r="L34" s="174">
        <v>33294.17556739015</v>
      </c>
      <c r="M34" s="174">
        <v>33001.29562670433</v>
      </c>
      <c r="N34" s="174">
        <v>33444.74976616965</v>
      </c>
      <c r="O34" s="174">
        <v>34212.939422321964</v>
      </c>
      <c r="P34" s="174">
        <v>35366.724493653826</v>
      </c>
      <c r="Q34" s="174">
        <v>37748.905836323094</v>
      </c>
      <c r="R34" s="174">
        <v>41249.82671096413</v>
      </c>
      <c r="S34" s="174">
        <v>43003.25364625406</v>
      </c>
      <c r="T34" s="174">
        <v>45057.60075154555</v>
      </c>
      <c r="U34" s="174">
        <v>45932.22193924107</v>
      </c>
      <c r="V34" s="174">
        <v>46255.73432107692</v>
      </c>
      <c r="W34" s="174">
        <v>46217.773274183935</v>
      </c>
      <c r="X34" s="174">
        <v>46903.90673624376</v>
      </c>
      <c r="Y34" s="174">
        <v>49335.734611420696</v>
      </c>
      <c r="Z34" s="174">
        <v>52034.25262016149</v>
      </c>
      <c r="AA34" s="174">
        <v>54191.22716724355</v>
      </c>
      <c r="AB34" s="174">
        <v>58235.797341541554</v>
      </c>
      <c r="AC34" s="174">
        <v>61262.717177437065</v>
      </c>
      <c r="AD34" s="174">
        <v>63490.27902439723</v>
      </c>
      <c r="AE34" s="174">
        <v>65181.1928675733</v>
      </c>
      <c r="AF34" s="174">
        <v>67658.16220825343</v>
      </c>
      <c r="AG34" s="174">
        <v>70849.96796768325</v>
      </c>
      <c r="AH34" s="174">
        <v>72816.86428551732</v>
      </c>
      <c r="AI34" s="174">
        <v>74364.5634746288</v>
      </c>
      <c r="AJ34" s="174">
        <v>75705.39829696162</v>
      </c>
      <c r="AK34" s="174">
        <v>74032.71867618537</v>
      </c>
      <c r="AL34" s="174">
        <v>73468.61507668553</v>
      </c>
      <c r="AM34" s="174">
        <v>73382.60100228361</v>
      </c>
      <c r="AN34" s="174">
        <v>74994.42648765996</v>
      </c>
      <c r="AO34" s="174">
        <v>74955.36714243892</v>
      </c>
      <c r="AP34" s="174">
        <v>78507.75894227404</v>
      </c>
      <c r="AQ34" s="174"/>
      <c r="AR34" s="169">
        <f t="shared" si="1"/>
        <v>53624.60695</v>
      </c>
      <c r="AS34" s="170">
        <f t="shared" si="3"/>
        <v>2.155056843</v>
      </c>
    </row>
    <row r="35" ht="15.75" customHeight="1">
      <c r="A35" s="167" t="s">
        <v>168</v>
      </c>
      <c r="B35" s="167">
        <v>3619.096254919435</v>
      </c>
      <c r="C35" s="167">
        <v>3565.415924871827</v>
      </c>
      <c r="D35" s="167">
        <v>3469.7305928405763</v>
      </c>
      <c r="E35" s="167">
        <v>3355.1513459350595</v>
      </c>
      <c r="F35" s="167">
        <v>3279.0266196655284</v>
      </c>
      <c r="G35" s="167">
        <v>3201.964941882324</v>
      </c>
      <c r="H35" s="167">
        <v>3120.283013696289</v>
      </c>
      <c r="I35" s="167">
        <v>3009.0428817016605</v>
      </c>
      <c r="J35" s="167">
        <v>2939.9911441650397</v>
      </c>
      <c r="K35" s="167">
        <v>2775.2161616088874</v>
      </c>
      <c r="L35" s="167">
        <v>2601.9279132324223</v>
      </c>
      <c r="M35" s="167">
        <v>2533.6676100097657</v>
      </c>
      <c r="N35" s="167">
        <v>2462.6129479980464</v>
      </c>
      <c r="O35" s="167">
        <v>2336.7840530944823</v>
      </c>
      <c r="P35" s="167">
        <v>2247.7336139648437</v>
      </c>
      <c r="Q35" s="167">
        <v>2195.886495056152</v>
      </c>
      <c r="R35" s="167">
        <v>2049.149398931884</v>
      </c>
      <c r="S35" s="167">
        <v>1915.0489598327636</v>
      </c>
      <c r="T35" s="167">
        <v>1791.4380059509276</v>
      </c>
      <c r="U35" s="167">
        <v>1754.5944420166015</v>
      </c>
      <c r="V35" s="167">
        <v>1706.1517266357419</v>
      </c>
      <c r="W35" s="167">
        <v>1664.4570833740233</v>
      </c>
      <c r="X35" s="167">
        <v>1634.1502216918943</v>
      </c>
      <c r="Y35" s="167">
        <v>1610.451849084472</v>
      </c>
      <c r="Z35" s="167">
        <v>1561.4281194091795</v>
      </c>
      <c r="AA35" s="167">
        <v>1521.510162078857</v>
      </c>
      <c r="AB35" s="167">
        <v>1480.8392403381347</v>
      </c>
      <c r="AC35" s="167">
        <v>1462.9675561828608</v>
      </c>
      <c r="AD35" s="167">
        <v>1475.3126922912597</v>
      </c>
      <c r="AE35" s="167">
        <v>1483.7837933837886</v>
      </c>
      <c r="AF35" s="167">
        <v>1479.0491462036134</v>
      </c>
      <c r="AG35" s="167">
        <v>1485.7356208557128</v>
      </c>
      <c r="AH35" s="167">
        <v>1470.5554386169433</v>
      </c>
      <c r="AI35" s="167">
        <v>1425.2794995422364</v>
      </c>
      <c r="AJ35" s="167">
        <v>1364.8407682800294</v>
      </c>
      <c r="AK35" s="167">
        <v>1355.1950824768069</v>
      </c>
      <c r="AL35" s="167">
        <v>1331.987189465332</v>
      </c>
      <c r="AM35" s="168">
        <v>1322.8150819580078</v>
      </c>
      <c r="AN35" s="168">
        <v>1290.242286883545</v>
      </c>
      <c r="AO35" s="168">
        <v>1270.815247631836</v>
      </c>
      <c r="AP35" s="168">
        <v>1242.4168973205565</v>
      </c>
      <c r="AQ35" s="30"/>
      <c r="AR35" s="169">
        <f t="shared" si="1"/>
        <v>-2376.679358</v>
      </c>
      <c r="AS35" s="170">
        <f t="shared" si="3"/>
        <v>-0.6567052077</v>
      </c>
    </row>
    <row r="36" ht="15.75" customHeight="1">
      <c r="A36" s="187" t="s">
        <v>173</v>
      </c>
      <c r="B36" s="188">
        <f t="shared" ref="B36:AP36" si="4">SUM(B5,B12,B20,B25,B32,B35)</f>
        <v>850644940</v>
      </c>
      <c r="C36" s="188">
        <f t="shared" si="4"/>
        <v>850644940</v>
      </c>
      <c r="D36" s="188">
        <f t="shared" si="4"/>
        <v>850644940</v>
      </c>
      <c r="E36" s="188">
        <f t="shared" si="4"/>
        <v>850644940</v>
      </c>
      <c r="F36" s="188">
        <f t="shared" si="4"/>
        <v>850644940</v>
      </c>
      <c r="G36" s="188">
        <f t="shared" si="4"/>
        <v>850644940</v>
      </c>
      <c r="H36" s="188">
        <f t="shared" si="4"/>
        <v>850644940</v>
      </c>
      <c r="I36" s="188">
        <f t="shared" si="4"/>
        <v>850644940</v>
      </c>
      <c r="J36" s="188">
        <f t="shared" si="4"/>
        <v>850644940</v>
      </c>
      <c r="K36" s="188">
        <f t="shared" si="4"/>
        <v>850644940</v>
      </c>
      <c r="L36" s="188">
        <f t="shared" si="4"/>
        <v>850644940</v>
      </c>
      <c r="M36" s="188">
        <f t="shared" si="4"/>
        <v>850644940</v>
      </c>
      <c r="N36" s="188">
        <f t="shared" si="4"/>
        <v>850644940</v>
      </c>
      <c r="O36" s="188">
        <f t="shared" si="4"/>
        <v>850644940</v>
      </c>
      <c r="P36" s="188">
        <f t="shared" si="4"/>
        <v>850644940</v>
      </c>
      <c r="Q36" s="188">
        <f t="shared" si="4"/>
        <v>850644940</v>
      </c>
      <c r="R36" s="188">
        <f t="shared" si="4"/>
        <v>850644940</v>
      </c>
      <c r="S36" s="188">
        <f t="shared" si="4"/>
        <v>850644940</v>
      </c>
      <c r="T36" s="188">
        <f t="shared" si="4"/>
        <v>850644940</v>
      </c>
      <c r="U36" s="188">
        <f t="shared" si="4"/>
        <v>850644940</v>
      </c>
      <c r="V36" s="188">
        <f t="shared" si="4"/>
        <v>850644940</v>
      </c>
      <c r="W36" s="188">
        <f t="shared" si="4"/>
        <v>850644940</v>
      </c>
      <c r="X36" s="188">
        <f t="shared" si="4"/>
        <v>850644940</v>
      </c>
      <c r="Y36" s="188">
        <f t="shared" si="4"/>
        <v>850644940</v>
      </c>
      <c r="Z36" s="188">
        <f t="shared" si="4"/>
        <v>850644940</v>
      </c>
      <c r="AA36" s="188">
        <f t="shared" si="4"/>
        <v>850644940</v>
      </c>
      <c r="AB36" s="188">
        <f t="shared" si="4"/>
        <v>850644940</v>
      </c>
      <c r="AC36" s="188">
        <f t="shared" si="4"/>
        <v>850644940</v>
      </c>
      <c r="AD36" s="188">
        <f t="shared" si="4"/>
        <v>850644940</v>
      </c>
      <c r="AE36" s="188">
        <f t="shared" si="4"/>
        <v>850644940</v>
      </c>
      <c r="AF36" s="188">
        <f t="shared" si="4"/>
        <v>850644940</v>
      </c>
      <c r="AG36" s="188">
        <f t="shared" si="4"/>
        <v>850644940</v>
      </c>
      <c r="AH36" s="188">
        <f t="shared" si="4"/>
        <v>850644940</v>
      </c>
      <c r="AI36" s="188">
        <f t="shared" si="4"/>
        <v>850644940</v>
      </c>
      <c r="AJ36" s="188">
        <f t="shared" si="4"/>
        <v>850644940</v>
      </c>
      <c r="AK36" s="188">
        <f t="shared" si="4"/>
        <v>850644940</v>
      </c>
      <c r="AL36" s="188">
        <f t="shared" si="4"/>
        <v>850644940</v>
      </c>
      <c r="AM36" s="188">
        <f t="shared" si="4"/>
        <v>850644940</v>
      </c>
      <c r="AN36" s="188">
        <f t="shared" si="4"/>
        <v>850644940</v>
      </c>
      <c r="AO36" s="188">
        <f t="shared" si="4"/>
        <v>850644940</v>
      </c>
      <c r="AP36" s="188">
        <f t="shared" si="4"/>
        <v>850644940</v>
      </c>
      <c r="AQ36" s="4"/>
      <c r="AR36" s="169">
        <f t="shared" si="1"/>
        <v>-0.000002384185791</v>
      </c>
      <c r="AS36" s="170">
        <f t="shared" si="3"/>
        <v>0</v>
      </c>
    </row>
    <row r="37" ht="15.75" customHeight="1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Q37" s="4"/>
    </row>
    <row r="38" ht="15.75" customHeight="1">
      <c r="B38" s="189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190"/>
      <c r="AH38" s="190"/>
      <c r="AI38" s="190"/>
      <c r="AJ38" s="190"/>
      <c r="AK38" s="190"/>
      <c r="AL38" s="190"/>
      <c r="AM38" s="190"/>
      <c r="AN38" s="190"/>
      <c r="AO38" s="190"/>
      <c r="AQ38" s="4"/>
      <c r="AR38" s="15"/>
    </row>
    <row r="39" ht="15.75" customHeight="1">
      <c r="B39" s="191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91"/>
      <c r="AM39" s="191"/>
      <c r="AN39" s="191"/>
      <c r="AO39" s="191"/>
      <c r="AQ39" s="4"/>
    </row>
    <row r="40" ht="15.75" customHeight="1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Q40" s="4"/>
      <c r="AR40" s="15"/>
    </row>
    <row r="41" ht="15.75" customHeight="1">
      <c r="B41" s="165">
        <v>1985.0</v>
      </c>
      <c r="C41" s="165">
        <v>1986.0</v>
      </c>
      <c r="D41" s="165">
        <v>1987.0</v>
      </c>
      <c r="E41" s="165">
        <v>1988.0</v>
      </c>
      <c r="F41" s="165">
        <v>1989.0</v>
      </c>
      <c r="G41" s="165">
        <v>1990.0</v>
      </c>
      <c r="H41" s="165">
        <v>1991.0</v>
      </c>
      <c r="I41" s="165">
        <v>1992.0</v>
      </c>
      <c r="J41" s="165">
        <v>1993.0</v>
      </c>
      <c r="K41" s="165">
        <v>1994.0</v>
      </c>
      <c r="L41" s="165">
        <v>1995.0</v>
      </c>
      <c r="M41" s="165">
        <v>1996.0</v>
      </c>
      <c r="N41" s="165">
        <v>1997.0</v>
      </c>
      <c r="O41" s="165">
        <v>1998.0</v>
      </c>
      <c r="P41" s="165">
        <v>1999.0</v>
      </c>
      <c r="Q41" s="165">
        <v>2000.0</v>
      </c>
      <c r="R41" s="165">
        <v>2001.0</v>
      </c>
      <c r="S41" s="165">
        <v>2002.0</v>
      </c>
      <c r="T41" s="165">
        <v>2003.0</v>
      </c>
      <c r="U41" s="165">
        <v>2004.0</v>
      </c>
      <c r="V41" s="165">
        <v>2005.0</v>
      </c>
      <c r="W41" s="165">
        <v>2006.0</v>
      </c>
      <c r="X41" s="165">
        <v>2007.0</v>
      </c>
      <c r="Y41" s="165">
        <v>2008.0</v>
      </c>
      <c r="Z41" s="165">
        <v>2009.0</v>
      </c>
      <c r="AA41" s="165">
        <v>2010.0</v>
      </c>
      <c r="AB41" s="165">
        <v>2011.0</v>
      </c>
      <c r="AC41" s="165">
        <v>2012.0</v>
      </c>
      <c r="AD41" s="165">
        <v>2013.0</v>
      </c>
      <c r="AE41" s="165">
        <v>2014.0</v>
      </c>
      <c r="AF41" s="165">
        <v>2015.0</v>
      </c>
      <c r="AG41" s="165">
        <v>2016.0</v>
      </c>
      <c r="AH41" s="165">
        <v>2017.0</v>
      </c>
      <c r="AI41" s="165">
        <v>2018.0</v>
      </c>
      <c r="AJ41" s="165">
        <v>2019.0</v>
      </c>
      <c r="AK41" s="165">
        <v>2020.0</v>
      </c>
      <c r="AL41" s="165">
        <v>2021.0</v>
      </c>
      <c r="AM41" s="165">
        <v>2022.0</v>
      </c>
      <c r="AN41" s="165">
        <v>2023.0</v>
      </c>
      <c r="AO41" s="165">
        <v>2024.0</v>
      </c>
      <c r="AP41" s="165">
        <v>2025.0</v>
      </c>
      <c r="AQ41" s="4"/>
    </row>
    <row r="42" ht="15.75" customHeight="1">
      <c r="A42" s="4" t="s">
        <v>212</v>
      </c>
      <c r="B42" s="15">
        <f t="shared" ref="B42:AP42" si="5">B5+B12</f>
        <v>675846654.2</v>
      </c>
      <c r="C42" s="15">
        <f t="shared" si="5"/>
        <v>672958136.3</v>
      </c>
      <c r="D42" s="15">
        <f t="shared" si="5"/>
        <v>667779547</v>
      </c>
      <c r="E42" s="15">
        <f t="shared" si="5"/>
        <v>661283346.3</v>
      </c>
      <c r="F42" s="15">
        <f t="shared" si="5"/>
        <v>657463801.7</v>
      </c>
      <c r="G42" s="15">
        <f t="shared" si="5"/>
        <v>655037264.4</v>
      </c>
      <c r="H42" s="15">
        <f t="shared" si="5"/>
        <v>650009755.6</v>
      </c>
      <c r="I42" s="15">
        <f t="shared" si="5"/>
        <v>646326980.9</v>
      </c>
      <c r="J42" s="15">
        <f t="shared" si="5"/>
        <v>642313193.8</v>
      </c>
      <c r="K42" s="15">
        <f t="shared" si="5"/>
        <v>638990513.4</v>
      </c>
      <c r="L42" s="15">
        <f t="shared" si="5"/>
        <v>633086837.4</v>
      </c>
      <c r="M42" s="15">
        <f t="shared" si="5"/>
        <v>629494401.4</v>
      </c>
      <c r="N42" s="15">
        <f t="shared" si="5"/>
        <v>625496125.7</v>
      </c>
      <c r="O42" s="15">
        <f t="shared" si="5"/>
        <v>622346792.3</v>
      </c>
      <c r="P42" s="15">
        <f t="shared" si="5"/>
        <v>618204516</v>
      </c>
      <c r="Q42" s="15">
        <f t="shared" si="5"/>
        <v>616536999.5</v>
      </c>
      <c r="R42" s="15">
        <f t="shared" si="5"/>
        <v>613786919.4</v>
      </c>
      <c r="S42" s="15">
        <f t="shared" si="5"/>
        <v>609704716.1</v>
      </c>
      <c r="T42" s="15">
        <f t="shared" si="5"/>
        <v>605474749.2</v>
      </c>
      <c r="U42" s="15">
        <f t="shared" si="5"/>
        <v>601113885.2</v>
      </c>
      <c r="V42" s="15">
        <f t="shared" si="5"/>
        <v>597576532.3</v>
      </c>
      <c r="W42" s="15">
        <f t="shared" si="5"/>
        <v>594141961.6</v>
      </c>
      <c r="X42" s="15">
        <f t="shared" si="5"/>
        <v>592033901.2</v>
      </c>
      <c r="Y42" s="15">
        <f t="shared" si="5"/>
        <v>590054997.8</v>
      </c>
      <c r="Z42" s="15">
        <f t="shared" si="5"/>
        <v>589148365.9</v>
      </c>
      <c r="AA42" s="15">
        <f t="shared" si="5"/>
        <v>587711237.5</v>
      </c>
      <c r="AB42" s="15">
        <f t="shared" si="5"/>
        <v>585343331.2</v>
      </c>
      <c r="AC42" s="15">
        <f t="shared" si="5"/>
        <v>584817615.7</v>
      </c>
      <c r="AD42" s="15">
        <f t="shared" si="5"/>
        <v>582804062.4</v>
      </c>
      <c r="AE42" s="15">
        <f t="shared" si="5"/>
        <v>580229029.7</v>
      </c>
      <c r="AF42" s="15">
        <f t="shared" si="5"/>
        <v>579218185.4</v>
      </c>
      <c r="AG42" s="15">
        <f t="shared" si="5"/>
        <v>577416261.2</v>
      </c>
      <c r="AH42" s="15">
        <f t="shared" si="5"/>
        <v>575829755.5</v>
      </c>
      <c r="AI42" s="15">
        <f t="shared" si="5"/>
        <v>573401426.8</v>
      </c>
      <c r="AJ42" s="15">
        <f t="shared" si="5"/>
        <v>571909825.1</v>
      </c>
      <c r="AK42" s="15">
        <f t="shared" si="5"/>
        <v>569828853.4</v>
      </c>
      <c r="AL42" s="15">
        <f t="shared" si="5"/>
        <v>566466147.3</v>
      </c>
      <c r="AM42" s="15">
        <f t="shared" si="5"/>
        <v>561750070.2</v>
      </c>
      <c r="AN42" s="15">
        <f t="shared" si="5"/>
        <v>558056036.9</v>
      </c>
      <c r="AO42" s="15">
        <f t="shared" si="5"/>
        <v>556191309.6</v>
      </c>
      <c r="AP42" s="15">
        <f t="shared" si="5"/>
        <v>551660517.3</v>
      </c>
      <c r="AQ42" s="4"/>
    </row>
    <row r="43" ht="15.75" customHeight="1">
      <c r="A43" s="192" t="s">
        <v>197</v>
      </c>
      <c r="B43" s="15">
        <f t="shared" ref="B43:AP43" si="6">B22</f>
        <v>18555450.16</v>
      </c>
      <c r="C43" s="15">
        <f t="shared" si="6"/>
        <v>19146374.29</v>
      </c>
      <c r="D43" s="15">
        <f t="shared" si="6"/>
        <v>20819010.57</v>
      </c>
      <c r="E43" s="15">
        <f t="shared" si="6"/>
        <v>22334427.45</v>
      </c>
      <c r="F43" s="15">
        <f t="shared" si="6"/>
        <v>23849855.69</v>
      </c>
      <c r="G43" s="15">
        <f t="shared" si="6"/>
        <v>25570943.74</v>
      </c>
      <c r="H43" s="15">
        <f t="shared" si="6"/>
        <v>27683397.07</v>
      </c>
      <c r="I43" s="15">
        <f t="shared" si="6"/>
        <v>28425094.22</v>
      </c>
      <c r="J43" s="15">
        <f t="shared" si="6"/>
        <v>29471657.92</v>
      </c>
      <c r="K43" s="15">
        <f t="shared" si="6"/>
        <v>30342300.29</v>
      </c>
      <c r="L43" s="15">
        <f t="shared" si="6"/>
        <v>31111472.86</v>
      </c>
      <c r="M43" s="15">
        <f t="shared" si="6"/>
        <v>32057004.38</v>
      </c>
      <c r="N43" s="15">
        <f t="shared" si="6"/>
        <v>32645115.77</v>
      </c>
      <c r="O43" s="15">
        <f t="shared" si="6"/>
        <v>33276553.38</v>
      </c>
      <c r="P43" s="15">
        <f t="shared" si="6"/>
        <v>34241473.4</v>
      </c>
      <c r="Q43" s="15">
        <f t="shared" si="6"/>
        <v>35288774.92</v>
      </c>
      <c r="R43" s="15">
        <f t="shared" si="6"/>
        <v>36504522.43</v>
      </c>
      <c r="S43" s="15">
        <f t="shared" si="6"/>
        <v>37476083.8</v>
      </c>
      <c r="T43" s="15">
        <f t="shared" si="6"/>
        <v>38308157.95</v>
      </c>
      <c r="U43" s="15">
        <f t="shared" si="6"/>
        <v>40305323.62</v>
      </c>
      <c r="V43" s="15">
        <f t="shared" si="6"/>
        <v>42317861.88</v>
      </c>
      <c r="W43" s="15">
        <f t="shared" si="6"/>
        <v>44302851.41</v>
      </c>
      <c r="X43" s="15">
        <f t="shared" si="6"/>
        <v>45865655.24</v>
      </c>
      <c r="Y43" s="15">
        <f t="shared" si="6"/>
        <v>47302706.08</v>
      </c>
      <c r="Z43" s="15">
        <f t="shared" si="6"/>
        <v>48486777.9</v>
      </c>
      <c r="AA43" s="15">
        <f t="shared" si="6"/>
        <v>49479126.06</v>
      </c>
      <c r="AB43" s="15">
        <f t="shared" si="6"/>
        <v>50206035.26</v>
      </c>
      <c r="AC43" s="15">
        <f t="shared" si="6"/>
        <v>51328662.25</v>
      </c>
      <c r="AD43" s="15">
        <f t="shared" si="6"/>
        <v>53353782.42</v>
      </c>
      <c r="AE43" s="15">
        <f t="shared" si="6"/>
        <v>55526507.23</v>
      </c>
      <c r="AF43" s="15">
        <f t="shared" si="6"/>
        <v>57473391.07</v>
      </c>
      <c r="AG43" s="15">
        <f t="shared" si="6"/>
        <v>59006953.21</v>
      </c>
      <c r="AH43" s="15">
        <f t="shared" si="6"/>
        <v>60666414.6</v>
      </c>
      <c r="AI43" s="15">
        <f t="shared" si="6"/>
        <v>61297854.91</v>
      </c>
      <c r="AJ43" s="15">
        <f t="shared" si="6"/>
        <v>62147935.52</v>
      </c>
      <c r="AK43" s="15">
        <f t="shared" si="6"/>
        <v>62980918.11</v>
      </c>
      <c r="AL43" s="15">
        <f t="shared" si="6"/>
        <v>63429596.84</v>
      </c>
      <c r="AM43" s="15">
        <f t="shared" si="6"/>
        <v>63971988.51</v>
      </c>
      <c r="AN43" s="15">
        <f t="shared" si="6"/>
        <v>64564265.9</v>
      </c>
      <c r="AO43" s="15">
        <f t="shared" si="6"/>
        <v>65206580.81</v>
      </c>
      <c r="AP43" s="15">
        <f t="shared" si="6"/>
        <v>66511155.98</v>
      </c>
      <c r="AQ43" s="4"/>
    </row>
    <row r="44" ht="15.75" customHeight="1">
      <c r="A44" s="192" t="s">
        <v>186</v>
      </c>
      <c r="B44" s="15">
        <f t="shared" ref="B44:AP44" si="7">B21</f>
        <v>103997458.3</v>
      </c>
      <c r="C44" s="15">
        <f t="shared" si="7"/>
        <v>112200484.6</v>
      </c>
      <c r="D44" s="15">
        <f t="shared" si="7"/>
        <v>117252091.9</v>
      </c>
      <c r="E44" s="15">
        <f t="shared" si="7"/>
        <v>121023814.4</v>
      </c>
      <c r="F44" s="15">
        <f t="shared" si="7"/>
        <v>124022870.4</v>
      </c>
      <c r="G44" s="15">
        <f t="shared" si="7"/>
        <v>126556747.1</v>
      </c>
      <c r="H44" s="15">
        <f t="shared" si="7"/>
        <v>128780920.1</v>
      </c>
      <c r="I44" s="15">
        <f t="shared" si="7"/>
        <v>131934640.6</v>
      </c>
      <c r="J44" s="15">
        <f t="shared" si="7"/>
        <v>134728261</v>
      </c>
      <c r="K44" s="15">
        <f t="shared" si="7"/>
        <v>137876447.7</v>
      </c>
      <c r="L44" s="15">
        <f t="shared" si="7"/>
        <v>141289091.1</v>
      </c>
      <c r="M44" s="15">
        <f t="shared" si="7"/>
        <v>144249927.2</v>
      </c>
      <c r="N44" s="15">
        <f t="shared" si="7"/>
        <v>146887759.8</v>
      </c>
      <c r="O44" s="15">
        <f t="shared" si="7"/>
        <v>149923244.1</v>
      </c>
      <c r="P44" s="15">
        <f t="shared" si="7"/>
        <v>152325713.1</v>
      </c>
      <c r="Q44" s="15">
        <f t="shared" si="7"/>
        <v>154362712.6</v>
      </c>
      <c r="R44" s="15">
        <f t="shared" si="7"/>
        <v>156246323.9</v>
      </c>
      <c r="S44" s="15">
        <f t="shared" si="7"/>
        <v>158012196.8</v>
      </c>
      <c r="T44" s="15">
        <f t="shared" si="7"/>
        <v>160802190.9</v>
      </c>
      <c r="U44" s="15">
        <f t="shared" si="7"/>
        <v>162468718.2</v>
      </c>
      <c r="V44" s="15">
        <f t="shared" si="7"/>
        <v>163819833.5</v>
      </c>
      <c r="W44" s="15">
        <f t="shared" si="7"/>
        <v>164289224</v>
      </c>
      <c r="X44" s="15">
        <f t="shared" si="7"/>
        <v>164580749.8</v>
      </c>
      <c r="Y44" s="15">
        <f t="shared" si="7"/>
        <v>164791549</v>
      </c>
      <c r="Z44" s="15">
        <f t="shared" si="7"/>
        <v>164747904.4</v>
      </c>
      <c r="AA44" s="15">
        <f t="shared" si="7"/>
        <v>164663266.9</v>
      </c>
      <c r="AB44" s="15">
        <f t="shared" si="7"/>
        <v>164578216</v>
      </c>
      <c r="AC44" s="15">
        <f t="shared" si="7"/>
        <v>164530670.1</v>
      </c>
      <c r="AD44" s="15">
        <f t="shared" si="7"/>
        <v>163941365.3</v>
      </c>
      <c r="AE44" s="15">
        <f t="shared" si="7"/>
        <v>163327082.1</v>
      </c>
      <c r="AF44" s="15">
        <f t="shared" si="7"/>
        <v>163108532.6</v>
      </c>
      <c r="AG44" s="15">
        <f t="shared" si="7"/>
        <v>162913497.1</v>
      </c>
      <c r="AH44" s="15">
        <f t="shared" si="7"/>
        <v>162360389.7</v>
      </c>
      <c r="AI44" s="15">
        <f t="shared" si="7"/>
        <v>162227239.7</v>
      </c>
      <c r="AJ44" s="15">
        <f t="shared" si="7"/>
        <v>162402368.1</v>
      </c>
      <c r="AK44" s="15">
        <f t="shared" si="7"/>
        <v>162491386.8</v>
      </c>
      <c r="AL44" s="15">
        <f t="shared" si="7"/>
        <v>163122969.7</v>
      </c>
      <c r="AM44" s="15">
        <f t="shared" si="7"/>
        <v>164167067</v>
      </c>
      <c r="AN44" s="15">
        <f t="shared" si="7"/>
        <v>165467617.6</v>
      </c>
      <c r="AO44" s="15">
        <f t="shared" si="7"/>
        <v>165447035</v>
      </c>
      <c r="AP44" s="15">
        <f t="shared" si="7"/>
        <v>165617358.5</v>
      </c>
      <c r="AQ44" s="4"/>
    </row>
    <row r="45" ht="15.75" customHeight="1">
      <c r="A45" s="15" t="s">
        <v>213</v>
      </c>
      <c r="B45" s="15">
        <f t="shared" ref="B45:AP45" si="8">B23</f>
        <v>1875445.426</v>
      </c>
      <c r="C45" s="15">
        <f t="shared" si="8"/>
        <v>2093490.955</v>
      </c>
      <c r="D45" s="15">
        <f t="shared" si="8"/>
        <v>2292123.632</v>
      </c>
      <c r="E45" s="15">
        <f t="shared" si="8"/>
        <v>2686127.936</v>
      </c>
      <c r="F45" s="15">
        <f t="shared" si="8"/>
        <v>2841222.109</v>
      </c>
      <c r="G45" s="15">
        <f t="shared" si="8"/>
        <v>2968526.764</v>
      </c>
      <c r="H45" s="15">
        <f t="shared" si="8"/>
        <v>3198293.089</v>
      </c>
      <c r="I45" s="15">
        <f t="shared" si="8"/>
        <v>3340737.596</v>
      </c>
      <c r="J45" s="15">
        <f t="shared" si="8"/>
        <v>3475692.252</v>
      </c>
      <c r="K45" s="15">
        <f t="shared" si="8"/>
        <v>3618773.925</v>
      </c>
      <c r="L45" s="15">
        <f t="shared" si="8"/>
        <v>3711008.042</v>
      </c>
      <c r="M45" s="15">
        <f t="shared" si="8"/>
        <v>3771437.965</v>
      </c>
      <c r="N45" s="15">
        <f t="shared" si="8"/>
        <v>3895290.249</v>
      </c>
      <c r="O45" s="15">
        <f t="shared" si="8"/>
        <v>3953811.581</v>
      </c>
      <c r="P45" s="15">
        <f t="shared" si="8"/>
        <v>4025340.913</v>
      </c>
      <c r="Q45" s="15">
        <f t="shared" si="8"/>
        <v>4115149.672</v>
      </c>
      <c r="R45" s="15">
        <f t="shared" si="8"/>
        <v>4162429.493</v>
      </c>
      <c r="S45" s="15">
        <f t="shared" si="8"/>
        <v>4241782.658</v>
      </c>
      <c r="T45" s="15">
        <f t="shared" si="8"/>
        <v>4344247.343</v>
      </c>
      <c r="U45" s="15">
        <f t="shared" si="8"/>
        <v>4507484.601</v>
      </c>
      <c r="V45" s="15">
        <f t="shared" si="8"/>
        <v>4729222.579</v>
      </c>
      <c r="W45" s="15">
        <f t="shared" si="8"/>
        <v>4966834.003</v>
      </c>
      <c r="X45" s="15">
        <f t="shared" si="8"/>
        <v>5255548.049</v>
      </c>
      <c r="Y45" s="15">
        <f t="shared" si="8"/>
        <v>5620722.117</v>
      </c>
      <c r="Z45" s="15">
        <f t="shared" si="8"/>
        <v>6091818.751</v>
      </c>
      <c r="AA45" s="15">
        <f t="shared" si="8"/>
        <v>6564545.072</v>
      </c>
      <c r="AB45" s="15">
        <f t="shared" si="8"/>
        <v>6959974.822</v>
      </c>
      <c r="AC45" s="15">
        <f t="shared" si="8"/>
        <v>7430501.05</v>
      </c>
      <c r="AD45" s="15">
        <f t="shared" si="8"/>
        <v>8022024.437</v>
      </c>
      <c r="AE45" s="15">
        <f t="shared" si="8"/>
        <v>8335070.697</v>
      </c>
      <c r="AF45" s="15">
        <f t="shared" si="8"/>
        <v>8604314.703</v>
      </c>
      <c r="AG45" s="15">
        <f t="shared" si="8"/>
        <v>8778903.362</v>
      </c>
      <c r="AH45" s="15">
        <f t="shared" si="8"/>
        <v>8939636.646</v>
      </c>
      <c r="AI45" s="15">
        <f t="shared" si="8"/>
        <v>9075739.925</v>
      </c>
      <c r="AJ45" s="15">
        <f t="shared" si="8"/>
        <v>9255749.111</v>
      </c>
      <c r="AK45" s="15">
        <f t="shared" si="8"/>
        <v>9416319.395</v>
      </c>
      <c r="AL45" s="15">
        <f t="shared" si="8"/>
        <v>9590058.484</v>
      </c>
      <c r="AM45" s="15">
        <f t="shared" si="8"/>
        <v>9704706.923</v>
      </c>
      <c r="AN45" s="15">
        <f t="shared" si="8"/>
        <v>9799791.156</v>
      </c>
      <c r="AO45" s="15">
        <f t="shared" si="8"/>
        <v>9899074.274</v>
      </c>
      <c r="AP45" s="15">
        <f t="shared" si="8"/>
        <v>9875749.946</v>
      </c>
      <c r="AQ45" s="4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Q46" s="4"/>
      <c r="AR46" s="4"/>
      <c r="AS46" s="4"/>
      <c r="AT46" s="4"/>
    </row>
    <row r="47" ht="15.75" customHeight="1">
      <c r="A47" s="193" t="s">
        <v>214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Q47" s="4"/>
      <c r="AR47" s="4"/>
      <c r="AS47" s="4"/>
      <c r="AT47" s="4"/>
    </row>
    <row r="48" ht="15.75" customHeight="1">
      <c r="A48" s="194" t="s">
        <v>212</v>
      </c>
      <c r="B48" s="195">
        <f t="shared" ref="B48:AP48" si="9">B42/1000000</f>
        <v>675.8466542</v>
      </c>
      <c r="C48" s="195">
        <f t="shared" si="9"/>
        <v>672.9581363</v>
      </c>
      <c r="D48" s="195">
        <f t="shared" si="9"/>
        <v>667.779547</v>
      </c>
      <c r="E48" s="195">
        <f t="shared" si="9"/>
        <v>661.2833463</v>
      </c>
      <c r="F48" s="195">
        <f t="shared" si="9"/>
        <v>657.4638017</v>
      </c>
      <c r="G48" s="195">
        <f t="shared" si="9"/>
        <v>655.0372644</v>
      </c>
      <c r="H48" s="195">
        <f t="shared" si="9"/>
        <v>650.0097556</v>
      </c>
      <c r="I48" s="195">
        <f t="shared" si="9"/>
        <v>646.3269809</v>
      </c>
      <c r="J48" s="195">
        <f t="shared" si="9"/>
        <v>642.3131938</v>
      </c>
      <c r="K48" s="195">
        <f t="shared" si="9"/>
        <v>638.9905134</v>
      </c>
      <c r="L48" s="195">
        <f t="shared" si="9"/>
        <v>633.0868374</v>
      </c>
      <c r="M48" s="195">
        <f t="shared" si="9"/>
        <v>629.4944014</v>
      </c>
      <c r="N48" s="195">
        <f t="shared" si="9"/>
        <v>625.4961257</v>
      </c>
      <c r="O48" s="195">
        <f t="shared" si="9"/>
        <v>622.3467923</v>
      </c>
      <c r="P48" s="195">
        <f t="shared" si="9"/>
        <v>618.204516</v>
      </c>
      <c r="Q48" s="195">
        <f t="shared" si="9"/>
        <v>616.5369995</v>
      </c>
      <c r="R48" s="195">
        <f t="shared" si="9"/>
        <v>613.7869194</v>
      </c>
      <c r="S48" s="195">
        <f t="shared" si="9"/>
        <v>609.7047161</v>
      </c>
      <c r="T48" s="195">
        <f t="shared" si="9"/>
        <v>605.4747492</v>
      </c>
      <c r="U48" s="195">
        <f t="shared" si="9"/>
        <v>601.1138852</v>
      </c>
      <c r="V48" s="195">
        <f t="shared" si="9"/>
        <v>597.5765323</v>
      </c>
      <c r="W48" s="195">
        <f t="shared" si="9"/>
        <v>594.1419616</v>
      </c>
      <c r="X48" s="195">
        <f t="shared" si="9"/>
        <v>592.0339012</v>
      </c>
      <c r="Y48" s="195">
        <f t="shared" si="9"/>
        <v>590.0549978</v>
      </c>
      <c r="Z48" s="195">
        <f t="shared" si="9"/>
        <v>589.1483659</v>
      </c>
      <c r="AA48" s="195">
        <f t="shared" si="9"/>
        <v>587.7112375</v>
      </c>
      <c r="AB48" s="195">
        <f t="shared" si="9"/>
        <v>585.3433312</v>
      </c>
      <c r="AC48" s="195">
        <f t="shared" si="9"/>
        <v>584.8176157</v>
      </c>
      <c r="AD48" s="195">
        <f t="shared" si="9"/>
        <v>582.8040624</v>
      </c>
      <c r="AE48" s="195">
        <f t="shared" si="9"/>
        <v>580.2290297</v>
      </c>
      <c r="AF48" s="195">
        <f t="shared" si="9"/>
        <v>579.2181854</v>
      </c>
      <c r="AG48" s="195">
        <f t="shared" si="9"/>
        <v>577.4162612</v>
      </c>
      <c r="AH48" s="195">
        <f t="shared" si="9"/>
        <v>575.8297555</v>
      </c>
      <c r="AI48" s="195">
        <f t="shared" si="9"/>
        <v>573.4014268</v>
      </c>
      <c r="AJ48" s="195">
        <f t="shared" si="9"/>
        <v>571.9098251</v>
      </c>
      <c r="AK48" s="195">
        <f t="shared" si="9"/>
        <v>569.8288534</v>
      </c>
      <c r="AL48" s="195">
        <f t="shared" si="9"/>
        <v>566.4661473</v>
      </c>
      <c r="AM48" s="195">
        <f t="shared" si="9"/>
        <v>561.7500702</v>
      </c>
      <c r="AN48" s="195">
        <f t="shared" si="9"/>
        <v>558.0560369</v>
      </c>
      <c r="AO48" s="195">
        <f t="shared" si="9"/>
        <v>556.1913096</v>
      </c>
      <c r="AP48" s="195">
        <f t="shared" si="9"/>
        <v>551.6605173</v>
      </c>
      <c r="AQ48" s="196"/>
      <c r="AR48" s="197"/>
      <c r="AS48" s="196"/>
      <c r="AT48" s="196"/>
    </row>
    <row r="49" ht="15.75" customHeight="1">
      <c r="A49" s="198" t="s">
        <v>197</v>
      </c>
      <c r="B49" s="195">
        <f t="shared" ref="B49:AP49" si="10">B43/1000000</f>
        <v>18.55545016</v>
      </c>
      <c r="C49" s="195">
        <f t="shared" si="10"/>
        <v>19.14637429</v>
      </c>
      <c r="D49" s="195">
        <f t="shared" si="10"/>
        <v>20.81901057</v>
      </c>
      <c r="E49" s="195">
        <f t="shared" si="10"/>
        <v>22.33442745</v>
      </c>
      <c r="F49" s="195">
        <f t="shared" si="10"/>
        <v>23.84985569</v>
      </c>
      <c r="G49" s="195">
        <f t="shared" si="10"/>
        <v>25.57094374</v>
      </c>
      <c r="H49" s="195">
        <f t="shared" si="10"/>
        <v>27.68339707</v>
      </c>
      <c r="I49" s="195">
        <f t="shared" si="10"/>
        <v>28.42509422</v>
      </c>
      <c r="J49" s="195">
        <f t="shared" si="10"/>
        <v>29.47165792</v>
      </c>
      <c r="K49" s="195">
        <f t="shared" si="10"/>
        <v>30.34230029</v>
      </c>
      <c r="L49" s="195">
        <f t="shared" si="10"/>
        <v>31.11147286</v>
      </c>
      <c r="M49" s="195">
        <f t="shared" si="10"/>
        <v>32.05700438</v>
      </c>
      <c r="N49" s="195">
        <f t="shared" si="10"/>
        <v>32.64511577</v>
      </c>
      <c r="O49" s="195">
        <f t="shared" si="10"/>
        <v>33.27655338</v>
      </c>
      <c r="P49" s="195">
        <f t="shared" si="10"/>
        <v>34.2414734</v>
      </c>
      <c r="Q49" s="195">
        <f t="shared" si="10"/>
        <v>35.28877492</v>
      </c>
      <c r="R49" s="195">
        <f t="shared" si="10"/>
        <v>36.50452243</v>
      </c>
      <c r="S49" s="195">
        <f t="shared" si="10"/>
        <v>37.4760838</v>
      </c>
      <c r="T49" s="195">
        <f t="shared" si="10"/>
        <v>38.30815795</v>
      </c>
      <c r="U49" s="195">
        <f t="shared" si="10"/>
        <v>40.30532362</v>
      </c>
      <c r="V49" s="195">
        <f t="shared" si="10"/>
        <v>42.31786188</v>
      </c>
      <c r="W49" s="195">
        <f t="shared" si="10"/>
        <v>44.30285141</v>
      </c>
      <c r="X49" s="195">
        <f t="shared" si="10"/>
        <v>45.86565524</v>
      </c>
      <c r="Y49" s="195">
        <f t="shared" si="10"/>
        <v>47.30270608</v>
      </c>
      <c r="Z49" s="195">
        <f t="shared" si="10"/>
        <v>48.4867779</v>
      </c>
      <c r="AA49" s="195">
        <f t="shared" si="10"/>
        <v>49.47912606</v>
      </c>
      <c r="AB49" s="195">
        <f t="shared" si="10"/>
        <v>50.20603526</v>
      </c>
      <c r="AC49" s="195">
        <f t="shared" si="10"/>
        <v>51.32866225</v>
      </c>
      <c r="AD49" s="195">
        <f t="shared" si="10"/>
        <v>53.35378242</v>
      </c>
      <c r="AE49" s="195">
        <f t="shared" si="10"/>
        <v>55.52650723</v>
      </c>
      <c r="AF49" s="195">
        <f t="shared" si="10"/>
        <v>57.47339107</v>
      </c>
      <c r="AG49" s="195">
        <f t="shared" si="10"/>
        <v>59.00695321</v>
      </c>
      <c r="AH49" s="195">
        <f t="shared" si="10"/>
        <v>60.6664146</v>
      </c>
      <c r="AI49" s="195">
        <f t="shared" si="10"/>
        <v>61.29785491</v>
      </c>
      <c r="AJ49" s="195">
        <f t="shared" si="10"/>
        <v>62.14793552</v>
      </c>
      <c r="AK49" s="195">
        <f t="shared" si="10"/>
        <v>62.98091811</v>
      </c>
      <c r="AL49" s="195">
        <f t="shared" si="10"/>
        <v>63.42959684</v>
      </c>
      <c r="AM49" s="195">
        <f t="shared" si="10"/>
        <v>63.97198851</v>
      </c>
      <c r="AN49" s="195">
        <f t="shared" si="10"/>
        <v>64.5642659</v>
      </c>
      <c r="AO49" s="195">
        <f t="shared" si="10"/>
        <v>65.20658081</v>
      </c>
      <c r="AP49" s="195">
        <f t="shared" si="10"/>
        <v>66.51115598</v>
      </c>
      <c r="AQ49" s="196"/>
      <c r="AR49" s="196"/>
      <c r="AS49" s="196"/>
      <c r="AT49" s="196"/>
    </row>
    <row r="50" ht="15.75" customHeight="1">
      <c r="A50" s="198" t="s">
        <v>186</v>
      </c>
      <c r="B50" s="195">
        <f t="shared" ref="B50:AP50" si="11">B44/1000000</f>
        <v>103.9974583</v>
      </c>
      <c r="C50" s="195">
        <f t="shared" si="11"/>
        <v>112.2004846</v>
      </c>
      <c r="D50" s="195">
        <f t="shared" si="11"/>
        <v>117.2520919</v>
      </c>
      <c r="E50" s="195">
        <f t="shared" si="11"/>
        <v>121.0238144</v>
      </c>
      <c r="F50" s="195">
        <f t="shared" si="11"/>
        <v>124.0228704</v>
      </c>
      <c r="G50" s="195">
        <f t="shared" si="11"/>
        <v>126.5567471</v>
      </c>
      <c r="H50" s="195">
        <f t="shared" si="11"/>
        <v>128.7809201</v>
      </c>
      <c r="I50" s="195">
        <f t="shared" si="11"/>
        <v>131.9346406</v>
      </c>
      <c r="J50" s="195">
        <f t="shared" si="11"/>
        <v>134.728261</v>
      </c>
      <c r="K50" s="195">
        <f t="shared" si="11"/>
        <v>137.8764477</v>
      </c>
      <c r="L50" s="195">
        <f t="shared" si="11"/>
        <v>141.2890911</v>
      </c>
      <c r="M50" s="195">
        <f t="shared" si="11"/>
        <v>144.2499272</v>
      </c>
      <c r="N50" s="195">
        <f t="shared" si="11"/>
        <v>146.8877598</v>
      </c>
      <c r="O50" s="195">
        <f t="shared" si="11"/>
        <v>149.9232441</v>
      </c>
      <c r="P50" s="195">
        <f t="shared" si="11"/>
        <v>152.3257131</v>
      </c>
      <c r="Q50" s="195">
        <f t="shared" si="11"/>
        <v>154.3627126</v>
      </c>
      <c r="R50" s="195">
        <f t="shared" si="11"/>
        <v>156.2463239</v>
      </c>
      <c r="S50" s="195">
        <f t="shared" si="11"/>
        <v>158.0121968</v>
      </c>
      <c r="T50" s="195">
        <f t="shared" si="11"/>
        <v>160.8021909</v>
      </c>
      <c r="U50" s="195">
        <f t="shared" si="11"/>
        <v>162.4687182</v>
      </c>
      <c r="V50" s="195">
        <f t="shared" si="11"/>
        <v>163.8198335</v>
      </c>
      <c r="W50" s="195">
        <f t="shared" si="11"/>
        <v>164.289224</v>
      </c>
      <c r="X50" s="195">
        <f t="shared" si="11"/>
        <v>164.5807498</v>
      </c>
      <c r="Y50" s="195">
        <f t="shared" si="11"/>
        <v>164.791549</v>
      </c>
      <c r="Z50" s="195">
        <f t="shared" si="11"/>
        <v>164.7479044</v>
      </c>
      <c r="AA50" s="195">
        <f t="shared" si="11"/>
        <v>164.6632669</v>
      </c>
      <c r="AB50" s="195">
        <f t="shared" si="11"/>
        <v>164.578216</v>
      </c>
      <c r="AC50" s="195">
        <f t="shared" si="11"/>
        <v>164.5306701</v>
      </c>
      <c r="AD50" s="195">
        <f t="shared" si="11"/>
        <v>163.9413653</v>
      </c>
      <c r="AE50" s="195">
        <f t="shared" si="11"/>
        <v>163.3270821</v>
      </c>
      <c r="AF50" s="195">
        <f t="shared" si="11"/>
        <v>163.1085326</v>
      </c>
      <c r="AG50" s="195">
        <f t="shared" si="11"/>
        <v>162.9134971</v>
      </c>
      <c r="AH50" s="195">
        <f t="shared" si="11"/>
        <v>162.3603897</v>
      </c>
      <c r="AI50" s="195">
        <f t="shared" si="11"/>
        <v>162.2272397</v>
      </c>
      <c r="AJ50" s="195">
        <f t="shared" si="11"/>
        <v>162.4023681</v>
      </c>
      <c r="AK50" s="195">
        <f t="shared" si="11"/>
        <v>162.4913868</v>
      </c>
      <c r="AL50" s="195">
        <f t="shared" si="11"/>
        <v>163.1229697</v>
      </c>
      <c r="AM50" s="195">
        <f t="shared" si="11"/>
        <v>164.167067</v>
      </c>
      <c r="AN50" s="195">
        <f t="shared" si="11"/>
        <v>165.4676176</v>
      </c>
      <c r="AO50" s="195">
        <f t="shared" si="11"/>
        <v>165.447035</v>
      </c>
      <c r="AP50" s="195">
        <f t="shared" si="11"/>
        <v>165.6173585</v>
      </c>
      <c r="AQ50" s="196"/>
      <c r="AR50" s="196"/>
      <c r="AS50" s="196"/>
      <c r="AT50" s="196"/>
    </row>
    <row r="51" ht="15.75" customHeight="1">
      <c r="A51" s="199" t="str">
        <f>A45</f>
        <v>Floresta Plantada</v>
      </c>
      <c r="B51" s="195">
        <f t="shared" ref="B51:AP51" si="12">B45/1000000</f>
        <v>1.875445426</v>
      </c>
      <c r="C51" s="195">
        <f t="shared" si="12"/>
        <v>2.093490955</v>
      </c>
      <c r="D51" s="195">
        <f t="shared" si="12"/>
        <v>2.292123632</v>
      </c>
      <c r="E51" s="195">
        <f t="shared" si="12"/>
        <v>2.686127936</v>
      </c>
      <c r="F51" s="195">
        <f t="shared" si="12"/>
        <v>2.841222109</v>
      </c>
      <c r="G51" s="195">
        <f t="shared" si="12"/>
        <v>2.968526764</v>
      </c>
      <c r="H51" s="195">
        <f t="shared" si="12"/>
        <v>3.198293089</v>
      </c>
      <c r="I51" s="195">
        <f t="shared" si="12"/>
        <v>3.340737596</v>
      </c>
      <c r="J51" s="195">
        <f t="shared" si="12"/>
        <v>3.475692252</v>
      </c>
      <c r="K51" s="195">
        <f t="shared" si="12"/>
        <v>3.618773925</v>
      </c>
      <c r="L51" s="195">
        <f t="shared" si="12"/>
        <v>3.711008042</v>
      </c>
      <c r="M51" s="195">
        <f t="shared" si="12"/>
        <v>3.771437965</v>
      </c>
      <c r="N51" s="195">
        <f t="shared" si="12"/>
        <v>3.895290249</v>
      </c>
      <c r="O51" s="195">
        <f t="shared" si="12"/>
        <v>3.953811581</v>
      </c>
      <c r="P51" s="195">
        <f t="shared" si="12"/>
        <v>4.025340913</v>
      </c>
      <c r="Q51" s="195">
        <f t="shared" si="12"/>
        <v>4.115149672</v>
      </c>
      <c r="R51" s="195">
        <f t="shared" si="12"/>
        <v>4.162429493</v>
      </c>
      <c r="S51" s="195">
        <f t="shared" si="12"/>
        <v>4.241782658</v>
      </c>
      <c r="T51" s="195">
        <f t="shared" si="12"/>
        <v>4.344247343</v>
      </c>
      <c r="U51" s="195">
        <f t="shared" si="12"/>
        <v>4.507484601</v>
      </c>
      <c r="V51" s="195">
        <f t="shared" si="12"/>
        <v>4.729222579</v>
      </c>
      <c r="W51" s="195">
        <f t="shared" si="12"/>
        <v>4.966834003</v>
      </c>
      <c r="X51" s="195">
        <f t="shared" si="12"/>
        <v>5.255548049</v>
      </c>
      <c r="Y51" s="195">
        <f t="shared" si="12"/>
        <v>5.620722117</v>
      </c>
      <c r="Z51" s="195">
        <f t="shared" si="12"/>
        <v>6.091818751</v>
      </c>
      <c r="AA51" s="195">
        <f t="shared" si="12"/>
        <v>6.564545072</v>
      </c>
      <c r="AB51" s="195">
        <f t="shared" si="12"/>
        <v>6.959974822</v>
      </c>
      <c r="AC51" s="195">
        <f t="shared" si="12"/>
        <v>7.43050105</v>
      </c>
      <c r="AD51" s="195">
        <f t="shared" si="12"/>
        <v>8.022024437</v>
      </c>
      <c r="AE51" s="195">
        <f t="shared" si="12"/>
        <v>8.335070697</v>
      </c>
      <c r="AF51" s="195">
        <f t="shared" si="12"/>
        <v>8.604314703</v>
      </c>
      <c r="AG51" s="195">
        <f t="shared" si="12"/>
        <v>8.778903362</v>
      </c>
      <c r="AH51" s="195">
        <f t="shared" si="12"/>
        <v>8.939636646</v>
      </c>
      <c r="AI51" s="195">
        <f t="shared" si="12"/>
        <v>9.075739925</v>
      </c>
      <c r="AJ51" s="195">
        <f t="shared" si="12"/>
        <v>9.255749111</v>
      </c>
      <c r="AK51" s="195">
        <f t="shared" si="12"/>
        <v>9.416319395</v>
      </c>
      <c r="AL51" s="195">
        <f t="shared" si="12"/>
        <v>9.590058484</v>
      </c>
      <c r="AM51" s="195">
        <f t="shared" si="12"/>
        <v>9.704706923</v>
      </c>
      <c r="AN51" s="195">
        <f t="shared" si="12"/>
        <v>9.799791156</v>
      </c>
      <c r="AO51" s="195">
        <f t="shared" si="12"/>
        <v>9.899074274</v>
      </c>
      <c r="AP51" s="195">
        <f t="shared" si="12"/>
        <v>9.875749946</v>
      </c>
      <c r="AQ51" s="196"/>
      <c r="AR51" s="196"/>
      <c r="AS51" s="196"/>
      <c r="AT51" s="196"/>
    </row>
    <row r="52" ht="15.75" customHeight="1">
      <c r="B52" s="200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4"/>
    </row>
    <row r="53" ht="15.75" customHeight="1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Q53" s="4"/>
    </row>
    <row r="54" ht="15.75" customHeight="1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Q54" s="4"/>
    </row>
    <row r="55" ht="15.75" customHeight="1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Q55" s="4"/>
    </row>
    <row r="56" ht="15.75" customHeight="1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Q56" s="4"/>
    </row>
    <row r="57" ht="15.75" customHeight="1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Q57" s="4"/>
    </row>
    <row r="58" ht="15.75" customHeight="1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Q58" s="4"/>
    </row>
    <row r="59" ht="15.75" customHeight="1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Q59" s="4"/>
    </row>
    <row r="60" ht="15.75" customHeight="1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Q60" s="4"/>
    </row>
    <row r="61" ht="15.75" customHeight="1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Q61" s="4"/>
    </row>
    <row r="62" ht="15.75" customHeight="1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Q62" s="4"/>
    </row>
    <row r="63" ht="15.75" customHeight="1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Q63" s="4"/>
    </row>
    <row r="64" ht="15.75" customHeight="1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Q64" s="4"/>
    </row>
    <row r="65" ht="15.75" customHeight="1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Q65" s="4"/>
    </row>
    <row r="66" ht="15.75" customHeight="1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Q66" s="4"/>
    </row>
    <row r="67" ht="15.75" customHeight="1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Q67" s="4"/>
    </row>
    <row r="68" ht="15.75" customHeight="1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Q68" s="4"/>
    </row>
    <row r="69" ht="15.75" customHeight="1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Q69" s="4"/>
    </row>
    <row r="70" ht="15.75" customHeight="1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Q70" s="4"/>
    </row>
    <row r="71" ht="15.75" customHeight="1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Q71" s="4"/>
    </row>
    <row r="72" ht="15.75" customHeight="1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Q72" s="4"/>
    </row>
    <row r="73" ht="15.75" customHeight="1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Q73" s="4"/>
    </row>
    <row r="74" ht="15.75" customHeight="1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Q74" s="4"/>
    </row>
    <row r="75" ht="15.75" customHeight="1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Q75" s="4"/>
    </row>
    <row r="76" ht="15.75" customHeight="1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Q76" s="4"/>
    </row>
    <row r="77" ht="15.75" customHeight="1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Q77" s="4"/>
    </row>
    <row r="78" ht="15.75" customHeight="1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Q78" s="4"/>
    </row>
    <row r="79" ht="15.75" customHeight="1"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Q79" s="4"/>
    </row>
    <row r="80" ht="15.75" customHeight="1"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Q80" s="4"/>
    </row>
    <row r="81" ht="15.75" customHeight="1"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Q81" s="4"/>
    </row>
    <row r="82" ht="15.75" customHeight="1"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Q82" s="4"/>
    </row>
    <row r="83" ht="15.75" customHeight="1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Q83" s="4"/>
    </row>
    <row r="84" ht="15.75" customHeight="1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Q84" s="4"/>
    </row>
    <row r="85" ht="15.75" customHeight="1"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Q85" s="4"/>
    </row>
    <row r="86" ht="15.75" customHeight="1"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Q86" s="4"/>
    </row>
    <row r="87" ht="15.75" customHeight="1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Q87" s="4"/>
    </row>
    <row r="88" ht="15.75" customHeight="1"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Q88" s="4"/>
    </row>
    <row r="89" ht="15.75" customHeight="1"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Q89" s="4"/>
    </row>
    <row r="90" ht="15.75" customHeight="1"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Q90" s="4"/>
    </row>
    <row r="91" ht="15.75" customHeight="1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Q91" s="4"/>
    </row>
    <row r="92" ht="15.75" customHeight="1"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Q92" s="4"/>
    </row>
    <row r="93" ht="15.75" customHeight="1"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Q93" s="4"/>
    </row>
    <row r="94" ht="15.75" customHeight="1"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Q94" s="4"/>
    </row>
    <row r="95" ht="15.75" customHeight="1"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Q95" s="4"/>
    </row>
    <row r="96" ht="15.75" customHeight="1"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Q96" s="4"/>
    </row>
    <row r="97" ht="15.75" customHeight="1"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Q97" s="4"/>
    </row>
    <row r="98" ht="15.75" customHeight="1"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Q98" s="4"/>
    </row>
    <row r="99" ht="15.75" customHeight="1"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Q99" s="4"/>
    </row>
    <row r="100" ht="15.75" customHeight="1"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Q100" s="4"/>
    </row>
    <row r="101" ht="15.75" customHeight="1"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Q101" s="4"/>
    </row>
    <row r="102" ht="15.7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Q102" s="4"/>
    </row>
    <row r="103" ht="15.75" customHeight="1"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Q103" s="4"/>
    </row>
    <row r="104" ht="15.75" customHeight="1"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Q104" s="4"/>
    </row>
    <row r="105" ht="15.75" customHeight="1"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Q105" s="4"/>
    </row>
    <row r="106" ht="15.75" customHeight="1"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Q106" s="4"/>
    </row>
    <row r="107" ht="15.75" customHeight="1"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Q107" s="4"/>
    </row>
    <row r="108" ht="15.75" customHeight="1"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Q108" s="4"/>
    </row>
    <row r="109" ht="15.75" customHeight="1"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Q109" s="4"/>
    </row>
    <row r="110" ht="15.75" customHeight="1"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Q110" s="4"/>
    </row>
    <row r="111" ht="15.75" customHeight="1"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Q111" s="4"/>
    </row>
    <row r="112" ht="15.75" customHeight="1"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Q112" s="4"/>
    </row>
    <row r="113" ht="15.75" customHeight="1"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Q113" s="4"/>
    </row>
    <row r="114" ht="15.75" customHeight="1"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Q114" s="4"/>
    </row>
    <row r="115" ht="15.75" customHeight="1"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Q115" s="4"/>
    </row>
    <row r="116" ht="15.75" customHeight="1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Q116" s="4"/>
    </row>
    <row r="117" ht="15.75" customHeight="1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Q117" s="4"/>
    </row>
    <row r="118" ht="15.75" customHeight="1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Q118" s="4"/>
    </row>
    <row r="119" ht="15.7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Q119" s="4"/>
    </row>
    <row r="120" ht="15.75" customHeight="1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Q120" s="4"/>
    </row>
    <row r="121" ht="15.75" customHeight="1"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Q121" s="4"/>
    </row>
    <row r="122" ht="15.75" customHeight="1"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Q122" s="4"/>
    </row>
    <row r="123" ht="15.75" customHeight="1"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Q123" s="4"/>
    </row>
    <row r="124" ht="15.75" customHeight="1"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Q124" s="4"/>
    </row>
    <row r="125" ht="15.75" customHeight="1"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Q125" s="4"/>
    </row>
    <row r="126" ht="15.75" customHeight="1"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Q126" s="4"/>
    </row>
    <row r="127" ht="15.75" customHeight="1"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Q127" s="4"/>
    </row>
    <row r="128" ht="15.75" customHeight="1"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Q128" s="4"/>
    </row>
    <row r="129" ht="15.75" customHeight="1"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Q129" s="4"/>
    </row>
    <row r="130" ht="15.75" customHeight="1"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Q130" s="4"/>
    </row>
    <row r="131" ht="15.75" customHeight="1"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Q131" s="4"/>
    </row>
    <row r="132" ht="15.75" customHeight="1"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Q132" s="4"/>
    </row>
    <row r="133" ht="15.75" customHeight="1"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Q133" s="4"/>
    </row>
    <row r="134" ht="15.75" customHeight="1"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Q134" s="4"/>
    </row>
    <row r="135" ht="15.75" customHeight="1"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Q135" s="4"/>
    </row>
    <row r="136" ht="15.75" customHeight="1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Q136" s="4"/>
    </row>
    <row r="137" ht="15.75" customHeight="1"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Q137" s="4"/>
    </row>
    <row r="138" ht="15.75" customHeight="1"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Q138" s="4"/>
    </row>
    <row r="139" ht="15.75" customHeight="1"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Q139" s="4"/>
    </row>
    <row r="140" ht="15.75" customHeight="1"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Q140" s="4"/>
    </row>
    <row r="141" ht="15.75" customHeight="1"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Q141" s="4"/>
    </row>
    <row r="142" ht="15.75" customHeight="1"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Q142" s="4"/>
    </row>
    <row r="143" ht="15.75" customHeight="1"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Q143" s="4"/>
    </row>
    <row r="144" ht="15.75" customHeight="1"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Q144" s="4"/>
    </row>
    <row r="145" ht="15.75" customHeight="1"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Q145" s="4"/>
    </row>
    <row r="146" ht="15.75" customHeight="1"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Q146" s="4"/>
    </row>
    <row r="147" ht="15.75" customHeight="1"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Q147" s="4"/>
    </row>
    <row r="148" ht="15.75" customHeight="1"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Q148" s="4"/>
    </row>
    <row r="149" ht="15.75" customHeight="1"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Q149" s="4"/>
    </row>
    <row r="150" ht="15.75" customHeight="1"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Q150" s="4"/>
    </row>
    <row r="151" ht="15.75" customHeight="1"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Q151" s="4"/>
    </row>
    <row r="152" ht="15.75" customHeight="1"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Q152" s="4"/>
    </row>
    <row r="153" ht="15.75" customHeight="1"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Q153" s="4"/>
    </row>
    <row r="154" ht="15.75" customHeight="1"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Q154" s="4"/>
    </row>
    <row r="155" ht="15.75" customHeight="1"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Q155" s="4"/>
    </row>
    <row r="156" ht="15.75" customHeight="1"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Q156" s="4"/>
    </row>
    <row r="157" ht="15.75" customHeight="1"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Q157" s="4"/>
    </row>
    <row r="158" ht="15.75" customHeight="1"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Q158" s="4"/>
    </row>
    <row r="159" ht="15.75" customHeight="1"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Q159" s="4"/>
    </row>
    <row r="160" ht="15.75" customHeight="1"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Q160" s="4"/>
    </row>
    <row r="161" ht="15.75" customHeight="1"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Q161" s="4"/>
    </row>
    <row r="162" ht="15.75" customHeight="1"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Q162" s="4"/>
    </row>
    <row r="163" ht="15.75" customHeight="1"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Q163" s="4"/>
    </row>
    <row r="164" ht="15.75" customHeight="1"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Q164" s="4"/>
    </row>
    <row r="165" ht="15.75" customHeight="1"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Q165" s="4"/>
    </row>
    <row r="166" ht="15.75" customHeight="1"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Q166" s="4"/>
    </row>
    <row r="167" ht="15.75" customHeight="1"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Q167" s="4"/>
    </row>
    <row r="168" ht="15.75" customHeight="1"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Q168" s="4"/>
    </row>
    <row r="169" ht="15.75" customHeight="1"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Q169" s="4"/>
    </row>
    <row r="170" ht="15.75" customHeight="1"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Q170" s="4"/>
    </row>
    <row r="171" ht="15.75" customHeight="1"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Q171" s="4"/>
    </row>
    <row r="172" ht="15.75" customHeight="1"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Q172" s="4"/>
    </row>
    <row r="173" ht="15.75" customHeight="1"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Q173" s="4"/>
    </row>
    <row r="174" ht="15.75" customHeight="1"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Q174" s="4"/>
    </row>
    <row r="175" ht="15.75" customHeight="1"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Q175" s="4"/>
    </row>
    <row r="176" ht="15.75" customHeight="1"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Q176" s="4"/>
    </row>
    <row r="177" ht="15.75" customHeight="1"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Q177" s="4"/>
    </row>
    <row r="178" ht="15.75" customHeight="1"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Q178" s="4"/>
    </row>
    <row r="179" ht="15.75" customHeight="1"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Q179" s="4"/>
    </row>
    <row r="180" ht="15.75" customHeight="1"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Q180" s="4"/>
    </row>
    <row r="181" ht="15.75" customHeight="1"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Q181" s="4"/>
    </row>
    <row r="182" ht="15.75" customHeight="1"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Q182" s="4"/>
    </row>
    <row r="183" ht="15.75" customHeight="1"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Q183" s="4"/>
    </row>
    <row r="184" ht="15.75" customHeight="1"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Q184" s="4"/>
    </row>
    <row r="185" ht="15.75" customHeight="1"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Q185" s="4"/>
    </row>
    <row r="186" ht="15.75" customHeight="1"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Q186" s="4"/>
    </row>
    <row r="187" ht="15.75" customHeight="1"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Q187" s="4"/>
    </row>
    <row r="188" ht="15.75" customHeight="1"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Q188" s="4"/>
    </row>
    <row r="189" ht="15.75" customHeight="1"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Q189" s="4"/>
    </row>
    <row r="190" ht="15.75" customHeight="1"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Q190" s="4"/>
    </row>
    <row r="191" ht="15.75" customHeight="1"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Q191" s="4"/>
    </row>
    <row r="192" ht="15.75" customHeight="1"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Q192" s="4"/>
    </row>
    <row r="193" ht="15.75" customHeight="1"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Q193" s="4"/>
    </row>
    <row r="194" ht="15.75" customHeight="1"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Q194" s="4"/>
    </row>
    <row r="195" ht="15.75" customHeight="1"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Q195" s="4"/>
    </row>
    <row r="196" ht="15.75" customHeight="1"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Q196" s="4"/>
    </row>
    <row r="197" ht="15.75" customHeight="1"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Q197" s="4"/>
    </row>
    <row r="198" ht="15.75" customHeight="1"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Q198" s="4"/>
    </row>
    <row r="199" ht="15.75" customHeight="1"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Q199" s="4"/>
    </row>
    <row r="200" ht="15.75" customHeight="1"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Q200" s="4"/>
    </row>
    <row r="201" ht="15.75" customHeight="1"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Q201" s="4"/>
    </row>
    <row r="202" ht="15.75" customHeight="1"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Q202" s="4"/>
    </row>
    <row r="203" ht="15.75" customHeight="1"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Q203" s="4"/>
    </row>
    <row r="204" ht="15.75" customHeight="1"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Q204" s="4"/>
    </row>
    <row r="205" ht="15.75" customHeight="1"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Q205" s="4"/>
    </row>
    <row r="206" ht="15.75" customHeight="1"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Q206" s="4"/>
    </row>
    <row r="207" ht="15.75" customHeight="1"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Q207" s="4"/>
    </row>
    <row r="208" ht="15.75" customHeight="1"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Q208" s="4"/>
    </row>
    <row r="209" ht="15.75" customHeight="1"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Q209" s="4"/>
    </row>
    <row r="210" ht="15.75" customHeight="1"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Q210" s="4"/>
    </row>
    <row r="211" ht="15.75" customHeight="1"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Q211" s="4"/>
    </row>
    <row r="212" ht="15.75" customHeight="1"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Q212" s="4"/>
    </row>
    <row r="213" ht="15.75" customHeight="1"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Q213" s="4"/>
    </row>
    <row r="214" ht="15.75" customHeight="1"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Q214" s="4"/>
    </row>
    <row r="215" ht="15.75" customHeight="1"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Q215" s="4"/>
    </row>
    <row r="216" ht="15.75" customHeight="1"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Q216" s="4"/>
    </row>
    <row r="217" ht="15.75" customHeight="1"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Q217" s="4"/>
    </row>
    <row r="218" ht="15.75" customHeight="1"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Q218" s="4"/>
    </row>
    <row r="219" ht="15.75" customHeight="1"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Q219" s="4"/>
    </row>
    <row r="220" ht="15.75" customHeight="1"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Q220" s="4"/>
    </row>
    <row r="221" ht="15.75" customHeight="1"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Q221" s="4"/>
    </row>
    <row r="222" ht="15.75" customHeight="1"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Q222" s="4"/>
    </row>
    <row r="223" ht="15.75" customHeight="1"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Q223" s="4"/>
    </row>
    <row r="224" ht="15.75" customHeight="1"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Q224" s="4"/>
    </row>
    <row r="225" ht="15.75" customHeight="1"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Q225" s="4"/>
    </row>
    <row r="226" ht="15.75" customHeight="1"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Q226" s="4"/>
    </row>
    <row r="227" ht="15.75" customHeight="1"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Q227" s="4"/>
    </row>
    <row r="228" ht="15.75" customHeight="1"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Q228" s="4"/>
    </row>
    <row r="229" ht="15.75" customHeight="1"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Q229" s="4"/>
    </row>
    <row r="230" ht="15.75" customHeight="1"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Q230" s="4"/>
    </row>
    <row r="231" ht="15.75" customHeight="1"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Q231" s="4"/>
    </row>
    <row r="232" ht="15.75" customHeight="1"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Q232" s="4"/>
    </row>
    <row r="233" ht="15.75" customHeight="1"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Q233" s="4"/>
    </row>
    <row r="234" ht="15.75" customHeight="1"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Q234" s="4"/>
    </row>
    <row r="235" ht="15.75" customHeight="1"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Q235" s="4"/>
    </row>
    <row r="236" ht="15.75" customHeight="1"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Q236" s="4"/>
    </row>
    <row r="237" ht="15.75" customHeight="1"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Q237" s="4"/>
    </row>
    <row r="238" ht="15.75" customHeight="1"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Q238" s="4"/>
    </row>
    <row r="239" ht="15.75" customHeight="1"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Q239" s="4"/>
    </row>
    <row r="240" ht="15.75" customHeight="1"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Q240" s="4"/>
    </row>
    <row r="241" ht="15.75" customHeight="1"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Q241" s="4"/>
    </row>
    <row r="242" ht="15.75" customHeight="1"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Q242" s="4"/>
    </row>
    <row r="243" ht="15.75" customHeight="1"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Q243" s="4"/>
    </row>
    <row r="244" ht="15.75" customHeight="1"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Q244" s="4"/>
    </row>
    <row r="245" ht="15.75" customHeight="1"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Q245" s="4"/>
    </row>
    <row r="246" ht="15.75" customHeight="1"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Q246" s="4"/>
    </row>
    <row r="247" ht="15.75" customHeight="1"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Q247" s="4"/>
    </row>
    <row r="248" ht="15.75" customHeight="1"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Q248" s="4"/>
    </row>
    <row r="249" ht="15.75" customHeight="1"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Q249" s="4"/>
    </row>
    <row r="250" ht="15.75" customHeight="1"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Q250" s="4"/>
    </row>
    <row r="251" ht="15.75" customHeight="1"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Q251" s="4"/>
    </row>
    <row r="252" ht="15.75" customHeight="1"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Q252" s="4"/>
    </row>
    <row r="253" ht="15.75" customHeight="1"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Q253" s="4"/>
    </row>
    <row r="254" ht="15.75" customHeight="1"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Q254" s="4"/>
    </row>
    <row r="255" ht="15.75" customHeight="1"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Q255" s="4"/>
    </row>
    <row r="256" ht="15.75" customHeight="1"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Q256" s="4"/>
    </row>
    <row r="257" ht="15.75" customHeight="1"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Q257" s="4"/>
    </row>
    <row r="258" ht="15.75" customHeight="1"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Q258" s="4"/>
    </row>
    <row r="259" ht="15.75" customHeight="1"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Q259" s="4"/>
    </row>
    <row r="260" ht="15.75" customHeight="1"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Q260" s="4"/>
    </row>
    <row r="261" ht="15.75" customHeight="1"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Q261" s="4"/>
    </row>
    <row r="262" ht="15.75" customHeight="1"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Q262" s="4"/>
    </row>
    <row r="263" ht="15.75" customHeight="1"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Q263" s="4"/>
    </row>
    <row r="264" ht="15.75" customHeight="1"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Q264" s="4"/>
    </row>
    <row r="265" ht="15.75" customHeight="1"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Q265" s="4"/>
    </row>
    <row r="266" ht="15.75" customHeight="1"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Q266" s="4"/>
    </row>
    <row r="267" ht="15.75" customHeight="1"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Q267" s="4"/>
    </row>
    <row r="268" ht="15.75" customHeight="1"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Q268" s="4"/>
    </row>
    <row r="269" ht="15.75" customHeight="1"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Q269" s="4"/>
    </row>
    <row r="270" ht="15.75" customHeight="1"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Q270" s="4"/>
    </row>
    <row r="271" ht="15.75" customHeight="1"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Q271" s="4"/>
    </row>
    <row r="272" ht="15.75" customHeight="1"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Q272" s="4"/>
    </row>
    <row r="273" ht="15.75" customHeight="1"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Q273" s="4"/>
    </row>
    <row r="274" ht="15.75" customHeight="1"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Q274" s="4"/>
    </row>
    <row r="275" ht="15.75" customHeight="1"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Q275" s="4"/>
    </row>
    <row r="276" ht="15.75" customHeight="1"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Q276" s="4"/>
    </row>
    <row r="277" ht="15.75" customHeight="1"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Q277" s="4"/>
    </row>
    <row r="278" ht="15.75" customHeight="1"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Q278" s="4"/>
    </row>
    <row r="279" ht="15.75" customHeight="1"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Q279" s="4"/>
    </row>
    <row r="280" ht="15.75" customHeight="1"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Q280" s="4"/>
    </row>
    <row r="281" ht="15.75" customHeight="1"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Q281" s="4"/>
    </row>
    <row r="282" ht="15.75" customHeight="1"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Q282" s="4"/>
    </row>
    <row r="283" ht="15.75" customHeight="1"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Q283" s="4"/>
    </row>
    <row r="284" ht="15.75" customHeight="1"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Q284" s="4"/>
    </row>
    <row r="285" ht="15.75" customHeight="1"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Q285" s="4"/>
    </row>
    <row r="286" ht="15.75" customHeight="1"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Q286" s="4"/>
    </row>
    <row r="287" ht="15.75" customHeight="1"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Q287" s="4"/>
    </row>
    <row r="288" ht="15.75" customHeight="1"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Q288" s="4"/>
    </row>
    <row r="289" ht="15.75" customHeight="1"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Q289" s="4"/>
    </row>
    <row r="290" ht="15.75" customHeight="1"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Q290" s="4"/>
    </row>
    <row r="291" ht="15.75" customHeight="1"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Q291" s="4"/>
    </row>
    <row r="292" ht="15.75" customHeight="1"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Q292" s="4"/>
    </row>
    <row r="293" ht="15.75" customHeight="1"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Q293" s="4"/>
    </row>
    <row r="294" ht="15.75" customHeight="1"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Q294" s="4"/>
    </row>
    <row r="295" ht="15.75" customHeight="1"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Q295" s="4"/>
    </row>
    <row r="296" ht="15.75" customHeight="1"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Q296" s="4"/>
    </row>
    <row r="297" ht="15.75" customHeight="1"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Q297" s="4"/>
    </row>
    <row r="298" ht="15.75" customHeight="1"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Q298" s="4"/>
    </row>
    <row r="299" ht="15.75" customHeight="1"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Q299" s="4"/>
    </row>
    <row r="300" ht="15.75" customHeight="1"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Q300" s="4"/>
    </row>
    <row r="301" ht="15.75" customHeight="1"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Q301" s="4"/>
    </row>
    <row r="302" ht="15.75" customHeight="1"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Q302" s="4"/>
    </row>
    <row r="303" ht="15.75" customHeight="1"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Q303" s="4"/>
    </row>
    <row r="304" ht="15.75" customHeight="1"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Q304" s="4"/>
    </row>
    <row r="305" ht="15.75" customHeight="1"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Q305" s="4"/>
    </row>
    <row r="306" ht="15.75" customHeight="1"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Q306" s="4"/>
    </row>
    <row r="307" ht="15.75" customHeight="1"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Q307" s="4"/>
    </row>
    <row r="308" ht="15.75" customHeight="1"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Q308" s="4"/>
    </row>
    <row r="309" ht="15.75" customHeight="1"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Q309" s="4"/>
    </row>
    <row r="310" ht="15.75" customHeight="1"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Q310" s="4"/>
    </row>
    <row r="311" ht="15.75" customHeight="1"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Q311" s="4"/>
    </row>
    <row r="312" ht="15.75" customHeight="1"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Q312" s="4"/>
    </row>
    <row r="313" ht="15.75" customHeight="1"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Q313" s="4"/>
    </row>
    <row r="314" ht="15.75" customHeight="1"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Q314" s="4"/>
    </row>
    <row r="315" ht="15.75" customHeight="1"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Q315" s="4"/>
    </row>
    <row r="316" ht="15.75" customHeight="1"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Q316" s="4"/>
    </row>
    <row r="317" ht="15.75" customHeight="1"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Q317" s="4"/>
    </row>
    <row r="318" ht="15.75" customHeight="1"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Q318" s="4"/>
    </row>
    <row r="319" ht="15.75" customHeight="1"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Q319" s="4"/>
    </row>
    <row r="320" ht="15.75" customHeight="1"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Q320" s="4"/>
    </row>
    <row r="321" ht="15.75" customHeight="1"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Q321" s="4"/>
    </row>
    <row r="322" ht="15.75" customHeight="1"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Q322" s="4"/>
    </row>
    <row r="323" ht="15.75" customHeight="1"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Q323" s="4"/>
    </row>
    <row r="324" ht="15.75" customHeight="1"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Q324" s="4"/>
    </row>
    <row r="325" ht="15.75" customHeight="1"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Q325" s="4"/>
    </row>
    <row r="326" ht="15.75" customHeight="1"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Q326" s="4"/>
    </row>
    <row r="327" ht="15.75" customHeight="1"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Q327" s="4"/>
    </row>
    <row r="328" ht="15.75" customHeight="1"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Q328" s="4"/>
    </row>
    <row r="329" ht="15.75" customHeight="1"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Q329" s="4"/>
    </row>
    <row r="330" ht="15.75" customHeight="1"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Q330" s="4"/>
    </row>
    <row r="331" ht="15.75" customHeight="1"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Q331" s="4"/>
    </row>
    <row r="332" ht="15.75" customHeight="1"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Q332" s="4"/>
    </row>
    <row r="333" ht="15.75" customHeight="1"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Q333" s="4"/>
    </row>
    <row r="334" ht="15.75" customHeight="1"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Q334" s="4"/>
    </row>
    <row r="335" ht="15.75" customHeight="1"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Q335" s="4"/>
    </row>
    <row r="336" ht="15.75" customHeight="1"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Q336" s="4"/>
    </row>
    <row r="337" ht="15.75" customHeight="1"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Q337" s="4"/>
    </row>
    <row r="338" ht="15.75" customHeight="1"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Q338" s="4"/>
    </row>
    <row r="339" ht="15.75" customHeight="1"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Q339" s="4"/>
    </row>
    <row r="340" ht="15.75" customHeight="1"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Q340" s="4"/>
    </row>
    <row r="341" ht="15.75" customHeight="1"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Q341" s="4"/>
    </row>
    <row r="342" ht="15.75" customHeight="1"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Q342" s="4"/>
    </row>
    <row r="343" ht="15.75" customHeight="1"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Q343" s="4"/>
    </row>
    <row r="344" ht="15.75" customHeight="1"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Q344" s="4"/>
    </row>
    <row r="345" ht="15.75" customHeight="1"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Q345" s="4"/>
    </row>
    <row r="346" ht="15.75" customHeight="1"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Q346" s="4"/>
    </row>
    <row r="347" ht="15.75" customHeight="1"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Q347" s="4"/>
    </row>
    <row r="348" ht="15.75" customHeight="1"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Q348" s="4"/>
    </row>
    <row r="349" ht="15.75" customHeight="1"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Q349" s="4"/>
    </row>
    <row r="350" ht="15.75" customHeight="1"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Q350" s="4"/>
    </row>
    <row r="351" ht="15.75" customHeight="1"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Q351" s="4"/>
    </row>
    <row r="352" ht="15.75" customHeight="1"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Q352" s="4"/>
    </row>
    <row r="353" ht="15.75" customHeight="1"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Q353" s="4"/>
    </row>
    <row r="354" ht="15.75" customHeight="1"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Q354" s="4"/>
    </row>
    <row r="355" ht="15.75" customHeight="1"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Q355" s="4"/>
    </row>
    <row r="356" ht="15.75" customHeight="1"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Q356" s="4"/>
    </row>
    <row r="357" ht="15.75" customHeight="1"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Q357" s="4"/>
    </row>
    <row r="358" ht="15.75" customHeight="1"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Q358" s="4"/>
    </row>
    <row r="359" ht="15.75" customHeight="1"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Q359" s="4"/>
    </row>
    <row r="360" ht="15.75" customHeight="1"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Q360" s="4"/>
    </row>
    <row r="361" ht="15.75" customHeight="1"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Q361" s="4"/>
    </row>
    <row r="362" ht="15.75" customHeight="1"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Q362" s="4"/>
    </row>
    <row r="363" ht="15.75" customHeight="1"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Q363" s="4"/>
    </row>
    <row r="364" ht="15.75" customHeight="1"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Q364" s="4"/>
    </row>
    <row r="365" ht="15.75" customHeight="1"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Q365" s="4"/>
    </row>
    <row r="366" ht="15.75" customHeight="1"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Q366" s="4"/>
    </row>
    <row r="367" ht="15.75" customHeight="1"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Q367" s="4"/>
    </row>
    <row r="368" ht="15.75" customHeight="1"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Q368" s="4"/>
    </row>
    <row r="369" ht="15.75" customHeight="1"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Q369" s="4"/>
    </row>
    <row r="370" ht="15.75" customHeight="1"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Q370" s="4"/>
    </row>
    <row r="371" ht="15.75" customHeight="1"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Q371" s="4"/>
    </row>
    <row r="372" ht="15.75" customHeight="1"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Q372" s="4"/>
    </row>
    <row r="373" ht="15.75" customHeight="1"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Q373" s="4"/>
    </row>
    <row r="374" ht="15.75" customHeight="1"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Q374" s="4"/>
    </row>
    <row r="375" ht="15.75" customHeight="1"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Q375" s="4"/>
    </row>
    <row r="376" ht="15.75" customHeight="1"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Q376" s="4"/>
    </row>
    <row r="377" ht="15.75" customHeight="1"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Q377" s="4"/>
    </row>
    <row r="378" ht="15.75" customHeight="1"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Q378" s="4"/>
    </row>
    <row r="379" ht="15.75" customHeight="1"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Q379" s="4"/>
    </row>
    <row r="380" ht="15.75" customHeight="1"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Q380" s="4"/>
    </row>
    <row r="381" ht="15.75" customHeight="1"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Q381" s="4"/>
    </row>
    <row r="382" ht="15.75" customHeight="1"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Q382" s="4"/>
    </row>
    <row r="383" ht="15.75" customHeight="1"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Q383" s="4"/>
    </row>
    <row r="384" ht="15.75" customHeight="1"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Q384" s="4"/>
    </row>
    <row r="385" ht="15.75" customHeight="1"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Q385" s="4"/>
    </row>
    <row r="386" ht="15.75" customHeight="1"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Q386" s="4"/>
    </row>
    <row r="387" ht="15.75" customHeight="1"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Q387" s="4"/>
    </row>
    <row r="388" ht="15.75" customHeight="1"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Q388" s="4"/>
    </row>
    <row r="389" ht="15.75" customHeight="1"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Q389" s="4"/>
    </row>
    <row r="390" ht="15.75" customHeight="1"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Q390" s="4"/>
    </row>
    <row r="391" ht="15.75" customHeight="1"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Q391" s="4"/>
    </row>
    <row r="392" ht="15.75" customHeight="1"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Q392" s="4"/>
    </row>
    <row r="393" ht="15.75" customHeight="1"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Q393" s="4"/>
    </row>
    <row r="394" ht="15.75" customHeight="1"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Q394" s="4"/>
    </row>
    <row r="395" ht="15.75" customHeight="1"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Q395" s="4"/>
    </row>
    <row r="396" ht="15.75" customHeight="1"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Q396" s="4"/>
    </row>
    <row r="397" ht="15.75" customHeight="1"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Q397" s="4"/>
    </row>
    <row r="398" ht="15.75" customHeight="1"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Q398" s="4"/>
    </row>
    <row r="399" ht="15.75" customHeight="1"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Q399" s="4"/>
    </row>
    <row r="400" ht="15.75" customHeight="1"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Q400" s="4"/>
    </row>
    <row r="401" ht="15.75" customHeight="1"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Q401" s="4"/>
    </row>
    <row r="402" ht="15.75" customHeight="1"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Q402" s="4"/>
    </row>
    <row r="403" ht="15.75" customHeight="1"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Q403" s="4"/>
    </row>
    <row r="404" ht="15.75" customHeight="1"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Q404" s="4"/>
    </row>
    <row r="405" ht="15.75" customHeight="1"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Q405" s="4"/>
    </row>
    <row r="406" ht="15.75" customHeight="1"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Q406" s="4"/>
    </row>
    <row r="407" ht="15.75" customHeight="1"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Q407" s="4"/>
    </row>
    <row r="408" ht="15.75" customHeight="1"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Q408" s="4"/>
    </row>
    <row r="409" ht="15.75" customHeight="1"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Q409" s="4"/>
    </row>
    <row r="410" ht="15.75" customHeight="1"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Q410" s="4"/>
    </row>
    <row r="411" ht="15.75" customHeight="1"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Q411" s="4"/>
    </row>
    <row r="412" ht="15.75" customHeight="1"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Q412" s="4"/>
    </row>
    <row r="413" ht="15.75" customHeight="1"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Q413" s="4"/>
    </row>
    <row r="414" ht="15.75" customHeight="1"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Q414" s="4"/>
    </row>
    <row r="415" ht="15.75" customHeight="1"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Q415" s="4"/>
    </row>
    <row r="416" ht="15.75" customHeight="1"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Q416" s="4"/>
    </row>
    <row r="417" ht="15.75" customHeight="1"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Q417" s="4"/>
    </row>
    <row r="418" ht="15.75" customHeight="1"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Q418" s="4"/>
    </row>
    <row r="419" ht="15.75" customHeight="1"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Q419" s="4"/>
    </row>
    <row r="420" ht="15.75" customHeight="1"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Q420" s="4"/>
    </row>
    <row r="421" ht="15.75" customHeight="1"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Q421" s="4"/>
    </row>
    <row r="422" ht="15.75" customHeight="1"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Q422" s="4"/>
    </row>
    <row r="423" ht="15.75" customHeight="1"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Q423" s="4"/>
    </row>
    <row r="424" ht="15.75" customHeight="1"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Q424" s="4"/>
    </row>
    <row r="425" ht="15.75" customHeight="1"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Q425" s="4"/>
    </row>
    <row r="426" ht="15.75" customHeight="1"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Q426" s="4"/>
    </row>
    <row r="427" ht="15.75" customHeight="1"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Q427" s="4"/>
    </row>
    <row r="428" ht="15.75" customHeight="1"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Q428" s="4"/>
    </row>
    <row r="429" ht="15.75" customHeight="1"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Q429" s="4"/>
    </row>
    <row r="430" ht="15.75" customHeight="1"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Q430" s="4"/>
    </row>
    <row r="431" ht="15.75" customHeight="1"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Q431" s="4"/>
    </row>
    <row r="432" ht="15.75" customHeight="1"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Q432" s="4"/>
    </row>
    <row r="433" ht="15.75" customHeight="1"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Q433" s="4"/>
    </row>
    <row r="434" ht="15.75" customHeight="1"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Q434" s="4"/>
    </row>
    <row r="435" ht="15.75" customHeight="1"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Q435" s="4"/>
    </row>
    <row r="436" ht="15.75" customHeight="1"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Q436" s="4"/>
    </row>
    <row r="437" ht="15.75" customHeight="1"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Q437" s="4"/>
    </row>
    <row r="438" ht="15.75" customHeight="1"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Q438" s="4"/>
    </row>
    <row r="439" ht="15.75" customHeight="1"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Q439" s="4"/>
    </row>
    <row r="440" ht="15.75" customHeight="1"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Q440" s="4"/>
    </row>
    <row r="441" ht="15.75" customHeight="1"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Q441" s="4"/>
    </row>
    <row r="442" ht="15.75" customHeight="1"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Q442" s="4"/>
    </row>
    <row r="443" ht="15.75" customHeight="1"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Q443" s="4"/>
    </row>
    <row r="444" ht="15.75" customHeight="1"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Q444" s="4"/>
    </row>
    <row r="445" ht="15.75" customHeight="1"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Q445" s="4"/>
    </row>
    <row r="446" ht="15.75" customHeight="1"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Q446" s="4"/>
    </row>
    <row r="447" ht="15.75" customHeight="1"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Q447" s="4"/>
    </row>
    <row r="448" ht="15.75" customHeight="1"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Q448" s="4"/>
    </row>
    <row r="449" ht="15.75" customHeight="1"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Q449" s="4"/>
    </row>
    <row r="450" ht="15.75" customHeight="1"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Q450" s="4"/>
    </row>
    <row r="451" ht="15.75" customHeight="1"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Q451" s="4"/>
    </row>
    <row r="452" ht="15.75" customHeight="1"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Q452" s="4"/>
    </row>
    <row r="453" ht="15.75" customHeight="1"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Q453" s="4"/>
    </row>
    <row r="454" ht="15.75" customHeight="1"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Q454" s="4"/>
    </row>
    <row r="455" ht="15.75" customHeight="1"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Q455" s="4"/>
    </row>
    <row r="456" ht="15.75" customHeight="1"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Q456" s="4"/>
    </row>
    <row r="457" ht="15.75" customHeight="1"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Q457" s="4"/>
    </row>
    <row r="458" ht="15.75" customHeight="1"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Q458" s="4"/>
    </row>
    <row r="459" ht="15.75" customHeight="1"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Q459" s="4"/>
    </row>
    <row r="460" ht="15.75" customHeight="1"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Q460" s="4"/>
    </row>
    <row r="461" ht="15.75" customHeight="1"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Q461" s="4"/>
    </row>
    <row r="462" ht="15.75" customHeight="1"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Q462" s="4"/>
    </row>
    <row r="463" ht="15.75" customHeight="1"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Q463" s="4"/>
    </row>
    <row r="464" ht="15.75" customHeight="1"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Q464" s="4"/>
    </row>
    <row r="465" ht="15.75" customHeight="1"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Q465" s="4"/>
    </row>
    <row r="466" ht="15.75" customHeight="1"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Q466" s="4"/>
    </row>
    <row r="467" ht="15.75" customHeight="1"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Q467" s="4"/>
    </row>
    <row r="468" ht="15.75" customHeight="1"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Q468" s="4"/>
    </row>
    <row r="469" ht="15.75" customHeight="1"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Q469" s="4"/>
    </row>
    <row r="470" ht="15.75" customHeight="1"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Q470" s="4"/>
    </row>
    <row r="471" ht="15.75" customHeight="1"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Q471" s="4"/>
    </row>
    <row r="472" ht="15.75" customHeight="1"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Q472" s="4"/>
    </row>
    <row r="473" ht="15.75" customHeight="1"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Q473" s="4"/>
    </row>
    <row r="474" ht="15.75" customHeight="1"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Q474" s="4"/>
    </row>
    <row r="475" ht="15.75" customHeight="1"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Q475" s="4"/>
    </row>
    <row r="476" ht="15.75" customHeight="1"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Q476" s="4"/>
    </row>
    <row r="477" ht="15.75" customHeight="1"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Q477" s="4"/>
    </row>
    <row r="478" ht="15.75" customHeight="1"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Q478" s="4"/>
    </row>
    <row r="479" ht="15.75" customHeight="1"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Q479" s="4"/>
    </row>
    <row r="480" ht="15.75" customHeight="1"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Q480" s="4"/>
    </row>
    <row r="481" ht="15.75" customHeight="1"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Q481" s="4"/>
    </row>
    <row r="482" ht="15.75" customHeight="1"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Q482" s="4"/>
    </row>
    <row r="483" ht="15.75" customHeight="1"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Q483" s="4"/>
    </row>
    <row r="484" ht="15.75" customHeight="1"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Q484" s="4"/>
    </row>
    <row r="485" ht="15.75" customHeight="1"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Q485" s="4"/>
    </row>
    <row r="486" ht="15.75" customHeight="1"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Q486" s="4"/>
    </row>
    <row r="487" ht="15.75" customHeight="1"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Q487" s="4"/>
    </row>
    <row r="488" ht="15.75" customHeight="1"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Q488" s="4"/>
    </row>
    <row r="489" ht="15.75" customHeight="1"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Q489" s="4"/>
    </row>
    <row r="490" ht="15.75" customHeight="1"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Q490" s="4"/>
    </row>
    <row r="491" ht="15.75" customHeight="1"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Q491" s="4"/>
    </row>
    <row r="492" ht="15.75" customHeight="1"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Q492" s="4"/>
    </row>
    <row r="493" ht="15.75" customHeight="1"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Q493" s="4"/>
    </row>
    <row r="494" ht="15.75" customHeight="1"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Q494" s="4"/>
    </row>
    <row r="495" ht="15.75" customHeight="1"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Q495" s="4"/>
    </row>
    <row r="496" ht="15.75" customHeight="1"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Q496" s="4"/>
    </row>
    <row r="497" ht="15.75" customHeight="1"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Q497" s="4"/>
    </row>
    <row r="498" ht="15.75" customHeight="1"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Q498" s="4"/>
    </row>
    <row r="499" ht="15.75" customHeight="1"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Q499" s="4"/>
    </row>
    <row r="500" ht="15.75" customHeight="1"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Q500" s="4"/>
    </row>
    <row r="501" ht="15.75" customHeight="1"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Q501" s="4"/>
    </row>
    <row r="502" ht="15.75" customHeight="1"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Q502" s="4"/>
    </row>
    <row r="503" ht="15.75" customHeight="1"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Q503" s="4"/>
    </row>
    <row r="504" ht="15.75" customHeight="1"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Q504" s="4"/>
    </row>
    <row r="505" ht="15.75" customHeight="1"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Q505" s="4"/>
    </row>
    <row r="506" ht="15.75" customHeight="1"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Q506" s="4"/>
    </row>
    <row r="507" ht="15.75" customHeight="1"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Q507" s="4"/>
    </row>
    <row r="508" ht="15.75" customHeight="1"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Q508" s="4"/>
    </row>
    <row r="509" ht="15.75" customHeight="1"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Q509" s="4"/>
    </row>
    <row r="510" ht="15.75" customHeight="1"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Q510" s="4"/>
    </row>
    <row r="511" ht="15.75" customHeight="1"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Q511" s="4"/>
    </row>
    <row r="512" ht="15.75" customHeight="1"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Q512" s="4"/>
    </row>
    <row r="513" ht="15.75" customHeight="1"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Q513" s="4"/>
    </row>
    <row r="514" ht="15.75" customHeight="1"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Q514" s="4"/>
    </row>
    <row r="515" ht="15.75" customHeight="1"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Q515" s="4"/>
    </row>
    <row r="516" ht="15.75" customHeight="1"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Q516" s="4"/>
    </row>
    <row r="517" ht="15.75" customHeight="1"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Q517" s="4"/>
    </row>
    <row r="518" ht="15.75" customHeight="1"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Q518" s="4"/>
    </row>
    <row r="519" ht="15.75" customHeight="1"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Q519" s="4"/>
    </row>
    <row r="520" ht="15.75" customHeight="1"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Q520" s="4"/>
    </row>
    <row r="521" ht="15.75" customHeight="1"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Q521" s="4"/>
    </row>
    <row r="522" ht="15.75" customHeight="1"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Q522" s="4"/>
    </row>
    <row r="523" ht="15.75" customHeight="1"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Q523" s="4"/>
    </row>
    <row r="524" ht="15.75" customHeight="1"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Q524" s="4"/>
    </row>
    <row r="525" ht="15.75" customHeight="1"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Q525" s="4"/>
    </row>
    <row r="526" ht="15.75" customHeight="1"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Q526" s="4"/>
    </row>
    <row r="527" ht="15.75" customHeight="1"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Q527" s="4"/>
    </row>
    <row r="528" ht="15.75" customHeight="1"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Q528" s="4"/>
    </row>
    <row r="529" ht="15.75" customHeight="1"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Q529" s="4"/>
    </row>
    <row r="530" ht="15.75" customHeight="1"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Q530" s="4"/>
    </row>
    <row r="531" ht="15.75" customHeight="1"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Q531" s="4"/>
    </row>
    <row r="532" ht="15.75" customHeight="1"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Q532" s="4"/>
    </row>
    <row r="533" ht="15.75" customHeight="1"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Q533" s="4"/>
    </row>
    <row r="534" ht="15.75" customHeight="1"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Q534" s="4"/>
    </row>
    <row r="535" ht="15.75" customHeight="1"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Q535" s="4"/>
    </row>
    <row r="536" ht="15.75" customHeight="1"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Q536" s="4"/>
    </row>
    <row r="537" ht="15.75" customHeight="1"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Q537" s="4"/>
    </row>
    <row r="538" ht="15.75" customHeight="1"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Q538" s="4"/>
    </row>
    <row r="539" ht="15.75" customHeight="1"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Q539" s="4"/>
    </row>
    <row r="540" ht="15.75" customHeight="1"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Q540" s="4"/>
    </row>
    <row r="541" ht="15.75" customHeight="1"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Q541" s="4"/>
    </row>
    <row r="542" ht="15.75" customHeight="1"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Q542" s="4"/>
    </row>
    <row r="543" ht="15.75" customHeight="1"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Q543" s="4"/>
    </row>
    <row r="544" ht="15.75" customHeight="1"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Q544" s="4"/>
    </row>
    <row r="545" ht="15.75" customHeight="1"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Q545" s="4"/>
    </row>
    <row r="546" ht="15.75" customHeight="1"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Q546" s="4"/>
    </row>
    <row r="547" ht="15.75" customHeight="1"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Q547" s="4"/>
    </row>
    <row r="548" ht="15.75" customHeight="1"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Q548" s="4"/>
    </row>
    <row r="549" ht="15.75" customHeight="1"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Q549" s="4"/>
    </row>
    <row r="550" ht="15.75" customHeight="1"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Q550" s="4"/>
    </row>
    <row r="551" ht="15.75" customHeight="1"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Q551" s="4"/>
    </row>
    <row r="552" ht="15.75" customHeight="1"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Q552" s="4"/>
    </row>
    <row r="553" ht="15.75" customHeight="1"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Q553" s="4"/>
    </row>
    <row r="554" ht="15.75" customHeight="1"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Q554" s="4"/>
    </row>
    <row r="555" ht="15.75" customHeight="1"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Q555" s="4"/>
    </row>
    <row r="556" ht="15.75" customHeight="1"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Q556" s="4"/>
    </row>
    <row r="557" ht="15.75" customHeight="1"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Q557" s="4"/>
    </row>
    <row r="558" ht="15.75" customHeight="1"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Q558" s="4"/>
    </row>
    <row r="559" ht="15.75" customHeight="1"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Q559" s="4"/>
    </row>
    <row r="560" ht="15.75" customHeight="1"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Q560" s="4"/>
    </row>
    <row r="561" ht="15.75" customHeight="1"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Q561" s="4"/>
    </row>
    <row r="562" ht="15.75" customHeight="1"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Q562" s="4"/>
    </row>
    <row r="563" ht="15.75" customHeight="1"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Q563" s="4"/>
    </row>
    <row r="564" ht="15.75" customHeight="1"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Q564" s="4"/>
    </row>
    <row r="565" ht="15.75" customHeight="1"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Q565" s="4"/>
    </row>
    <row r="566" ht="15.75" customHeight="1"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Q566" s="4"/>
    </row>
    <row r="567" ht="15.75" customHeight="1"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Q567" s="4"/>
    </row>
    <row r="568" ht="15.75" customHeight="1"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Q568" s="4"/>
    </row>
    <row r="569" ht="15.75" customHeight="1"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Q569" s="4"/>
    </row>
    <row r="570" ht="15.75" customHeight="1"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Q570" s="4"/>
    </row>
    <row r="571" ht="15.75" customHeight="1"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Q571" s="4"/>
    </row>
    <row r="572" ht="15.75" customHeight="1"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Q572" s="4"/>
    </row>
    <row r="573" ht="15.75" customHeight="1"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Q573" s="4"/>
    </row>
    <row r="574" ht="15.75" customHeight="1"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Q574" s="4"/>
    </row>
    <row r="575" ht="15.75" customHeight="1"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Q575" s="4"/>
    </row>
    <row r="576" ht="15.75" customHeight="1"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Q576" s="4"/>
    </row>
    <row r="577" ht="15.75" customHeight="1"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Q577" s="4"/>
    </row>
    <row r="578" ht="15.75" customHeight="1"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Q578" s="4"/>
    </row>
    <row r="579" ht="15.75" customHeight="1"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Q579" s="4"/>
    </row>
    <row r="580" ht="15.75" customHeight="1"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Q580" s="4"/>
    </row>
    <row r="581" ht="15.75" customHeight="1"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Q581" s="4"/>
    </row>
    <row r="582" ht="15.75" customHeight="1"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Q582" s="4"/>
    </row>
    <row r="583" ht="15.75" customHeight="1"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Q583" s="4"/>
    </row>
    <row r="584" ht="15.75" customHeight="1"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Q584" s="4"/>
    </row>
    <row r="585" ht="15.75" customHeight="1"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Q585" s="4"/>
    </row>
    <row r="586" ht="15.75" customHeight="1"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Q586" s="4"/>
    </row>
    <row r="587" ht="15.75" customHeight="1"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Q587" s="4"/>
    </row>
    <row r="588" ht="15.75" customHeight="1"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Q588" s="4"/>
    </row>
    <row r="589" ht="15.75" customHeight="1"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Q589" s="4"/>
    </row>
    <row r="590" ht="15.75" customHeight="1"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Q590" s="4"/>
    </row>
    <row r="591" ht="15.75" customHeight="1"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Q591" s="4"/>
    </row>
    <row r="592" ht="15.75" customHeight="1"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Q592" s="4"/>
    </row>
    <row r="593" ht="15.75" customHeight="1"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Q593" s="4"/>
    </row>
    <row r="594" ht="15.75" customHeight="1"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Q594" s="4"/>
    </row>
    <row r="595" ht="15.75" customHeight="1"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Q595" s="4"/>
    </row>
    <row r="596" ht="15.75" customHeight="1"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Q596" s="4"/>
    </row>
    <row r="597" ht="15.75" customHeight="1"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Q597" s="4"/>
    </row>
    <row r="598" ht="15.75" customHeight="1"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Q598" s="4"/>
    </row>
    <row r="599" ht="15.75" customHeight="1"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Q599" s="4"/>
    </row>
    <row r="600" ht="15.75" customHeight="1"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Q600" s="4"/>
    </row>
    <row r="601" ht="15.75" customHeight="1"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Q601" s="4"/>
    </row>
    <row r="602" ht="15.75" customHeight="1"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Q602" s="4"/>
    </row>
    <row r="603" ht="15.75" customHeight="1"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Q603" s="4"/>
    </row>
    <row r="604" ht="15.75" customHeight="1"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Q604" s="4"/>
    </row>
    <row r="605" ht="15.75" customHeight="1"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Q605" s="4"/>
    </row>
    <row r="606" ht="15.75" customHeight="1"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Q606" s="4"/>
    </row>
    <row r="607" ht="15.75" customHeight="1"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Q607" s="4"/>
    </row>
    <row r="608" ht="15.75" customHeight="1"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Q608" s="4"/>
    </row>
    <row r="609" ht="15.75" customHeight="1"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Q609" s="4"/>
    </row>
    <row r="610" ht="15.75" customHeight="1"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Q610" s="4"/>
    </row>
    <row r="611" ht="15.75" customHeight="1"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Q611" s="4"/>
    </row>
    <row r="612" ht="15.75" customHeight="1"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Q612" s="4"/>
    </row>
    <row r="613" ht="15.75" customHeight="1"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Q613" s="4"/>
    </row>
    <row r="614" ht="15.75" customHeight="1"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Q614" s="4"/>
    </row>
    <row r="615" ht="15.75" customHeight="1"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Q615" s="4"/>
    </row>
    <row r="616" ht="15.75" customHeight="1"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Q616" s="4"/>
    </row>
    <row r="617" ht="15.75" customHeight="1"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Q617" s="4"/>
    </row>
    <row r="618" ht="15.75" customHeight="1"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Q618" s="4"/>
    </row>
    <row r="619" ht="15.75" customHeight="1"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Q619" s="4"/>
    </row>
    <row r="620" ht="15.75" customHeight="1"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Q620" s="4"/>
    </row>
    <row r="621" ht="15.75" customHeight="1"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Q621" s="4"/>
    </row>
    <row r="622" ht="15.75" customHeight="1"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Q622" s="4"/>
    </row>
    <row r="623" ht="15.75" customHeight="1"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Q623" s="4"/>
    </row>
    <row r="624" ht="15.75" customHeight="1"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Q624" s="4"/>
    </row>
    <row r="625" ht="15.75" customHeight="1"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Q625" s="4"/>
    </row>
    <row r="626" ht="15.75" customHeight="1"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Q626" s="4"/>
    </row>
    <row r="627" ht="15.75" customHeight="1"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Q627" s="4"/>
    </row>
    <row r="628" ht="15.75" customHeight="1"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Q628" s="4"/>
    </row>
    <row r="629" ht="15.75" customHeight="1"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Q629" s="4"/>
    </row>
    <row r="630" ht="15.75" customHeight="1"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Q630" s="4"/>
    </row>
    <row r="631" ht="15.75" customHeight="1"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Q631" s="4"/>
    </row>
    <row r="632" ht="15.75" customHeight="1"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Q632" s="4"/>
    </row>
    <row r="633" ht="15.75" customHeight="1"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Q633" s="4"/>
    </row>
    <row r="634" ht="15.75" customHeight="1"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Q634" s="4"/>
    </row>
    <row r="635" ht="15.75" customHeight="1"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Q635" s="4"/>
    </row>
    <row r="636" ht="15.75" customHeight="1"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Q636" s="4"/>
    </row>
    <row r="637" ht="15.75" customHeight="1"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Q637" s="4"/>
    </row>
    <row r="638" ht="15.75" customHeight="1"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Q638" s="4"/>
    </row>
    <row r="639" ht="15.75" customHeight="1"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Q639" s="4"/>
    </row>
    <row r="640" ht="15.75" customHeight="1"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Q640" s="4"/>
    </row>
    <row r="641" ht="15.75" customHeight="1"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Q641" s="4"/>
    </row>
    <row r="642" ht="15.75" customHeight="1"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Q642" s="4"/>
    </row>
    <row r="643" ht="15.75" customHeight="1"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Q643" s="4"/>
    </row>
    <row r="644" ht="15.75" customHeight="1"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Q644" s="4"/>
    </row>
    <row r="645" ht="15.75" customHeight="1"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Q645" s="4"/>
    </row>
    <row r="646" ht="15.75" customHeight="1"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Q646" s="4"/>
    </row>
    <row r="647" ht="15.75" customHeight="1"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Q647" s="4"/>
    </row>
    <row r="648" ht="15.75" customHeight="1"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Q648" s="4"/>
    </row>
    <row r="649" ht="15.75" customHeight="1"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Q649" s="4"/>
    </row>
    <row r="650" ht="15.75" customHeight="1"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Q650" s="4"/>
    </row>
    <row r="651" ht="15.75" customHeight="1"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Q651" s="4"/>
    </row>
    <row r="652" ht="15.75" customHeight="1"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Q652" s="4"/>
    </row>
    <row r="653" ht="15.75" customHeight="1"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Q653" s="4"/>
    </row>
    <row r="654" ht="15.75" customHeight="1"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Q654" s="4"/>
    </row>
    <row r="655" ht="15.75" customHeight="1"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Q655" s="4"/>
    </row>
    <row r="656" ht="15.75" customHeight="1"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Q656" s="4"/>
    </row>
    <row r="657" ht="15.75" customHeight="1"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Q657" s="4"/>
    </row>
    <row r="658" ht="15.75" customHeight="1"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Q658" s="4"/>
    </row>
    <row r="659" ht="15.75" customHeight="1"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Q659" s="4"/>
    </row>
    <row r="660" ht="15.75" customHeight="1"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Q660" s="4"/>
    </row>
    <row r="661" ht="15.75" customHeight="1"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Q661" s="4"/>
    </row>
    <row r="662" ht="15.75" customHeight="1"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Q662" s="4"/>
    </row>
    <row r="663" ht="15.75" customHeight="1"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Q663" s="4"/>
    </row>
    <row r="664" ht="15.75" customHeight="1"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Q664" s="4"/>
    </row>
    <row r="665" ht="15.75" customHeight="1"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Q665" s="4"/>
    </row>
    <row r="666" ht="15.75" customHeight="1"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Q666" s="4"/>
    </row>
    <row r="667" ht="15.75" customHeight="1"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Q667" s="4"/>
    </row>
    <row r="668" ht="15.75" customHeight="1"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Q668" s="4"/>
    </row>
    <row r="669" ht="15.75" customHeight="1"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Q669" s="4"/>
    </row>
    <row r="670" ht="15.75" customHeight="1"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Q670" s="4"/>
    </row>
    <row r="671" ht="15.75" customHeight="1"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Q671" s="4"/>
    </row>
    <row r="672" ht="15.75" customHeight="1"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Q672" s="4"/>
    </row>
    <row r="673" ht="15.75" customHeight="1"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Q673" s="4"/>
    </row>
    <row r="674" ht="15.75" customHeight="1"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Q674" s="4"/>
    </row>
    <row r="675" ht="15.75" customHeight="1"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Q675" s="4"/>
    </row>
    <row r="676" ht="15.75" customHeight="1"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Q676" s="4"/>
    </row>
    <row r="677" ht="15.75" customHeight="1"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Q677" s="4"/>
    </row>
    <row r="678" ht="15.75" customHeight="1"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Q678" s="4"/>
    </row>
    <row r="679" ht="15.75" customHeight="1"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Q679" s="4"/>
    </row>
    <row r="680" ht="15.75" customHeight="1"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Q680" s="4"/>
    </row>
    <row r="681" ht="15.75" customHeight="1"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Q681" s="4"/>
    </row>
    <row r="682" ht="15.75" customHeight="1"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Q682" s="4"/>
    </row>
    <row r="683" ht="15.75" customHeight="1"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Q683" s="4"/>
    </row>
    <row r="684" ht="15.75" customHeight="1"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Q684" s="4"/>
    </row>
    <row r="685" ht="15.75" customHeight="1"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Q685" s="4"/>
    </row>
    <row r="686" ht="15.75" customHeight="1"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Q686" s="4"/>
    </row>
    <row r="687" ht="15.75" customHeight="1"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Q687" s="4"/>
    </row>
    <row r="688" ht="15.75" customHeight="1"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Q688" s="4"/>
    </row>
    <row r="689" ht="15.75" customHeight="1"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Q689" s="4"/>
    </row>
    <row r="690" ht="15.75" customHeight="1"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Q690" s="4"/>
    </row>
    <row r="691" ht="15.75" customHeight="1"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Q691" s="4"/>
    </row>
    <row r="692" ht="15.75" customHeight="1"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Q692" s="4"/>
    </row>
    <row r="693" ht="15.75" customHeight="1"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Q693" s="4"/>
    </row>
    <row r="694" ht="15.75" customHeight="1"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Q694" s="4"/>
    </row>
    <row r="695" ht="15.75" customHeight="1"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Q695" s="4"/>
    </row>
    <row r="696" ht="15.75" customHeight="1"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Q696" s="4"/>
    </row>
    <row r="697" ht="15.75" customHeight="1"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Q697" s="4"/>
    </row>
    <row r="698" ht="15.75" customHeight="1"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Q698" s="4"/>
    </row>
    <row r="699" ht="15.75" customHeight="1"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Q699" s="4"/>
    </row>
    <row r="700" ht="15.75" customHeight="1"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Q700" s="4"/>
    </row>
    <row r="701" ht="15.75" customHeight="1"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Q701" s="4"/>
    </row>
    <row r="702" ht="15.75" customHeight="1"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Q702" s="4"/>
    </row>
    <row r="703" ht="15.75" customHeight="1"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Q703" s="4"/>
    </row>
    <row r="704" ht="15.75" customHeight="1"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Q704" s="4"/>
    </row>
    <row r="705" ht="15.75" customHeight="1"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Q705" s="4"/>
    </row>
    <row r="706" ht="15.75" customHeight="1"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Q706" s="4"/>
    </row>
    <row r="707" ht="15.75" customHeight="1"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Q707" s="4"/>
    </row>
    <row r="708" ht="15.75" customHeight="1"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Q708" s="4"/>
    </row>
    <row r="709" ht="15.75" customHeight="1"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Q709" s="4"/>
    </row>
    <row r="710" ht="15.75" customHeight="1"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Q710" s="4"/>
    </row>
    <row r="711" ht="15.75" customHeight="1"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Q711" s="4"/>
    </row>
    <row r="712" ht="15.75" customHeight="1"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Q712" s="4"/>
    </row>
    <row r="713" ht="15.75" customHeight="1"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Q713" s="4"/>
    </row>
    <row r="714" ht="15.75" customHeight="1"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Q714" s="4"/>
    </row>
    <row r="715" ht="15.75" customHeight="1"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Q715" s="4"/>
    </row>
    <row r="716" ht="15.75" customHeight="1"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Q716" s="4"/>
    </row>
    <row r="717" ht="15.75" customHeight="1"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Q717" s="4"/>
    </row>
    <row r="718" ht="15.75" customHeight="1"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Q718" s="4"/>
    </row>
    <row r="719" ht="15.75" customHeight="1"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Q719" s="4"/>
    </row>
    <row r="720" ht="15.75" customHeight="1"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Q720" s="4"/>
    </row>
    <row r="721" ht="15.75" customHeight="1"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Q721" s="4"/>
    </row>
    <row r="722" ht="15.75" customHeight="1"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Q722" s="4"/>
    </row>
    <row r="723" ht="15.75" customHeight="1"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Q723" s="4"/>
    </row>
    <row r="724" ht="15.75" customHeight="1"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Q724" s="4"/>
    </row>
    <row r="725" ht="15.75" customHeight="1"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Q725" s="4"/>
    </row>
    <row r="726" ht="15.75" customHeight="1"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Q726" s="4"/>
    </row>
    <row r="727" ht="15.75" customHeight="1"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Q727" s="4"/>
    </row>
    <row r="728" ht="15.75" customHeight="1"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Q728" s="4"/>
    </row>
    <row r="729" ht="15.75" customHeight="1"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Q729" s="4"/>
    </row>
    <row r="730" ht="15.75" customHeight="1"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Q730" s="4"/>
    </row>
    <row r="731" ht="15.75" customHeight="1"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Q731" s="4"/>
    </row>
    <row r="732" ht="15.75" customHeight="1"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Q732" s="4"/>
    </row>
    <row r="733" ht="15.75" customHeight="1"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Q733" s="4"/>
    </row>
    <row r="734" ht="15.75" customHeight="1"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Q734" s="4"/>
    </row>
    <row r="735" ht="15.75" customHeight="1"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Q735" s="4"/>
    </row>
    <row r="736" ht="15.75" customHeight="1"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Q736" s="4"/>
    </row>
    <row r="737" ht="15.75" customHeight="1"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Q737" s="4"/>
    </row>
    <row r="738" ht="15.75" customHeight="1"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Q738" s="4"/>
    </row>
    <row r="739" ht="15.75" customHeight="1"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Q739" s="4"/>
    </row>
    <row r="740" ht="15.75" customHeight="1"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Q740" s="4"/>
    </row>
    <row r="741" ht="15.75" customHeight="1"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Q741" s="4"/>
    </row>
    <row r="742" ht="15.75" customHeight="1"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Q742" s="4"/>
    </row>
    <row r="743" ht="15.75" customHeight="1"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Q743" s="4"/>
    </row>
    <row r="744" ht="15.75" customHeight="1"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Q744" s="4"/>
    </row>
    <row r="745" ht="15.75" customHeight="1"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Q745" s="4"/>
    </row>
    <row r="746" ht="15.75" customHeight="1"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Q746" s="4"/>
    </row>
    <row r="747" ht="15.75" customHeight="1"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Q747" s="4"/>
    </row>
    <row r="748" ht="15.75" customHeight="1"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Q748" s="4"/>
    </row>
    <row r="749" ht="15.75" customHeight="1"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Q749" s="4"/>
    </row>
    <row r="750" ht="15.75" customHeight="1"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Q750" s="4"/>
    </row>
    <row r="751" ht="15.75" customHeight="1"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Q751" s="4"/>
    </row>
    <row r="752" ht="15.75" customHeight="1"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Q752" s="4"/>
    </row>
    <row r="753" ht="15.75" customHeight="1"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Q753" s="4"/>
    </row>
    <row r="754" ht="15.75" customHeight="1"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Q754" s="4"/>
    </row>
    <row r="755" ht="15.75" customHeight="1"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Q755" s="4"/>
    </row>
    <row r="756" ht="15.75" customHeight="1"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Q756" s="4"/>
    </row>
    <row r="757" ht="15.75" customHeight="1"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Q757" s="4"/>
    </row>
    <row r="758" ht="15.75" customHeight="1"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Q758" s="4"/>
    </row>
    <row r="759" ht="15.75" customHeight="1"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Q759" s="4"/>
    </row>
    <row r="760" ht="15.75" customHeight="1"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Q760" s="4"/>
    </row>
    <row r="761" ht="15.75" customHeight="1"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Q761" s="4"/>
    </row>
    <row r="762" ht="15.75" customHeight="1"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Q762" s="4"/>
    </row>
    <row r="763" ht="15.75" customHeight="1"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Q763" s="4"/>
    </row>
    <row r="764" ht="15.75" customHeight="1"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Q764" s="4"/>
    </row>
    <row r="765" ht="15.75" customHeight="1"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Q765" s="4"/>
    </row>
    <row r="766" ht="15.75" customHeight="1"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Q766" s="4"/>
    </row>
    <row r="767" ht="15.75" customHeight="1"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Q767" s="4"/>
    </row>
    <row r="768" ht="15.75" customHeight="1"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Q768" s="4"/>
    </row>
    <row r="769" ht="15.75" customHeight="1"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Q769" s="4"/>
    </row>
    <row r="770" ht="15.75" customHeight="1"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Q770" s="4"/>
    </row>
    <row r="771" ht="15.75" customHeight="1"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Q771" s="4"/>
    </row>
    <row r="772" ht="15.75" customHeight="1"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Q772" s="4"/>
    </row>
    <row r="773" ht="15.75" customHeight="1"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Q773" s="4"/>
    </row>
    <row r="774" ht="15.75" customHeight="1"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Q774" s="4"/>
    </row>
    <row r="775" ht="15.75" customHeight="1"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Q775" s="4"/>
    </row>
    <row r="776" ht="15.75" customHeight="1"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Q776" s="4"/>
    </row>
    <row r="777" ht="15.75" customHeight="1"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Q777" s="4"/>
    </row>
    <row r="778" ht="15.75" customHeight="1"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Q778" s="4"/>
    </row>
    <row r="779" ht="15.75" customHeight="1"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Q779" s="4"/>
    </row>
    <row r="780" ht="15.75" customHeight="1"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Q780" s="4"/>
    </row>
    <row r="781" ht="15.75" customHeight="1"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Q781" s="4"/>
    </row>
    <row r="782" ht="15.75" customHeight="1"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Q782" s="4"/>
    </row>
    <row r="783" ht="15.75" customHeight="1"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Q783" s="4"/>
    </row>
    <row r="784" ht="15.75" customHeight="1"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Q784" s="4"/>
    </row>
    <row r="785" ht="15.75" customHeight="1"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Q785" s="4"/>
    </row>
    <row r="786" ht="15.75" customHeight="1"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Q786" s="4"/>
    </row>
    <row r="787" ht="15.75" customHeight="1"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Q787" s="4"/>
    </row>
    <row r="788" ht="15.75" customHeight="1"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Q788" s="4"/>
    </row>
    <row r="789" ht="15.75" customHeight="1"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Q789" s="4"/>
    </row>
    <row r="790" ht="15.75" customHeight="1"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Q790" s="4"/>
    </row>
    <row r="791" ht="15.75" customHeight="1"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Q791" s="4"/>
    </row>
    <row r="792" ht="15.75" customHeight="1"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Q792" s="4"/>
    </row>
    <row r="793" ht="15.75" customHeight="1"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Q793" s="4"/>
    </row>
    <row r="794" ht="15.75" customHeight="1"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Q794" s="4"/>
    </row>
    <row r="795" ht="15.75" customHeight="1"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Q795" s="4"/>
    </row>
    <row r="796" ht="15.75" customHeight="1"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Q796" s="4"/>
    </row>
    <row r="797" ht="15.75" customHeight="1"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Q797" s="4"/>
    </row>
    <row r="798" ht="15.75" customHeight="1"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Q798" s="4"/>
    </row>
    <row r="799" ht="15.75" customHeight="1"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Q799" s="4"/>
    </row>
    <row r="800" ht="15.75" customHeight="1"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Q800" s="4"/>
    </row>
    <row r="801" ht="15.75" customHeight="1"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Q801" s="4"/>
    </row>
    <row r="802" ht="15.75" customHeight="1"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Q802" s="4"/>
    </row>
    <row r="803" ht="15.75" customHeight="1"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Q803" s="4"/>
    </row>
    <row r="804" ht="15.75" customHeight="1"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Q804" s="4"/>
    </row>
    <row r="805" ht="15.75" customHeight="1"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Q805" s="4"/>
    </row>
    <row r="806" ht="15.75" customHeight="1"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Q806" s="4"/>
    </row>
    <row r="807" ht="15.75" customHeight="1"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Q807" s="4"/>
    </row>
    <row r="808" ht="15.75" customHeight="1"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Q808" s="4"/>
    </row>
    <row r="809" ht="15.75" customHeight="1"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Q809" s="4"/>
    </row>
    <row r="810" ht="15.75" customHeight="1"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Q810" s="4"/>
    </row>
    <row r="811" ht="15.75" customHeight="1"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Q811" s="4"/>
    </row>
    <row r="812" ht="15.75" customHeight="1"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Q812" s="4"/>
    </row>
    <row r="813" ht="15.75" customHeight="1"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Q813" s="4"/>
    </row>
    <row r="814" ht="15.75" customHeight="1"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Q814" s="4"/>
    </row>
    <row r="815" ht="15.75" customHeight="1"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Q815" s="4"/>
    </row>
    <row r="816" ht="15.75" customHeight="1"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Q816" s="4"/>
    </row>
    <row r="817" ht="15.75" customHeight="1"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Q817" s="4"/>
    </row>
    <row r="818" ht="15.75" customHeight="1"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Q818" s="4"/>
    </row>
    <row r="819" ht="15.75" customHeight="1"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Q819" s="4"/>
    </row>
    <row r="820" ht="15.75" customHeight="1"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Q820" s="4"/>
    </row>
    <row r="821" ht="15.75" customHeight="1"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Q821" s="4"/>
    </row>
    <row r="822" ht="15.75" customHeight="1"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Q822" s="4"/>
    </row>
    <row r="823" ht="15.75" customHeight="1"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Q823" s="4"/>
    </row>
    <row r="824" ht="15.75" customHeight="1"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Q824" s="4"/>
    </row>
    <row r="825" ht="15.75" customHeight="1"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Q825" s="4"/>
    </row>
    <row r="826" ht="15.75" customHeight="1"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Q826" s="4"/>
    </row>
    <row r="827" ht="15.75" customHeight="1"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Q827" s="4"/>
    </row>
    <row r="828" ht="15.75" customHeight="1"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Q828" s="4"/>
    </row>
    <row r="829" ht="15.75" customHeight="1"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Q829" s="4"/>
    </row>
    <row r="830" ht="15.75" customHeight="1"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Q830" s="4"/>
    </row>
    <row r="831" ht="15.75" customHeight="1"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Q831" s="4"/>
    </row>
    <row r="832" ht="15.75" customHeight="1"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Q832" s="4"/>
    </row>
    <row r="833" ht="15.75" customHeight="1"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Q833" s="4"/>
    </row>
    <row r="834" ht="15.75" customHeight="1"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Q834" s="4"/>
    </row>
    <row r="835" ht="15.75" customHeight="1"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Q835" s="4"/>
    </row>
    <row r="836" ht="15.75" customHeight="1"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Q836" s="4"/>
    </row>
    <row r="837" ht="15.75" customHeight="1"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Q837" s="4"/>
    </row>
    <row r="838" ht="15.75" customHeight="1"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Q838" s="4"/>
    </row>
    <row r="839" ht="15.75" customHeight="1"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Q839" s="4"/>
    </row>
    <row r="840" ht="15.75" customHeight="1"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Q840" s="4"/>
    </row>
    <row r="841" ht="15.75" customHeight="1"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Q841" s="4"/>
    </row>
    <row r="842" ht="15.75" customHeight="1"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Q842" s="4"/>
    </row>
    <row r="843" ht="15.75" customHeight="1"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Q843" s="4"/>
    </row>
    <row r="844" ht="15.75" customHeight="1"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Q844" s="4"/>
    </row>
    <row r="845" ht="15.75" customHeight="1"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Q845" s="4"/>
    </row>
    <row r="846" ht="15.75" customHeight="1"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Q846" s="4"/>
    </row>
    <row r="847" ht="15.75" customHeight="1"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Q847" s="4"/>
    </row>
    <row r="848" ht="15.75" customHeight="1"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Q848" s="4"/>
    </row>
    <row r="849" ht="15.75" customHeight="1"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Q849" s="4"/>
    </row>
    <row r="850" ht="15.75" customHeight="1"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Q850" s="4"/>
    </row>
    <row r="851" ht="15.75" customHeight="1"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Q851" s="4"/>
    </row>
    <row r="852" ht="15.75" customHeight="1"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Q852" s="4"/>
    </row>
    <row r="853" ht="15.75" customHeight="1"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Q853" s="4"/>
    </row>
    <row r="854" ht="15.75" customHeight="1"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Q854" s="4"/>
    </row>
    <row r="855" ht="15.75" customHeight="1"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Q855" s="4"/>
    </row>
    <row r="856" ht="15.75" customHeight="1"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Q856" s="4"/>
    </row>
    <row r="857" ht="15.75" customHeight="1"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Q857" s="4"/>
    </row>
    <row r="858" ht="15.75" customHeight="1"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Q858" s="4"/>
    </row>
    <row r="859" ht="15.75" customHeight="1"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Q859" s="4"/>
    </row>
    <row r="860" ht="15.75" customHeight="1"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Q860" s="4"/>
    </row>
    <row r="861" ht="15.75" customHeight="1"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Q861" s="4"/>
    </row>
    <row r="862" ht="15.75" customHeight="1"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Q862" s="4"/>
    </row>
    <row r="863" ht="15.75" customHeight="1"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Q863" s="4"/>
    </row>
    <row r="864" ht="15.75" customHeight="1"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Q864" s="4"/>
    </row>
    <row r="865" ht="15.75" customHeight="1"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Q865" s="4"/>
    </row>
    <row r="866" ht="15.75" customHeight="1"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Q866" s="4"/>
    </row>
    <row r="867" ht="15.75" customHeight="1"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Q867" s="4"/>
    </row>
    <row r="868" ht="15.75" customHeight="1"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Q868" s="4"/>
    </row>
    <row r="869" ht="15.75" customHeight="1"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Q869" s="4"/>
    </row>
    <row r="870" ht="15.75" customHeight="1"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Q870" s="4"/>
    </row>
    <row r="871" ht="15.75" customHeight="1"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Q871" s="4"/>
    </row>
    <row r="872" ht="15.75" customHeight="1"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Q872" s="4"/>
    </row>
    <row r="873" ht="15.75" customHeight="1"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Q873" s="4"/>
    </row>
    <row r="874" ht="15.75" customHeight="1"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Q874" s="4"/>
    </row>
    <row r="875" ht="15.75" customHeight="1"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Q875" s="4"/>
    </row>
    <row r="876" ht="15.75" customHeight="1"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Q876" s="4"/>
    </row>
    <row r="877" ht="15.75" customHeight="1"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Q877" s="4"/>
    </row>
    <row r="878" ht="15.75" customHeight="1"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Q878" s="4"/>
    </row>
    <row r="879" ht="15.75" customHeight="1"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Q879" s="4"/>
    </row>
    <row r="880" ht="15.75" customHeight="1"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Q880" s="4"/>
    </row>
    <row r="881" ht="15.75" customHeight="1"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Q881" s="4"/>
    </row>
    <row r="882" ht="15.75" customHeight="1"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Q882" s="4"/>
    </row>
    <row r="883" ht="15.75" customHeight="1"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Q883" s="4"/>
    </row>
    <row r="884" ht="15.75" customHeight="1"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Q884" s="4"/>
    </row>
    <row r="885" ht="15.75" customHeight="1"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Q885" s="4"/>
    </row>
    <row r="886" ht="15.75" customHeight="1"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Q886" s="4"/>
    </row>
    <row r="887" ht="15.75" customHeight="1"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Q887" s="4"/>
    </row>
    <row r="888" ht="15.75" customHeight="1"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Q888" s="4"/>
    </row>
    <row r="889" ht="15.75" customHeight="1"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Q889" s="4"/>
    </row>
    <row r="890" ht="15.75" customHeight="1"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Q890" s="4"/>
    </row>
    <row r="891" ht="15.75" customHeight="1"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Q891" s="4"/>
    </row>
    <row r="892" ht="15.75" customHeight="1"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Q892" s="4"/>
    </row>
    <row r="893" ht="15.75" customHeight="1"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Q893" s="4"/>
    </row>
    <row r="894" ht="15.75" customHeight="1"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Q894" s="4"/>
    </row>
    <row r="895" ht="15.75" customHeight="1"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Q895" s="4"/>
    </row>
    <row r="896" ht="15.75" customHeight="1"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Q896" s="4"/>
    </row>
    <row r="897" ht="15.75" customHeight="1"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Q897" s="4"/>
    </row>
    <row r="898" ht="15.75" customHeight="1"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Q898" s="4"/>
    </row>
    <row r="899" ht="15.75" customHeight="1"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Q899" s="4"/>
    </row>
    <row r="900" ht="15.75" customHeight="1"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Q900" s="4"/>
    </row>
    <row r="901" ht="15.75" customHeight="1"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Q901" s="4"/>
    </row>
    <row r="902" ht="15.75" customHeight="1"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Q902" s="4"/>
    </row>
    <row r="903" ht="15.75" customHeight="1"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Q903" s="4"/>
    </row>
    <row r="904" ht="15.75" customHeight="1"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Q904" s="4"/>
    </row>
    <row r="905" ht="15.75" customHeight="1"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Q905" s="4"/>
    </row>
    <row r="906" ht="15.75" customHeight="1"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Q906" s="4"/>
    </row>
    <row r="907" ht="15.75" customHeight="1"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Q907" s="4"/>
    </row>
    <row r="908" ht="15.75" customHeight="1"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Q908" s="4"/>
    </row>
    <row r="909" ht="15.75" customHeight="1"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Q909" s="4"/>
    </row>
    <row r="910" ht="15.75" customHeight="1"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Q910" s="4"/>
    </row>
    <row r="911" ht="15.75" customHeight="1"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Q911" s="4"/>
    </row>
    <row r="912" ht="15.75" customHeight="1"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Q912" s="4"/>
    </row>
    <row r="913" ht="15.75" customHeight="1"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Q913" s="4"/>
    </row>
    <row r="914" ht="15.75" customHeight="1"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Q914" s="4"/>
    </row>
    <row r="915" ht="15.75" customHeight="1"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Q915" s="4"/>
    </row>
    <row r="916" ht="15.75" customHeight="1"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Q916" s="4"/>
    </row>
    <row r="917" ht="15.75" customHeight="1"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Q917" s="4"/>
    </row>
    <row r="918" ht="15.75" customHeight="1"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Q918" s="4"/>
    </row>
    <row r="919" ht="15.75" customHeight="1"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Q919" s="4"/>
    </row>
    <row r="920" ht="15.75" customHeight="1"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Q920" s="4"/>
    </row>
    <row r="921" ht="15.75" customHeight="1"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Q921" s="4"/>
    </row>
    <row r="922" ht="15.75" customHeight="1"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Q922" s="4"/>
    </row>
    <row r="923" ht="15.75" customHeight="1"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Q923" s="4"/>
    </row>
    <row r="924" ht="15.75" customHeight="1"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Q924" s="4"/>
    </row>
    <row r="925" ht="15.75" customHeight="1"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Q925" s="4"/>
    </row>
    <row r="926" ht="15.75" customHeight="1"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Q926" s="4"/>
    </row>
    <row r="927" ht="15.75" customHeight="1"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Q927" s="4"/>
    </row>
    <row r="928" ht="15.75" customHeight="1"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Q928" s="4"/>
    </row>
    <row r="929" ht="15.75" customHeight="1"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Q929" s="4"/>
    </row>
    <row r="930" ht="15.75" customHeight="1"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Q930" s="4"/>
    </row>
    <row r="931" ht="15.75" customHeight="1"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Q931" s="4"/>
    </row>
    <row r="932" ht="15.75" customHeight="1"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Q932" s="4"/>
    </row>
    <row r="933" ht="15.75" customHeight="1"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Q933" s="4"/>
    </row>
    <row r="934" ht="15.75" customHeight="1"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Q934" s="4"/>
    </row>
    <row r="935" ht="15.75" customHeight="1"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Q935" s="4"/>
    </row>
    <row r="936" ht="15.75" customHeight="1"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Q936" s="4"/>
    </row>
    <row r="937" ht="15.75" customHeight="1"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Q937" s="4"/>
    </row>
    <row r="938" ht="15.75" customHeight="1"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Q938" s="4"/>
    </row>
    <row r="939" ht="15.75" customHeight="1"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Q939" s="4"/>
    </row>
    <row r="940" ht="15.75" customHeight="1"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Q940" s="4"/>
    </row>
    <row r="941" ht="15.75" customHeight="1"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Q941" s="4"/>
    </row>
    <row r="942" ht="15.75" customHeight="1"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Q942" s="4"/>
    </row>
    <row r="943" ht="15.75" customHeight="1"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Q943" s="4"/>
    </row>
    <row r="944" ht="15.75" customHeight="1"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Q944" s="4"/>
    </row>
    <row r="945" ht="15.75" customHeight="1"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Q945" s="4"/>
    </row>
    <row r="946" ht="15.75" customHeight="1"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Q946" s="4"/>
    </row>
    <row r="947" ht="15.75" customHeight="1"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Q947" s="4"/>
    </row>
    <row r="948" ht="15.75" customHeight="1"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Q948" s="4"/>
    </row>
    <row r="949" ht="15.75" customHeight="1"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Q949" s="4"/>
    </row>
    <row r="950" ht="15.75" customHeight="1"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Q950" s="4"/>
    </row>
    <row r="951" ht="15.75" customHeight="1"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Q951" s="4"/>
    </row>
    <row r="952" ht="15.75" customHeight="1"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Q952" s="4"/>
    </row>
    <row r="953" ht="15.75" customHeight="1"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Q953" s="4"/>
    </row>
    <row r="954" ht="15.75" customHeight="1"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Q954" s="4"/>
    </row>
    <row r="955" ht="15.75" customHeight="1"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Q955" s="4"/>
    </row>
    <row r="956" ht="15.75" customHeight="1"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Q956" s="4"/>
    </row>
    <row r="957" ht="15.75" customHeight="1"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Q957" s="4"/>
    </row>
    <row r="958" ht="15.75" customHeight="1"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Q958" s="4"/>
    </row>
    <row r="959" ht="15.75" customHeight="1"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Q959" s="4"/>
    </row>
    <row r="960" ht="15.75" customHeight="1"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Q960" s="4"/>
    </row>
    <row r="961" ht="15.75" customHeight="1"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Q961" s="4"/>
    </row>
    <row r="962" ht="15.75" customHeight="1"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Q962" s="4"/>
    </row>
    <row r="963" ht="15.75" customHeight="1"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Q963" s="4"/>
    </row>
    <row r="964" ht="15.75" customHeight="1"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Q964" s="4"/>
    </row>
    <row r="965" ht="15.75" customHeight="1"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Q965" s="4"/>
    </row>
    <row r="966" ht="15.75" customHeight="1"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Q966" s="4"/>
    </row>
    <row r="967" ht="15.75" customHeight="1"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Q967" s="4"/>
    </row>
    <row r="968" ht="15.75" customHeight="1"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Q968" s="4"/>
    </row>
    <row r="969" ht="15.75" customHeight="1"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Q969" s="4"/>
    </row>
    <row r="970" ht="15.75" customHeight="1"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Q970" s="4"/>
    </row>
    <row r="971" ht="15.75" customHeight="1"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Q971" s="4"/>
    </row>
    <row r="972" ht="15.75" customHeight="1"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Q972" s="4"/>
    </row>
    <row r="973" ht="15.75" customHeight="1"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Q973" s="4"/>
    </row>
    <row r="974" ht="15.75" customHeight="1"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Q974" s="4"/>
    </row>
    <row r="975" ht="15.75" customHeight="1"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Q975" s="4"/>
    </row>
    <row r="976" ht="15.75" customHeight="1"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Q976" s="4"/>
    </row>
    <row r="977" ht="15.75" customHeight="1"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Q977" s="4"/>
    </row>
    <row r="978" ht="15.75" customHeight="1"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Q978" s="4"/>
    </row>
    <row r="979" ht="15.75" customHeight="1"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Q979" s="4"/>
    </row>
    <row r="980" ht="15.75" customHeight="1"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Q980" s="4"/>
    </row>
    <row r="981" ht="15.75" customHeight="1"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Q981" s="4"/>
    </row>
    <row r="982" ht="15.75" customHeight="1"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Q982" s="4"/>
    </row>
    <row r="983" ht="15.75" customHeight="1"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Q983" s="4"/>
    </row>
    <row r="984" ht="15.75" customHeight="1"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Q984" s="4"/>
    </row>
    <row r="985" ht="15.75" customHeight="1"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Q985" s="4"/>
    </row>
    <row r="986" ht="15.75" customHeight="1"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Q986" s="4"/>
    </row>
    <row r="987" ht="15.75" customHeight="1"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Q987" s="4"/>
    </row>
    <row r="988" ht="15.75" customHeight="1"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Q988" s="4"/>
    </row>
    <row r="989" ht="15.75" customHeight="1"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Q989" s="4"/>
    </row>
    <row r="990" ht="15.75" customHeight="1"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Q990" s="4"/>
    </row>
    <row r="991" ht="15.75" customHeight="1"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Q991" s="4"/>
    </row>
    <row r="992" ht="15.75" customHeight="1"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Q992" s="4"/>
    </row>
    <row r="993" ht="15.75" customHeight="1"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Q993" s="4"/>
    </row>
    <row r="994" ht="15.75" customHeight="1"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Q994" s="4"/>
    </row>
    <row r="995" ht="15.75" customHeight="1"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Q995" s="4"/>
    </row>
    <row r="996" ht="15.75" customHeight="1"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Q996" s="4"/>
    </row>
    <row r="997" ht="15.75" customHeight="1"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Q997" s="4"/>
    </row>
    <row r="998" ht="15.75" customHeight="1"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Q998" s="4"/>
    </row>
    <row r="999" ht="15.75" customHeight="1"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Q999" s="4"/>
    </row>
    <row r="1000" ht="15.75" customHeight="1"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Q1000" s="4"/>
    </row>
    <row r="1001" ht="15.75" customHeight="1"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Q1001" s="4"/>
    </row>
    <row r="1002" ht="15.75" customHeight="1"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Q1002" s="4"/>
    </row>
    <row r="1003" ht="15.75" customHeight="1"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Q1003" s="4"/>
    </row>
    <row r="1004" ht="15.75" customHeight="1"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Q1004" s="4"/>
    </row>
    <row r="1005" ht="15.75" customHeight="1"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Q1005" s="4"/>
    </row>
    <row r="1006" ht="15.75" customHeight="1"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Q1006" s="4"/>
    </row>
    <row r="1007" ht="15.75" customHeight="1"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Q1007" s="4"/>
    </row>
    <row r="1008" ht="15.75" customHeight="1"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Q1008" s="4"/>
    </row>
  </sheetData>
  <printOptions/>
  <pageMargins bottom="0.75" footer="0.0" header="0.0" left="0.7" right="0.7" top="0.75"/>
  <pageSetup paperSize="8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5.56"/>
    <col customWidth="1" min="2" max="2" width="28.0"/>
    <col customWidth="1" min="3" max="3" width="70.11"/>
    <col customWidth="1" min="4" max="26" width="10.44"/>
  </cols>
  <sheetData>
    <row r="1" ht="15.75" customHeight="1"/>
    <row r="2">
      <c r="B2" s="177" t="s">
        <v>179</v>
      </c>
    </row>
    <row r="3" ht="15.75" customHeight="1"/>
    <row r="4">
      <c r="B4" s="178" t="str">
        <f>CONCATENATE(ROUND((-1*'GRAFICO HISTORICO'!AU8/1000000),1)," Mha")</f>
        <v>124,2 Mha</v>
      </c>
      <c r="C4" s="179" t="s">
        <v>180</v>
      </c>
    </row>
    <row r="5" ht="15.75" customHeight="1"/>
    <row r="6">
      <c r="B6" s="178" t="str">
        <f>CONCATENATE(ROUND('GRAFICO HISTORICO'!AU10,1),"x")</f>
        <v>3,6x</v>
      </c>
      <c r="C6" s="179" t="s">
        <v>182</v>
      </c>
    </row>
    <row r="7" ht="15.75" customHeight="1">
      <c r="O7" s="4">
        <f>84.7/14.8868</f>
        <v>5.689604213</v>
      </c>
    </row>
    <row r="8">
      <c r="B8" s="180">
        <f>'GRAFICO HISTORICO'!AS21</f>
        <v>0.5925135208</v>
      </c>
      <c r="C8" s="179" t="s">
        <v>183</v>
      </c>
    </row>
    <row r="9" ht="15.75" customHeight="1"/>
    <row r="10">
      <c r="B10" s="180">
        <f>'DADOS COBERTURA BRASIL'!E5+'DADOS COBERTURA BRASIL'!E12</f>
        <v>0.6485203066</v>
      </c>
      <c r="C10" s="181" t="s">
        <v>184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56"/>
    <col customWidth="1" min="2" max="2" width="24.11"/>
    <col customWidth="1" hidden="1" min="3" max="3" width="19.56"/>
    <col customWidth="1" hidden="1" min="4" max="4" width="20.56"/>
    <col customWidth="1" hidden="1" min="5" max="6" width="18.56"/>
    <col customWidth="1" hidden="1" min="7" max="7" width="19.56"/>
    <col customWidth="1" hidden="1" min="8" max="8" width="20.56"/>
    <col customWidth="1" hidden="1" min="9" max="9" width="19.56"/>
    <col customWidth="1" hidden="1" min="10" max="10" width="15.44"/>
    <col customWidth="1" hidden="1" min="11" max="11" width="24.11"/>
    <col customWidth="1" min="12" max="12" width="19.56"/>
    <col customWidth="1" hidden="1" min="13" max="13" width="18.56"/>
    <col customWidth="1" hidden="1" min="14" max="14" width="7.56"/>
    <col customWidth="1" hidden="1" min="15" max="15" width="15.44"/>
    <col customWidth="1" hidden="1" min="16" max="16" width="5.44"/>
    <col customWidth="1" hidden="1" min="17" max="17" width="18.56"/>
    <col customWidth="1" hidden="1" min="18" max="19" width="19.56"/>
    <col customWidth="1" hidden="1" min="20" max="20" width="13.11"/>
    <col customWidth="1" hidden="1" min="21" max="21" width="20.56"/>
    <col customWidth="1" hidden="1" min="22" max="24" width="8.56"/>
    <col customWidth="1" hidden="1" min="25" max="25" width="20.56"/>
    <col customWidth="1" hidden="1" min="26" max="26" width="8.56"/>
    <col customWidth="1" hidden="1" min="27" max="28" width="19.56"/>
    <col customWidth="1" hidden="1" min="29" max="29" width="11.0"/>
    <col customWidth="1" hidden="1" min="30" max="33" width="8.56"/>
    <col customWidth="1" hidden="1" min="34" max="34" width="19.56"/>
    <col customWidth="1" hidden="1" min="35" max="36" width="20.56"/>
    <col customWidth="1" hidden="1" min="37" max="37" width="16.44"/>
    <col customWidth="1" hidden="1" min="38" max="38" width="20.56"/>
  </cols>
  <sheetData>
    <row r="1" ht="15.75" customHeight="1">
      <c r="A1" s="83" t="s">
        <v>185</v>
      </c>
      <c r="B1" s="182" t="s">
        <v>185</v>
      </c>
      <c r="C1" s="183">
        <v>2017.0</v>
      </c>
      <c r="D1" s="183" t="s">
        <v>185</v>
      </c>
      <c r="E1" s="183" t="s">
        <v>185</v>
      </c>
      <c r="F1" s="183" t="s">
        <v>185</v>
      </c>
      <c r="G1" s="183" t="s">
        <v>185</v>
      </c>
      <c r="H1" s="183" t="s">
        <v>185</v>
      </c>
      <c r="I1" s="183" t="s">
        <v>185</v>
      </c>
      <c r="J1" s="183" t="s">
        <v>185</v>
      </c>
      <c r="K1" s="183" t="s">
        <v>185</v>
      </c>
      <c r="L1" s="183"/>
      <c r="M1" s="183" t="s">
        <v>185</v>
      </c>
      <c r="N1" s="183" t="s">
        <v>185</v>
      </c>
      <c r="O1" s="183" t="s">
        <v>185</v>
      </c>
      <c r="P1" s="183" t="s">
        <v>185</v>
      </c>
      <c r="Q1" s="183" t="s">
        <v>185</v>
      </c>
      <c r="R1" s="183" t="s">
        <v>185</v>
      </c>
      <c r="S1" s="183" t="s">
        <v>185</v>
      </c>
      <c r="T1" s="183" t="s">
        <v>185</v>
      </c>
      <c r="U1" s="183" t="s">
        <v>185</v>
      </c>
      <c r="Y1" s="183" t="s">
        <v>185</v>
      </c>
      <c r="Z1" s="183" t="s">
        <v>185</v>
      </c>
      <c r="AA1" s="183" t="s">
        <v>185</v>
      </c>
      <c r="AB1" s="183" t="s">
        <v>185</v>
      </c>
      <c r="AC1" s="183" t="s">
        <v>185</v>
      </c>
      <c r="AH1" s="183" t="s">
        <v>185</v>
      </c>
      <c r="AI1" s="183" t="s">
        <v>185</v>
      </c>
      <c r="AJ1" s="183" t="s">
        <v>185</v>
      </c>
      <c r="AK1" s="183" t="s">
        <v>185</v>
      </c>
      <c r="AL1" s="183" t="s">
        <v>185</v>
      </c>
    </row>
    <row r="2" ht="15.75" customHeight="1">
      <c r="A2" s="83" t="s">
        <v>185</v>
      </c>
      <c r="B2" s="182" t="s">
        <v>185</v>
      </c>
      <c r="C2" s="83" t="s">
        <v>186</v>
      </c>
      <c r="D2" s="83" t="s">
        <v>187</v>
      </c>
      <c r="E2" s="83" t="s">
        <v>188</v>
      </c>
      <c r="F2" s="83" t="s">
        <v>189</v>
      </c>
      <c r="G2" s="83" t="s">
        <v>190</v>
      </c>
      <c r="H2" s="83" t="s">
        <v>191</v>
      </c>
      <c r="I2" s="83" t="s">
        <v>192</v>
      </c>
      <c r="J2" s="83" t="s">
        <v>193</v>
      </c>
      <c r="K2" s="83" t="s">
        <v>194</v>
      </c>
      <c r="L2" s="83" t="s">
        <v>195</v>
      </c>
      <c r="M2" s="83" t="s">
        <v>196</v>
      </c>
      <c r="N2" s="83" t="s">
        <v>197</v>
      </c>
      <c r="O2" s="83" t="s">
        <v>198</v>
      </c>
      <c r="P2" s="83" t="s">
        <v>41</v>
      </c>
      <c r="Q2" s="83" t="s">
        <v>199</v>
      </c>
      <c r="R2" s="83" t="s">
        <v>200</v>
      </c>
      <c r="S2" s="83" t="s">
        <v>201</v>
      </c>
      <c r="T2" s="83" t="s">
        <v>202</v>
      </c>
      <c r="U2" s="83" t="s">
        <v>203</v>
      </c>
      <c r="Y2" s="83" t="s">
        <v>204</v>
      </c>
      <c r="Z2" s="83" t="s">
        <v>205</v>
      </c>
      <c r="AA2" s="83" t="s">
        <v>206</v>
      </c>
      <c r="AB2" s="83" t="s">
        <v>207</v>
      </c>
      <c r="AC2" s="83" t="s">
        <v>52</v>
      </c>
      <c r="AH2" s="83" t="s">
        <v>48</v>
      </c>
      <c r="AI2" s="83" t="s">
        <v>208</v>
      </c>
      <c r="AJ2" s="83" t="s">
        <v>209</v>
      </c>
      <c r="AK2" s="83" t="s">
        <v>53</v>
      </c>
      <c r="AL2" s="83" t="s">
        <v>210</v>
      </c>
    </row>
    <row r="3" ht="15.75" customHeight="1">
      <c r="A3" s="183">
        <v>1985.0</v>
      </c>
      <c r="B3" s="182" t="s">
        <v>188</v>
      </c>
      <c r="C3" s="184">
        <v>6640658.1234949</v>
      </c>
      <c r="D3" s="83">
        <v>334692.74956039</v>
      </c>
      <c r="E3" s="184">
        <v>3.2748752219218E7</v>
      </c>
      <c r="F3" s="184">
        <v>5911722.5038574</v>
      </c>
      <c r="G3" s="184">
        <v>595157.50959073</v>
      </c>
      <c r="H3" s="184">
        <v>1649613.8993811</v>
      </c>
      <c r="I3" s="184">
        <v>131117.94337042</v>
      </c>
      <c r="J3" s="184" t="s">
        <v>211</v>
      </c>
      <c r="K3" s="184">
        <v>1037177.9971152</v>
      </c>
      <c r="L3" s="184">
        <f t="shared" ref="L3:L7" si="1">SUM(M3:AL3)</f>
        <v>215147.6404</v>
      </c>
      <c r="M3" s="83">
        <v>1377.516026654</v>
      </c>
      <c r="N3" s="83" t="s">
        <v>211</v>
      </c>
      <c r="O3" s="83" t="s">
        <v>211</v>
      </c>
      <c r="P3" s="83" t="s">
        <v>211</v>
      </c>
      <c r="Q3" s="83">
        <v>6439.0295028015</v>
      </c>
      <c r="R3" s="83">
        <v>12937.489300226</v>
      </c>
      <c r="S3" s="83">
        <v>4.2081865722656</v>
      </c>
      <c r="T3" s="83" t="s">
        <v>211</v>
      </c>
      <c r="U3" s="83">
        <v>41.225391046143</v>
      </c>
      <c r="Y3" s="83">
        <v>30.271406915283</v>
      </c>
      <c r="Z3" s="83" t="s">
        <v>211</v>
      </c>
      <c r="AA3" s="83">
        <v>1841.7452289978</v>
      </c>
      <c r="AB3" s="83">
        <v>801.19511436768</v>
      </c>
      <c r="AC3" s="83" t="s">
        <v>211</v>
      </c>
      <c r="AH3" s="83" t="s">
        <v>211</v>
      </c>
      <c r="AI3" s="83">
        <v>0.93086105957031</v>
      </c>
      <c r="AJ3" s="83">
        <v>1.5183484558106</v>
      </c>
      <c r="AK3" s="83" t="s">
        <v>211</v>
      </c>
      <c r="AL3" s="83">
        <v>191672.51103137</v>
      </c>
    </row>
    <row r="4" ht="15.75" customHeight="1">
      <c r="A4" s="183">
        <v>1985.0</v>
      </c>
      <c r="B4" s="182" t="s">
        <v>189</v>
      </c>
      <c r="C4" s="184">
        <v>9182233.5997928</v>
      </c>
      <c r="D4" s="83">
        <v>3370551.7779101</v>
      </c>
      <c r="E4" s="184">
        <v>3181352.4987276</v>
      </c>
      <c r="F4" s="184">
        <v>4.0719446729897E7</v>
      </c>
      <c r="G4" s="184">
        <v>386646.90781805</v>
      </c>
      <c r="H4" s="184">
        <v>4461769.9338386</v>
      </c>
      <c r="I4" s="184">
        <v>89052.774382806</v>
      </c>
      <c r="J4" s="184" t="s">
        <v>211</v>
      </c>
      <c r="K4" s="184">
        <v>1369796.9039555</v>
      </c>
      <c r="L4" s="184">
        <f t="shared" si="1"/>
        <v>133641.0545</v>
      </c>
      <c r="M4" s="83">
        <v>2172.3169566773</v>
      </c>
      <c r="N4" s="83" t="s">
        <v>211</v>
      </c>
      <c r="O4" s="83" t="s">
        <v>211</v>
      </c>
      <c r="P4" s="83" t="s">
        <v>211</v>
      </c>
      <c r="Q4" s="83">
        <v>14.824047589111</v>
      </c>
      <c r="R4" s="83">
        <v>23307.9949513</v>
      </c>
      <c r="S4" s="83">
        <v>2.731044140625</v>
      </c>
      <c r="T4" s="83" t="s">
        <v>211</v>
      </c>
      <c r="U4" s="83">
        <v>41.22683994751</v>
      </c>
      <c r="Y4" s="83">
        <v>41.972004290771</v>
      </c>
      <c r="Z4" s="83" t="s">
        <v>211</v>
      </c>
      <c r="AA4" s="83">
        <v>2010.8362333435</v>
      </c>
      <c r="AB4" s="83">
        <v>1066.1409171204</v>
      </c>
      <c r="AC4" s="83" t="s">
        <v>211</v>
      </c>
      <c r="AH4" s="83" t="s">
        <v>211</v>
      </c>
      <c r="AI4" s="83" t="s">
        <v>211</v>
      </c>
      <c r="AJ4" s="83">
        <v>1.5948858581543</v>
      </c>
      <c r="AK4" s="83" t="s">
        <v>211</v>
      </c>
      <c r="AL4" s="83">
        <v>104981.41664799</v>
      </c>
    </row>
    <row r="5" ht="15.75" customHeight="1">
      <c r="A5" s="183">
        <v>1985.0</v>
      </c>
      <c r="B5" s="182" t="s">
        <v>48</v>
      </c>
      <c r="C5" s="184" t="s">
        <v>211</v>
      </c>
      <c r="D5" s="83" t="s">
        <v>211</v>
      </c>
      <c r="E5" s="184" t="s">
        <v>211</v>
      </c>
      <c r="F5" s="184" t="s">
        <v>211</v>
      </c>
      <c r="G5" s="184" t="s">
        <v>211</v>
      </c>
      <c r="H5" s="184" t="s">
        <v>211</v>
      </c>
      <c r="I5" s="184" t="s">
        <v>211</v>
      </c>
      <c r="J5" s="184" t="s">
        <v>211</v>
      </c>
      <c r="K5" s="184" t="s">
        <v>211</v>
      </c>
      <c r="L5" s="184">
        <f t="shared" si="1"/>
        <v>0.1784661011</v>
      </c>
      <c r="M5" s="83" t="s">
        <v>211</v>
      </c>
      <c r="N5" s="83" t="s">
        <v>211</v>
      </c>
      <c r="O5" s="83" t="s">
        <v>211</v>
      </c>
      <c r="P5" s="83" t="s">
        <v>211</v>
      </c>
      <c r="Q5" s="83" t="s">
        <v>211</v>
      </c>
      <c r="R5" s="83" t="s">
        <v>211</v>
      </c>
      <c r="S5" s="83" t="s">
        <v>211</v>
      </c>
      <c r="T5" s="83" t="s">
        <v>211</v>
      </c>
      <c r="U5" s="83" t="s">
        <v>211</v>
      </c>
      <c r="Y5" s="83" t="s">
        <v>211</v>
      </c>
      <c r="Z5" s="83" t="s">
        <v>211</v>
      </c>
      <c r="AA5" s="83" t="s">
        <v>211</v>
      </c>
      <c r="AB5" s="83" t="s">
        <v>211</v>
      </c>
      <c r="AC5" s="83" t="s">
        <v>211</v>
      </c>
      <c r="AH5" s="83">
        <v>0.17846610107422</v>
      </c>
      <c r="AI5" s="83" t="s">
        <v>211</v>
      </c>
      <c r="AJ5" s="83" t="s">
        <v>211</v>
      </c>
      <c r="AK5" s="83" t="s">
        <v>211</v>
      </c>
      <c r="AL5" s="83" t="s">
        <v>211</v>
      </c>
    </row>
    <row r="6" ht="15.75" customHeight="1">
      <c r="A6" s="183">
        <v>1985.0</v>
      </c>
      <c r="B6" s="182" t="s">
        <v>187</v>
      </c>
      <c r="C6" s="184">
        <v>1574487.064632</v>
      </c>
      <c r="D6" s="83">
        <v>1.7389606651641E7</v>
      </c>
      <c r="E6" s="184">
        <v>183642.82244149</v>
      </c>
      <c r="F6" s="184">
        <v>2489874.6527767</v>
      </c>
      <c r="G6" s="184">
        <v>91164.412490716</v>
      </c>
      <c r="H6" s="184">
        <v>1493830.2921135</v>
      </c>
      <c r="I6" s="184">
        <v>30597.917795227</v>
      </c>
      <c r="J6" s="184" t="s">
        <v>211</v>
      </c>
      <c r="K6" s="184">
        <v>501182.81692306</v>
      </c>
      <c r="L6" s="184">
        <f t="shared" si="1"/>
        <v>57095.97696</v>
      </c>
      <c r="M6" s="83">
        <v>2679.5681428955</v>
      </c>
      <c r="N6" s="83" t="s">
        <v>211</v>
      </c>
      <c r="O6" s="83" t="s">
        <v>211</v>
      </c>
      <c r="P6" s="83" t="s">
        <v>211</v>
      </c>
      <c r="Q6" s="83">
        <v>109.75527589111</v>
      </c>
      <c r="R6" s="83">
        <v>12949.911246466</v>
      </c>
      <c r="S6" s="83">
        <v>0.79891500854492</v>
      </c>
      <c r="T6" s="83" t="s">
        <v>211</v>
      </c>
      <c r="U6" s="83">
        <v>12.044716827393</v>
      </c>
      <c r="Y6" s="83">
        <v>55.015802917481</v>
      </c>
      <c r="Z6" s="83" t="s">
        <v>211</v>
      </c>
      <c r="AA6" s="83">
        <v>2870.7179434387</v>
      </c>
      <c r="AB6" s="83">
        <v>1214.7600950745</v>
      </c>
      <c r="AC6" s="83" t="s">
        <v>211</v>
      </c>
      <c r="AH6" s="83" t="s">
        <v>211</v>
      </c>
      <c r="AI6" s="83" t="s">
        <v>211</v>
      </c>
      <c r="AJ6" s="83">
        <v>39.439852233887</v>
      </c>
      <c r="AK6" s="83" t="s">
        <v>211</v>
      </c>
      <c r="AL6" s="83">
        <v>37163.964968427</v>
      </c>
    </row>
    <row r="7" ht="15.75" customHeight="1">
      <c r="A7" s="183">
        <v>1985.0</v>
      </c>
      <c r="B7" s="182" t="s">
        <v>190</v>
      </c>
      <c r="C7" s="184">
        <v>29622.562168249</v>
      </c>
      <c r="D7" s="83">
        <v>10957.498900287</v>
      </c>
      <c r="E7" s="184">
        <v>40012.079309082</v>
      </c>
      <c r="F7" s="184">
        <v>23430.796663062</v>
      </c>
      <c r="G7" s="184">
        <v>343438.9805044</v>
      </c>
      <c r="H7" s="184">
        <v>37236.433051282</v>
      </c>
      <c r="I7" s="184">
        <v>6697.3877895203</v>
      </c>
      <c r="J7" s="184" t="s">
        <v>211</v>
      </c>
      <c r="K7" s="184">
        <v>24046.344274878</v>
      </c>
      <c r="L7" s="184">
        <f t="shared" si="1"/>
        <v>195.0389346</v>
      </c>
      <c r="M7" s="83" t="s">
        <v>211</v>
      </c>
      <c r="N7" s="83" t="s">
        <v>211</v>
      </c>
      <c r="O7" s="83" t="s">
        <v>211</v>
      </c>
      <c r="P7" s="83" t="s">
        <v>211</v>
      </c>
      <c r="Q7" s="83" t="s">
        <v>211</v>
      </c>
      <c r="R7" s="83">
        <v>66.034490087891</v>
      </c>
      <c r="S7" s="83">
        <v>0.43017806396484</v>
      </c>
      <c r="T7" s="83" t="s">
        <v>211</v>
      </c>
      <c r="U7" s="83">
        <v>0.086067425537109</v>
      </c>
      <c r="Y7" s="83" t="s">
        <v>211</v>
      </c>
      <c r="Z7" s="83" t="s">
        <v>211</v>
      </c>
      <c r="AA7" s="83">
        <v>43.31562722168</v>
      </c>
      <c r="AB7" s="83">
        <v>19.233795544434</v>
      </c>
      <c r="AC7" s="83" t="s">
        <v>211</v>
      </c>
      <c r="AH7" s="83" t="s">
        <v>211</v>
      </c>
      <c r="AI7" s="83" t="s">
        <v>211</v>
      </c>
      <c r="AJ7" s="83" t="s">
        <v>211</v>
      </c>
      <c r="AK7" s="83" t="s">
        <v>211</v>
      </c>
      <c r="AL7" s="83">
        <v>65.938776306152</v>
      </c>
    </row>
    <row r="8" ht="15.75" customHeight="1">
      <c r="A8" s="183">
        <v>1985.0</v>
      </c>
      <c r="B8" s="185" t="s">
        <v>197</v>
      </c>
      <c r="C8" s="15">
        <f t="shared" ref="C8:L8" si="2">C9+C10</f>
        <v>238074.7503</v>
      </c>
      <c r="D8" s="4">
        <f t="shared" si="2"/>
        <v>69143.61933</v>
      </c>
      <c r="E8" s="15">
        <f t="shared" si="2"/>
        <v>13317.22729</v>
      </c>
      <c r="F8" s="15">
        <f t="shared" si="2"/>
        <v>8009.8403</v>
      </c>
      <c r="G8" s="15">
        <f t="shared" si="2"/>
        <v>16550.08094</v>
      </c>
      <c r="H8" s="15">
        <f t="shared" si="2"/>
        <v>3719079.86</v>
      </c>
      <c r="I8" s="15">
        <f t="shared" si="2"/>
        <v>1128412.956</v>
      </c>
      <c r="J8" s="15" t="str">
        <f t="shared" si="2"/>
        <v>#VALUE!</v>
      </c>
      <c r="K8" s="15">
        <f t="shared" si="2"/>
        <v>163736.2178</v>
      </c>
      <c r="L8" s="15">
        <f t="shared" si="2"/>
        <v>13732.08976</v>
      </c>
    </row>
    <row r="9" ht="15.75" customHeight="1">
      <c r="A9" s="183">
        <v>1985.0</v>
      </c>
      <c r="B9" s="182" t="s">
        <v>191</v>
      </c>
      <c r="C9" s="184">
        <v>233791.71676124</v>
      </c>
      <c r="D9" s="83">
        <v>68861.861245727</v>
      </c>
      <c r="E9" s="184">
        <v>10079.848300299</v>
      </c>
      <c r="F9" s="184">
        <v>7621.5840940857</v>
      </c>
      <c r="G9" s="184">
        <v>14513.611438965</v>
      </c>
      <c r="H9" s="184">
        <v>3683857.8563134</v>
      </c>
      <c r="I9" s="184">
        <v>318632.8852889</v>
      </c>
      <c r="J9" s="184" t="s">
        <v>211</v>
      </c>
      <c r="K9" s="184">
        <v>100235.02255435</v>
      </c>
      <c r="L9" s="184">
        <f t="shared" ref="L9:L37" si="3">SUM(M9:AL9)</f>
        <v>7849.992683</v>
      </c>
      <c r="M9" s="83" t="s">
        <v>211</v>
      </c>
      <c r="N9" s="83" t="s">
        <v>211</v>
      </c>
      <c r="O9" s="83" t="s">
        <v>211</v>
      </c>
      <c r="P9" s="83" t="s">
        <v>211</v>
      </c>
      <c r="Q9" s="83" t="s">
        <v>211</v>
      </c>
      <c r="R9" s="83">
        <v>7444.3826139526</v>
      </c>
      <c r="S9" s="83" t="s">
        <v>211</v>
      </c>
      <c r="T9" s="83" t="s">
        <v>211</v>
      </c>
      <c r="U9" s="83">
        <v>0.34357990722656</v>
      </c>
      <c r="Y9" s="83" t="s">
        <v>211</v>
      </c>
      <c r="Z9" s="83" t="s">
        <v>211</v>
      </c>
      <c r="AA9" s="83" t="s">
        <v>211</v>
      </c>
      <c r="AB9" s="83">
        <v>1.5908748840332</v>
      </c>
      <c r="AC9" s="83" t="s">
        <v>211</v>
      </c>
      <c r="AH9" s="83" t="s">
        <v>211</v>
      </c>
      <c r="AI9" s="83" t="s">
        <v>211</v>
      </c>
      <c r="AJ9" s="83" t="s">
        <v>211</v>
      </c>
      <c r="AK9" s="83" t="s">
        <v>211</v>
      </c>
      <c r="AL9" s="83">
        <v>403.67561425781</v>
      </c>
    </row>
    <row r="10" ht="15.75" customHeight="1">
      <c r="A10" s="183">
        <v>1985.0</v>
      </c>
      <c r="B10" s="182" t="s">
        <v>192</v>
      </c>
      <c r="C10" s="184">
        <v>4283.0335106689</v>
      </c>
      <c r="D10" s="83">
        <v>281.75808622437</v>
      </c>
      <c r="E10" s="184">
        <v>3237.3789908691</v>
      </c>
      <c r="F10" s="184">
        <v>388.25620634155</v>
      </c>
      <c r="G10" s="184">
        <v>2036.469503949</v>
      </c>
      <c r="H10" s="184">
        <v>35222.003454407</v>
      </c>
      <c r="I10" s="184">
        <v>809780.07061717</v>
      </c>
      <c r="J10" s="184" t="s">
        <v>211</v>
      </c>
      <c r="K10" s="184">
        <v>63501.195291827</v>
      </c>
      <c r="L10" s="184">
        <f t="shared" si="3"/>
        <v>5882.097082</v>
      </c>
      <c r="M10" s="83" t="s">
        <v>211</v>
      </c>
      <c r="N10" s="83" t="s">
        <v>211</v>
      </c>
      <c r="O10" s="83" t="s">
        <v>211</v>
      </c>
      <c r="P10" s="83" t="s">
        <v>211</v>
      </c>
      <c r="Q10" s="83" t="s">
        <v>211</v>
      </c>
      <c r="R10" s="83">
        <v>5521.7438858094</v>
      </c>
      <c r="S10" s="83" t="s">
        <v>211</v>
      </c>
      <c r="T10" s="83" t="s">
        <v>211</v>
      </c>
      <c r="U10" s="83">
        <v>0.083043383789063</v>
      </c>
      <c r="Y10" s="83" t="s">
        <v>211</v>
      </c>
      <c r="Z10" s="83" t="s">
        <v>211</v>
      </c>
      <c r="AA10" s="83" t="s">
        <v>211</v>
      </c>
      <c r="AB10" s="83">
        <v>0.82992174072266</v>
      </c>
      <c r="AC10" s="83" t="s">
        <v>211</v>
      </c>
      <c r="AH10" s="83" t="s">
        <v>211</v>
      </c>
      <c r="AI10" s="83" t="s">
        <v>211</v>
      </c>
      <c r="AJ10" s="83" t="s">
        <v>211</v>
      </c>
      <c r="AK10" s="83" t="s">
        <v>211</v>
      </c>
      <c r="AL10" s="83">
        <v>359.44023057251</v>
      </c>
    </row>
    <row r="11" ht="15.75" customHeight="1">
      <c r="A11" s="183">
        <v>1985.0</v>
      </c>
      <c r="B11" s="182" t="s">
        <v>194</v>
      </c>
      <c r="C11" s="184">
        <v>4896199.9227766</v>
      </c>
      <c r="D11" s="83">
        <v>1171056.9272399</v>
      </c>
      <c r="E11" s="184">
        <v>650071.80236093</v>
      </c>
      <c r="F11" s="184">
        <v>1930398.6037316</v>
      </c>
      <c r="G11" s="184">
        <v>225113.38422596</v>
      </c>
      <c r="H11" s="184">
        <v>3615675.672043</v>
      </c>
      <c r="I11" s="184">
        <v>1103003.5963613</v>
      </c>
      <c r="J11" s="184" t="s">
        <v>211</v>
      </c>
      <c r="K11" s="184">
        <v>8609340.823057</v>
      </c>
      <c r="L11" s="184">
        <f t="shared" si="3"/>
        <v>96767.9939</v>
      </c>
      <c r="M11" s="83">
        <v>1943.8012818787</v>
      </c>
      <c r="N11" s="83" t="s">
        <v>211</v>
      </c>
      <c r="O11" s="83" t="s">
        <v>211</v>
      </c>
      <c r="P11" s="83" t="s">
        <v>211</v>
      </c>
      <c r="Q11" s="83">
        <v>1.7862473693848</v>
      </c>
      <c r="R11" s="83">
        <v>56391.440836029</v>
      </c>
      <c r="S11" s="83">
        <v>1.6162308898926</v>
      </c>
      <c r="T11" s="83" t="s">
        <v>211</v>
      </c>
      <c r="U11" s="83">
        <v>12.733522717285</v>
      </c>
      <c r="Y11" s="83">
        <v>4.9105706848145</v>
      </c>
      <c r="Z11" s="83" t="s">
        <v>211</v>
      </c>
      <c r="AA11" s="83">
        <v>986.46983688965</v>
      </c>
      <c r="AB11" s="83">
        <v>776.13617723389</v>
      </c>
      <c r="AC11" s="83" t="s">
        <v>211</v>
      </c>
      <c r="AH11" s="83" t="s">
        <v>211</v>
      </c>
      <c r="AI11" s="83" t="s">
        <v>211</v>
      </c>
      <c r="AJ11" s="83">
        <v>0.76052543334961</v>
      </c>
      <c r="AK11" s="83" t="s">
        <v>211</v>
      </c>
      <c r="AL11" s="83">
        <v>36648.338673566</v>
      </c>
    </row>
    <row r="12" ht="15.75" customHeight="1">
      <c r="A12" s="183">
        <v>1985.0</v>
      </c>
      <c r="B12" s="182" t="s">
        <v>186</v>
      </c>
      <c r="C12" s="184">
        <v>2.4748194492475E7</v>
      </c>
      <c r="D12" s="83">
        <v>404439.37934474</v>
      </c>
      <c r="E12" s="184">
        <v>980917.70159404</v>
      </c>
      <c r="F12" s="184">
        <v>1295763.0108409</v>
      </c>
      <c r="G12" s="184">
        <v>721394.33885808</v>
      </c>
      <c r="H12" s="184">
        <v>4187180.2134543</v>
      </c>
      <c r="I12" s="184">
        <v>1618112.9598903</v>
      </c>
      <c r="J12" s="184" t="s">
        <v>211</v>
      </c>
      <c r="K12" s="184">
        <v>2910078.3662103</v>
      </c>
      <c r="L12" s="184">
        <f t="shared" si="3"/>
        <v>135742.3267</v>
      </c>
      <c r="M12" s="83" t="s">
        <v>211</v>
      </c>
      <c r="N12" s="83" t="s">
        <v>211</v>
      </c>
      <c r="O12" s="83" t="s">
        <v>211</v>
      </c>
      <c r="P12" s="83" t="s">
        <v>211</v>
      </c>
      <c r="Q12" s="83" t="s">
        <v>211</v>
      </c>
      <c r="R12" s="83">
        <v>80844.798397254</v>
      </c>
      <c r="S12" s="83">
        <v>1.0955579040527</v>
      </c>
      <c r="T12" s="83" t="s">
        <v>211</v>
      </c>
      <c r="U12" s="83">
        <v>10.349404425049</v>
      </c>
      <c r="Y12" s="83" t="s">
        <v>211</v>
      </c>
      <c r="Z12" s="83" t="s">
        <v>211</v>
      </c>
      <c r="AA12" s="83">
        <v>255.73134821167</v>
      </c>
      <c r="AB12" s="83">
        <v>1617.0579689819</v>
      </c>
      <c r="AC12" s="83" t="s">
        <v>211</v>
      </c>
      <c r="AH12" s="83" t="s">
        <v>211</v>
      </c>
      <c r="AI12" s="83" t="s">
        <v>211</v>
      </c>
      <c r="AJ12" s="83" t="s">
        <v>211</v>
      </c>
      <c r="AK12" s="83" t="s">
        <v>211</v>
      </c>
      <c r="AL12" s="83">
        <v>53013.294055768</v>
      </c>
    </row>
    <row r="13" ht="15.75" customHeight="1">
      <c r="B13" s="185" t="s">
        <v>195</v>
      </c>
      <c r="C13" s="15">
        <f t="shared" ref="C13:K13" si="4">SUM(C16:C37)</f>
        <v>54564.29832</v>
      </c>
      <c r="D13" s="4">
        <f t="shared" si="4"/>
        <v>41717.31036</v>
      </c>
      <c r="E13" s="15">
        <f t="shared" si="4"/>
        <v>31572.33643</v>
      </c>
      <c r="F13" s="15">
        <f t="shared" si="4"/>
        <v>41459.17322</v>
      </c>
      <c r="G13" s="15">
        <f t="shared" si="4"/>
        <v>537.1322658</v>
      </c>
      <c r="H13" s="15">
        <f t="shared" si="4"/>
        <v>7388.633919</v>
      </c>
      <c r="I13" s="15">
        <f t="shared" si="4"/>
        <v>209.5368407</v>
      </c>
      <c r="J13" s="15">
        <f t="shared" si="4"/>
        <v>0</v>
      </c>
      <c r="K13" s="15">
        <f t="shared" si="4"/>
        <v>41053.27986</v>
      </c>
      <c r="L13" s="184">
        <f t="shared" si="3"/>
        <v>1589927.576</v>
      </c>
      <c r="M13" s="4">
        <f t="shared" ref="M13:U13" si="5">SUM(M16:M37)</f>
        <v>91576.00193</v>
      </c>
      <c r="N13" s="4">
        <f t="shared" si="5"/>
        <v>0</v>
      </c>
      <c r="O13" s="4">
        <f t="shared" si="5"/>
        <v>0</v>
      </c>
      <c r="P13" s="4">
        <f t="shared" si="5"/>
        <v>0</v>
      </c>
      <c r="Q13" s="4">
        <f t="shared" si="5"/>
        <v>64070.85055</v>
      </c>
      <c r="R13" s="4">
        <f t="shared" si="5"/>
        <v>304355.4446</v>
      </c>
      <c r="S13" s="4">
        <f t="shared" si="5"/>
        <v>77.32971059</v>
      </c>
      <c r="T13" s="4">
        <f t="shared" si="5"/>
        <v>0</v>
      </c>
      <c r="U13" s="4">
        <f t="shared" si="5"/>
        <v>6601.387018</v>
      </c>
      <c r="Y13" s="4">
        <f t="shared" ref="Y13:AC13" si="6">SUM(Y16:Y37)</f>
        <v>1213.70379</v>
      </c>
      <c r="Z13" s="4">
        <f t="shared" si="6"/>
        <v>0</v>
      </c>
      <c r="AA13" s="4">
        <f t="shared" si="6"/>
        <v>61263.50278</v>
      </c>
      <c r="AB13" s="4">
        <f t="shared" si="6"/>
        <v>1065.554291</v>
      </c>
      <c r="AC13" s="4">
        <f t="shared" si="6"/>
        <v>0</v>
      </c>
      <c r="AH13" s="4">
        <f t="shared" ref="AH13:AL13" si="7">SUM(AH16:AH37)</f>
        <v>0</v>
      </c>
      <c r="AI13" s="4">
        <f t="shared" si="7"/>
        <v>14.58731304</v>
      </c>
      <c r="AJ13" s="4">
        <f t="shared" si="7"/>
        <v>34175.42335</v>
      </c>
      <c r="AK13" s="4">
        <f t="shared" si="7"/>
        <v>0</v>
      </c>
      <c r="AL13" s="4">
        <f t="shared" si="7"/>
        <v>1025513.791</v>
      </c>
    </row>
    <row r="14" ht="15.75" hidden="1" customHeight="1">
      <c r="B14" s="185"/>
      <c r="L14" s="83">
        <f t="shared" si="3"/>
        <v>0</v>
      </c>
    </row>
    <row r="15" ht="15.75" hidden="1" customHeight="1">
      <c r="B15" s="185"/>
      <c r="L15" s="83">
        <f t="shared" si="3"/>
        <v>0</v>
      </c>
    </row>
    <row r="16" ht="15.75" hidden="1" customHeight="1">
      <c r="A16" s="183">
        <v>1985.0</v>
      </c>
      <c r="B16" s="182" t="s">
        <v>196</v>
      </c>
      <c r="C16" s="83">
        <v>306.19951082764</v>
      </c>
      <c r="D16" s="83">
        <v>357.54226670532</v>
      </c>
      <c r="E16" s="83">
        <v>41.430357757568</v>
      </c>
      <c r="F16" s="83">
        <v>1536.1573718933</v>
      </c>
      <c r="G16" s="83" t="s">
        <v>211</v>
      </c>
      <c r="H16" s="83" t="s">
        <v>211</v>
      </c>
      <c r="I16" s="83" t="s">
        <v>211</v>
      </c>
      <c r="J16" s="83" t="s">
        <v>211</v>
      </c>
      <c r="K16" s="83">
        <v>637.89745943604</v>
      </c>
      <c r="L16" s="83">
        <f t="shared" si="3"/>
        <v>85433.10549</v>
      </c>
      <c r="M16" s="83">
        <v>78805.298009576</v>
      </c>
      <c r="N16" s="83" t="s">
        <v>211</v>
      </c>
      <c r="O16" s="83" t="s">
        <v>211</v>
      </c>
      <c r="P16" s="83" t="s">
        <v>211</v>
      </c>
      <c r="Q16" s="83">
        <v>69.309059106445</v>
      </c>
      <c r="R16" s="83">
        <v>30.714671801758</v>
      </c>
      <c r="S16" s="83" t="s">
        <v>211</v>
      </c>
      <c r="T16" s="83" t="s">
        <v>211</v>
      </c>
      <c r="U16" s="83">
        <v>70.823418670654</v>
      </c>
      <c r="Y16" s="83">
        <v>14.200304937744</v>
      </c>
      <c r="Z16" s="83" t="s">
        <v>211</v>
      </c>
      <c r="AA16" s="83" t="s">
        <v>211</v>
      </c>
      <c r="AB16" s="83" t="s">
        <v>211</v>
      </c>
      <c r="AC16" s="83" t="s">
        <v>211</v>
      </c>
      <c r="AH16" s="83" t="s">
        <v>211</v>
      </c>
      <c r="AI16" s="83" t="s">
        <v>211</v>
      </c>
      <c r="AJ16" s="83" t="s">
        <v>211</v>
      </c>
      <c r="AK16" s="83" t="s">
        <v>211</v>
      </c>
      <c r="AL16" s="83">
        <v>6442.7600242798</v>
      </c>
    </row>
    <row r="17" ht="15.75" hidden="1" customHeight="1">
      <c r="A17" s="183">
        <v>1985.0</v>
      </c>
      <c r="B17" s="182" t="s">
        <v>197</v>
      </c>
      <c r="C17" s="83" t="s">
        <v>211</v>
      </c>
      <c r="D17" s="83" t="s">
        <v>211</v>
      </c>
      <c r="E17" s="83" t="s">
        <v>211</v>
      </c>
      <c r="F17" s="83" t="s">
        <v>211</v>
      </c>
      <c r="G17" s="83" t="s">
        <v>211</v>
      </c>
      <c r="H17" s="83" t="s">
        <v>211</v>
      </c>
      <c r="I17" s="83" t="s">
        <v>211</v>
      </c>
      <c r="J17" s="83" t="s">
        <v>211</v>
      </c>
      <c r="K17" s="83" t="s">
        <v>211</v>
      </c>
      <c r="L17" s="83">
        <f t="shared" si="3"/>
        <v>0</v>
      </c>
      <c r="M17" s="83" t="s">
        <v>211</v>
      </c>
      <c r="N17" s="83" t="s">
        <v>211</v>
      </c>
      <c r="O17" s="83" t="s">
        <v>211</v>
      </c>
      <c r="P17" s="83" t="s">
        <v>211</v>
      </c>
      <c r="Q17" s="83" t="s">
        <v>211</v>
      </c>
      <c r="R17" s="83" t="s">
        <v>211</v>
      </c>
      <c r="S17" s="83" t="s">
        <v>211</v>
      </c>
      <c r="T17" s="83" t="s">
        <v>211</v>
      </c>
      <c r="U17" s="83" t="s">
        <v>211</v>
      </c>
      <c r="Y17" s="83" t="s">
        <v>211</v>
      </c>
      <c r="Z17" s="83" t="s">
        <v>211</v>
      </c>
      <c r="AA17" s="83" t="s">
        <v>211</v>
      </c>
      <c r="AB17" s="83" t="s">
        <v>211</v>
      </c>
      <c r="AC17" s="83" t="s">
        <v>211</v>
      </c>
      <c r="AH17" s="83" t="s">
        <v>211</v>
      </c>
      <c r="AI17" s="83" t="s">
        <v>211</v>
      </c>
      <c r="AJ17" s="83" t="s">
        <v>211</v>
      </c>
      <c r="AK17" s="83" t="s">
        <v>211</v>
      </c>
      <c r="AL17" s="83" t="s">
        <v>211</v>
      </c>
    </row>
    <row r="18" ht="15.75" hidden="1" customHeight="1">
      <c r="A18" s="183">
        <v>1985.0</v>
      </c>
      <c r="B18" s="182" t="s">
        <v>198</v>
      </c>
      <c r="C18" s="83" t="s">
        <v>211</v>
      </c>
      <c r="D18" s="83" t="s">
        <v>211</v>
      </c>
      <c r="E18" s="83" t="s">
        <v>211</v>
      </c>
      <c r="F18" s="83" t="s">
        <v>211</v>
      </c>
      <c r="G18" s="83" t="s">
        <v>211</v>
      </c>
      <c r="H18" s="83" t="s">
        <v>211</v>
      </c>
      <c r="I18" s="83" t="s">
        <v>211</v>
      </c>
      <c r="J18" s="83" t="s">
        <v>211</v>
      </c>
      <c r="K18" s="83" t="s">
        <v>211</v>
      </c>
      <c r="L18" s="83">
        <f t="shared" si="3"/>
        <v>0</v>
      </c>
      <c r="M18" s="83" t="s">
        <v>211</v>
      </c>
      <c r="N18" s="83" t="s">
        <v>211</v>
      </c>
      <c r="O18" s="83" t="s">
        <v>211</v>
      </c>
      <c r="P18" s="83" t="s">
        <v>211</v>
      </c>
      <c r="Q18" s="83" t="s">
        <v>211</v>
      </c>
      <c r="R18" s="83" t="s">
        <v>211</v>
      </c>
      <c r="S18" s="83" t="s">
        <v>211</v>
      </c>
      <c r="T18" s="83" t="s">
        <v>211</v>
      </c>
      <c r="U18" s="83" t="s">
        <v>211</v>
      </c>
      <c r="Y18" s="83" t="s">
        <v>211</v>
      </c>
      <c r="Z18" s="83" t="s">
        <v>211</v>
      </c>
      <c r="AA18" s="83" t="s">
        <v>211</v>
      </c>
      <c r="AB18" s="83" t="s">
        <v>211</v>
      </c>
      <c r="AC18" s="83" t="s">
        <v>211</v>
      </c>
      <c r="AH18" s="83" t="s">
        <v>211</v>
      </c>
      <c r="AI18" s="83" t="s">
        <v>211</v>
      </c>
      <c r="AJ18" s="83" t="s">
        <v>211</v>
      </c>
      <c r="AK18" s="83" t="s">
        <v>211</v>
      </c>
      <c r="AL18" s="83" t="s">
        <v>211</v>
      </c>
    </row>
    <row r="19" ht="15.75" hidden="1" customHeight="1">
      <c r="A19" s="183">
        <v>1985.0</v>
      </c>
      <c r="B19" s="182" t="s">
        <v>41</v>
      </c>
      <c r="C19" s="83" t="s">
        <v>211</v>
      </c>
      <c r="D19" s="83" t="s">
        <v>211</v>
      </c>
      <c r="E19" s="83" t="s">
        <v>211</v>
      </c>
      <c r="F19" s="83" t="s">
        <v>211</v>
      </c>
      <c r="G19" s="83" t="s">
        <v>211</v>
      </c>
      <c r="H19" s="83" t="s">
        <v>211</v>
      </c>
      <c r="I19" s="83" t="s">
        <v>211</v>
      </c>
      <c r="J19" s="83" t="s">
        <v>211</v>
      </c>
      <c r="K19" s="83" t="s">
        <v>211</v>
      </c>
      <c r="L19" s="83">
        <f t="shared" si="3"/>
        <v>0</v>
      </c>
      <c r="M19" s="83" t="s">
        <v>211</v>
      </c>
      <c r="N19" s="83" t="s">
        <v>211</v>
      </c>
      <c r="O19" s="83" t="s">
        <v>211</v>
      </c>
      <c r="P19" s="83" t="s">
        <v>211</v>
      </c>
      <c r="Q19" s="83" t="s">
        <v>211</v>
      </c>
      <c r="R19" s="83" t="s">
        <v>211</v>
      </c>
      <c r="S19" s="83" t="s">
        <v>211</v>
      </c>
      <c r="T19" s="83" t="s">
        <v>211</v>
      </c>
      <c r="U19" s="83" t="s">
        <v>211</v>
      </c>
      <c r="Y19" s="83" t="s">
        <v>211</v>
      </c>
      <c r="Z19" s="83" t="s">
        <v>211</v>
      </c>
      <c r="AA19" s="83" t="s">
        <v>211</v>
      </c>
      <c r="AB19" s="83" t="s">
        <v>211</v>
      </c>
      <c r="AC19" s="83" t="s">
        <v>211</v>
      </c>
      <c r="AH19" s="83" t="s">
        <v>211</v>
      </c>
      <c r="AI19" s="83" t="s">
        <v>211</v>
      </c>
      <c r="AJ19" s="83" t="s">
        <v>211</v>
      </c>
      <c r="AK19" s="83" t="s">
        <v>211</v>
      </c>
      <c r="AL19" s="83" t="s">
        <v>211</v>
      </c>
    </row>
    <row r="20" ht="15.75" hidden="1" customHeight="1">
      <c r="A20" s="183">
        <v>1985.0</v>
      </c>
      <c r="B20" s="182" t="s">
        <v>199</v>
      </c>
      <c r="C20" s="83">
        <v>8.3931282592773</v>
      </c>
      <c r="D20" s="83">
        <v>27.951086395264</v>
      </c>
      <c r="E20" s="83">
        <v>1245.6445475342</v>
      </c>
      <c r="F20" s="83">
        <v>113.41277747192</v>
      </c>
      <c r="G20" s="83" t="s">
        <v>211</v>
      </c>
      <c r="H20" s="83" t="s">
        <v>211</v>
      </c>
      <c r="I20" s="83" t="s">
        <v>211</v>
      </c>
      <c r="J20" s="83" t="s">
        <v>211</v>
      </c>
      <c r="K20" s="83">
        <v>0.98226637573242</v>
      </c>
      <c r="L20" s="83">
        <f t="shared" si="3"/>
        <v>62370.16771</v>
      </c>
      <c r="M20" s="83">
        <v>395.72673418579</v>
      </c>
      <c r="N20" s="83" t="s">
        <v>211</v>
      </c>
      <c r="O20" s="83" t="s">
        <v>211</v>
      </c>
      <c r="P20" s="83" t="s">
        <v>211</v>
      </c>
      <c r="Q20" s="83">
        <v>61054.762810486</v>
      </c>
      <c r="R20" s="83" t="s">
        <v>211</v>
      </c>
      <c r="S20" s="83" t="s">
        <v>211</v>
      </c>
      <c r="T20" s="83" t="s">
        <v>211</v>
      </c>
      <c r="U20" s="83">
        <v>0.80376389160156</v>
      </c>
      <c r="Y20" s="83">
        <v>7.9476601135254</v>
      </c>
      <c r="Z20" s="83" t="s">
        <v>211</v>
      </c>
      <c r="AA20" s="83" t="s">
        <v>211</v>
      </c>
      <c r="AB20" s="83" t="s">
        <v>211</v>
      </c>
      <c r="AC20" s="83" t="s">
        <v>211</v>
      </c>
      <c r="AH20" s="83" t="s">
        <v>211</v>
      </c>
      <c r="AI20" s="83" t="s">
        <v>211</v>
      </c>
      <c r="AJ20" s="83" t="s">
        <v>211</v>
      </c>
      <c r="AK20" s="83" t="s">
        <v>211</v>
      </c>
      <c r="AL20" s="83">
        <v>910.92673995361</v>
      </c>
    </row>
    <row r="21" ht="15.75" hidden="1" customHeight="1">
      <c r="A21" s="183">
        <v>1985.0</v>
      </c>
      <c r="B21" s="182" t="s">
        <v>200</v>
      </c>
      <c r="C21" s="83">
        <v>2727.2912579529</v>
      </c>
      <c r="D21" s="83">
        <v>1283.9443811707</v>
      </c>
      <c r="E21" s="83">
        <v>168.27292617187</v>
      </c>
      <c r="F21" s="83">
        <v>636.83931484375</v>
      </c>
      <c r="G21" s="83">
        <v>8.6294963867188</v>
      </c>
      <c r="H21" s="83">
        <v>364.50515925903</v>
      </c>
      <c r="I21" s="83">
        <v>27.69199107666</v>
      </c>
      <c r="J21" s="83" t="s">
        <v>211</v>
      </c>
      <c r="K21" s="83">
        <v>2779.5284360718</v>
      </c>
      <c r="L21" s="83">
        <f t="shared" si="3"/>
        <v>304383.5075</v>
      </c>
      <c r="M21" s="83">
        <v>4.3755710693359</v>
      </c>
      <c r="N21" s="83" t="s">
        <v>211</v>
      </c>
      <c r="O21" s="83" t="s">
        <v>211</v>
      </c>
      <c r="P21" s="83" t="s">
        <v>211</v>
      </c>
      <c r="Q21" s="83" t="s">
        <v>211</v>
      </c>
      <c r="R21" s="83">
        <v>304197.3713355</v>
      </c>
      <c r="S21" s="83" t="s">
        <v>211</v>
      </c>
      <c r="T21" s="83" t="s">
        <v>211</v>
      </c>
      <c r="U21" s="83">
        <v>0.082761181640625</v>
      </c>
      <c r="Y21" s="83" t="s">
        <v>211</v>
      </c>
      <c r="Z21" s="83" t="s">
        <v>211</v>
      </c>
      <c r="AA21" s="83">
        <v>1.112934967041</v>
      </c>
      <c r="AB21" s="83">
        <v>42.374251617432</v>
      </c>
      <c r="AC21" s="83" t="s">
        <v>211</v>
      </c>
      <c r="AH21" s="83" t="s">
        <v>211</v>
      </c>
      <c r="AI21" s="83" t="s">
        <v>211</v>
      </c>
      <c r="AJ21" s="83" t="s">
        <v>211</v>
      </c>
      <c r="AK21" s="83" t="s">
        <v>211</v>
      </c>
      <c r="AL21" s="83">
        <v>138.19065088501</v>
      </c>
    </row>
    <row r="22" ht="15.75" hidden="1" customHeight="1">
      <c r="A22" s="183">
        <v>1985.0</v>
      </c>
      <c r="B22" s="182" t="s">
        <v>201</v>
      </c>
      <c r="C22" s="83">
        <v>1.9776513305664</v>
      </c>
      <c r="D22" s="83">
        <v>1.2106197265625</v>
      </c>
      <c r="E22" s="83">
        <v>6.3556592590332</v>
      </c>
      <c r="F22" s="83">
        <v>1.7457490783691</v>
      </c>
      <c r="G22" s="83">
        <v>3.4993496704102</v>
      </c>
      <c r="H22" s="83">
        <v>1.0285165527344</v>
      </c>
      <c r="I22" s="83">
        <v>1.0935747436523</v>
      </c>
      <c r="J22" s="83" t="s">
        <v>211</v>
      </c>
      <c r="K22" s="83">
        <v>10.620119726562</v>
      </c>
      <c r="L22" s="83">
        <f t="shared" si="3"/>
        <v>75.75272722</v>
      </c>
      <c r="M22" s="83" t="s">
        <v>211</v>
      </c>
      <c r="N22" s="83" t="s">
        <v>211</v>
      </c>
      <c r="O22" s="83" t="s">
        <v>211</v>
      </c>
      <c r="P22" s="83" t="s">
        <v>211</v>
      </c>
      <c r="Q22" s="83" t="s">
        <v>211</v>
      </c>
      <c r="R22" s="83">
        <v>0.41979450073242</v>
      </c>
      <c r="S22" s="83">
        <v>74.216838201904</v>
      </c>
      <c r="T22" s="83" t="s">
        <v>211</v>
      </c>
      <c r="U22" s="83" t="s">
        <v>211</v>
      </c>
      <c r="Y22" s="83">
        <v>0.089314642333984</v>
      </c>
      <c r="Z22" s="83" t="s">
        <v>211</v>
      </c>
      <c r="AA22" s="83">
        <v>0.16841737060547</v>
      </c>
      <c r="AB22" s="83" t="s">
        <v>211</v>
      </c>
      <c r="AC22" s="83" t="s">
        <v>211</v>
      </c>
      <c r="AH22" s="83" t="s">
        <v>211</v>
      </c>
      <c r="AI22" s="83" t="s">
        <v>211</v>
      </c>
      <c r="AJ22" s="83" t="s">
        <v>211</v>
      </c>
      <c r="AK22" s="83" t="s">
        <v>211</v>
      </c>
      <c r="AL22" s="83">
        <v>0.8583625</v>
      </c>
    </row>
    <row r="23" ht="15.75" hidden="1" customHeight="1">
      <c r="A23" s="183">
        <v>1985.0</v>
      </c>
      <c r="B23" s="182" t="s">
        <v>202</v>
      </c>
      <c r="C23" s="83" t="s">
        <v>211</v>
      </c>
      <c r="D23" s="83" t="s">
        <v>211</v>
      </c>
      <c r="E23" s="83" t="s">
        <v>211</v>
      </c>
      <c r="F23" s="83" t="s">
        <v>211</v>
      </c>
      <c r="G23" s="83" t="s">
        <v>211</v>
      </c>
      <c r="H23" s="83" t="s">
        <v>211</v>
      </c>
      <c r="I23" s="83" t="s">
        <v>211</v>
      </c>
      <c r="J23" s="83" t="s">
        <v>211</v>
      </c>
      <c r="K23" s="83" t="s">
        <v>211</v>
      </c>
      <c r="L23" s="83">
        <f t="shared" si="3"/>
        <v>0</v>
      </c>
      <c r="M23" s="83" t="s">
        <v>211</v>
      </c>
      <c r="N23" s="83" t="s">
        <v>211</v>
      </c>
      <c r="O23" s="83" t="s">
        <v>211</v>
      </c>
      <c r="P23" s="83" t="s">
        <v>211</v>
      </c>
      <c r="Q23" s="83" t="s">
        <v>211</v>
      </c>
      <c r="R23" s="83" t="s">
        <v>211</v>
      </c>
      <c r="S23" s="83" t="s">
        <v>211</v>
      </c>
      <c r="T23" s="83" t="s">
        <v>211</v>
      </c>
      <c r="U23" s="83" t="s">
        <v>211</v>
      </c>
      <c r="Y23" s="83" t="s">
        <v>211</v>
      </c>
      <c r="Z23" s="83" t="s">
        <v>211</v>
      </c>
      <c r="AA23" s="83" t="s">
        <v>211</v>
      </c>
      <c r="AB23" s="83" t="s">
        <v>211</v>
      </c>
      <c r="AC23" s="83" t="s">
        <v>211</v>
      </c>
      <c r="AH23" s="83" t="s">
        <v>211</v>
      </c>
      <c r="AI23" s="83" t="s">
        <v>211</v>
      </c>
      <c r="AJ23" s="83" t="s">
        <v>211</v>
      </c>
      <c r="AK23" s="83" t="s">
        <v>211</v>
      </c>
      <c r="AL23" s="83" t="s">
        <v>211</v>
      </c>
    </row>
    <row r="24" ht="15.75" hidden="1" customHeight="1">
      <c r="A24" s="183">
        <v>1985.0</v>
      </c>
      <c r="B24" s="182" t="s">
        <v>203</v>
      </c>
      <c r="C24" s="83">
        <v>17.135784692383</v>
      </c>
      <c r="D24" s="83">
        <v>6.1694493652344</v>
      </c>
      <c r="E24" s="83">
        <v>15.76759911499</v>
      </c>
      <c r="F24" s="83">
        <v>18.21709185791</v>
      </c>
      <c r="G24" s="83">
        <v>0.93146700439453</v>
      </c>
      <c r="H24" s="83">
        <v>5.3424885375977</v>
      </c>
      <c r="I24" s="83">
        <v>0.50488153076172</v>
      </c>
      <c r="J24" s="83" t="s">
        <v>211</v>
      </c>
      <c r="K24" s="83">
        <v>8.9157261352539</v>
      </c>
      <c r="L24" s="83">
        <f t="shared" si="3"/>
        <v>6551.095769</v>
      </c>
      <c r="M24" s="83">
        <v>13.931154608154</v>
      </c>
      <c r="N24" s="83" t="s">
        <v>211</v>
      </c>
      <c r="O24" s="83" t="s">
        <v>211</v>
      </c>
      <c r="P24" s="83" t="s">
        <v>211</v>
      </c>
      <c r="Q24" s="83">
        <v>1.6074542175293</v>
      </c>
      <c r="R24" s="83">
        <v>1.1661789428711</v>
      </c>
      <c r="S24" s="83" t="s">
        <v>211</v>
      </c>
      <c r="T24" s="83" t="s">
        <v>211</v>
      </c>
      <c r="U24" s="83">
        <v>6516.5005418639</v>
      </c>
      <c r="Y24" s="83" t="s">
        <v>211</v>
      </c>
      <c r="Z24" s="83" t="s">
        <v>211</v>
      </c>
      <c r="AA24" s="83">
        <v>0.59658809204102</v>
      </c>
      <c r="AB24" s="83" t="s">
        <v>211</v>
      </c>
      <c r="AC24" s="83" t="s">
        <v>211</v>
      </c>
      <c r="AH24" s="83" t="s">
        <v>211</v>
      </c>
      <c r="AI24" s="83" t="s">
        <v>211</v>
      </c>
      <c r="AJ24" s="83" t="s">
        <v>211</v>
      </c>
      <c r="AK24" s="83" t="s">
        <v>211</v>
      </c>
      <c r="AL24" s="83">
        <v>17.293851043701</v>
      </c>
    </row>
    <row r="25" ht="15.75" hidden="1" customHeight="1">
      <c r="B25" s="185"/>
      <c r="L25" s="83">
        <f t="shared" si="3"/>
        <v>0</v>
      </c>
    </row>
    <row r="26" ht="15.75" hidden="1" customHeight="1">
      <c r="B26" s="185"/>
      <c r="L26" s="83">
        <f t="shared" si="3"/>
        <v>0</v>
      </c>
    </row>
    <row r="27" ht="15.75" hidden="1" customHeight="1">
      <c r="B27" s="185"/>
      <c r="L27" s="83">
        <f t="shared" si="3"/>
        <v>0</v>
      </c>
    </row>
    <row r="28" ht="15.75" hidden="1" customHeight="1">
      <c r="A28" s="183">
        <v>1985.0</v>
      </c>
      <c r="B28" s="182" t="s">
        <v>204</v>
      </c>
      <c r="C28" s="83">
        <v>0.44644481201172</v>
      </c>
      <c r="D28" s="83">
        <v>4.0176643981934</v>
      </c>
      <c r="E28" s="83">
        <v>40.181766033936</v>
      </c>
      <c r="F28" s="83">
        <v>2.5896733337402</v>
      </c>
      <c r="G28" s="83" t="s">
        <v>211</v>
      </c>
      <c r="H28" s="83" t="s">
        <v>211</v>
      </c>
      <c r="I28" s="83" t="s">
        <v>211</v>
      </c>
      <c r="J28" s="83" t="s">
        <v>211</v>
      </c>
      <c r="K28" s="83">
        <v>4.6426349426269</v>
      </c>
      <c r="L28" s="83">
        <f t="shared" si="3"/>
        <v>1681.510769</v>
      </c>
      <c r="M28" s="83">
        <v>3.0359594604492</v>
      </c>
      <c r="N28" s="83" t="s">
        <v>211</v>
      </c>
      <c r="O28" s="83" t="s">
        <v>211</v>
      </c>
      <c r="P28" s="83" t="s">
        <v>211</v>
      </c>
      <c r="Q28" s="83">
        <v>374.6912645874</v>
      </c>
      <c r="R28" s="83" t="s">
        <v>211</v>
      </c>
      <c r="S28" s="83">
        <v>0.26783817138672</v>
      </c>
      <c r="T28" s="83" t="s">
        <v>211</v>
      </c>
      <c r="U28" s="83" t="s">
        <v>211</v>
      </c>
      <c r="Y28" s="83">
        <v>1035.7092937744</v>
      </c>
      <c r="Z28" s="83" t="s">
        <v>211</v>
      </c>
      <c r="AA28" s="83" t="s">
        <v>211</v>
      </c>
      <c r="AB28" s="83" t="s">
        <v>211</v>
      </c>
      <c r="AC28" s="83" t="s">
        <v>211</v>
      </c>
      <c r="AH28" s="83" t="s">
        <v>211</v>
      </c>
      <c r="AI28" s="83" t="s">
        <v>211</v>
      </c>
      <c r="AJ28" s="83" t="s">
        <v>211</v>
      </c>
      <c r="AK28" s="83" t="s">
        <v>211</v>
      </c>
      <c r="AL28" s="83">
        <v>267.8064130127</v>
      </c>
    </row>
    <row r="29" ht="15.75" hidden="1" customHeight="1">
      <c r="A29" s="183">
        <v>1985.0</v>
      </c>
      <c r="B29" s="182" t="s">
        <v>205</v>
      </c>
      <c r="C29" s="83" t="s">
        <v>211</v>
      </c>
      <c r="D29" s="83" t="s">
        <v>211</v>
      </c>
      <c r="E29" s="83" t="s">
        <v>211</v>
      </c>
      <c r="F29" s="83" t="s">
        <v>211</v>
      </c>
      <c r="G29" s="83" t="s">
        <v>211</v>
      </c>
      <c r="H29" s="83" t="s">
        <v>211</v>
      </c>
      <c r="I29" s="83" t="s">
        <v>211</v>
      </c>
      <c r="J29" s="83" t="s">
        <v>211</v>
      </c>
      <c r="K29" s="83" t="s">
        <v>211</v>
      </c>
      <c r="L29" s="83">
        <f t="shared" si="3"/>
        <v>0</v>
      </c>
      <c r="M29" s="83" t="s">
        <v>211</v>
      </c>
      <c r="N29" s="83" t="s">
        <v>211</v>
      </c>
      <c r="O29" s="83" t="s">
        <v>211</v>
      </c>
      <c r="P29" s="83" t="s">
        <v>211</v>
      </c>
      <c r="Q29" s="83" t="s">
        <v>211</v>
      </c>
      <c r="R29" s="83" t="s">
        <v>211</v>
      </c>
      <c r="S29" s="83" t="s">
        <v>211</v>
      </c>
      <c r="T29" s="83" t="s">
        <v>211</v>
      </c>
      <c r="U29" s="83" t="s">
        <v>211</v>
      </c>
      <c r="Y29" s="83" t="s">
        <v>211</v>
      </c>
      <c r="Z29" s="83" t="s">
        <v>211</v>
      </c>
      <c r="AA29" s="83" t="s">
        <v>211</v>
      </c>
      <c r="AB29" s="83" t="s">
        <v>211</v>
      </c>
      <c r="AC29" s="83" t="s">
        <v>211</v>
      </c>
      <c r="AH29" s="83" t="s">
        <v>211</v>
      </c>
      <c r="AI29" s="83" t="s">
        <v>211</v>
      </c>
      <c r="AJ29" s="83" t="s">
        <v>211</v>
      </c>
      <c r="AK29" s="83" t="s">
        <v>211</v>
      </c>
      <c r="AL29" s="83" t="s">
        <v>211</v>
      </c>
    </row>
    <row r="30" ht="15.75" hidden="1" customHeight="1">
      <c r="A30" s="183">
        <v>1985.0</v>
      </c>
      <c r="B30" s="182" t="s">
        <v>206</v>
      </c>
      <c r="C30" s="83">
        <v>154.58323530273</v>
      </c>
      <c r="D30" s="83">
        <v>2457.0916808777</v>
      </c>
      <c r="E30" s="83">
        <v>709.84377518311</v>
      </c>
      <c r="F30" s="83">
        <v>690.59415067139</v>
      </c>
      <c r="G30" s="83">
        <v>234.87001072998</v>
      </c>
      <c r="H30" s="83">
        <v>238.54976090698</v>
      </c>
      <c r="I30" s="83" t="s">
        <v>211</v>
      </c>
      <c r="J30" s="83" t="s">
        <v>211</v>
      </c>
      <c r="K30" s="83">
        <v>143.83244417114</v>
      </c>
      <c r="L30" s="83">
        <f t="shared" si="3"/>
        <v>61257.65009</v>
      </c>
      <c r="M30" s="83" t="s">
        <v>211</v>
      </c>
      <c r="N30" s="83" t="s">
        <v>211</v>
      </c>
      <c r="O30" s="83" t="s">
        <v>211</v>
      </c>
      <c r="P30" s="83" t="s">
        <v>211</v>
      </c>
      <c r="Q30" s="83" t="s">
        <v>211</v>
      </c>
      <c r="R30" s="83">
        <v>0.76644965209961</v>
      </c>
      <c r="S30" s="83" t="s">
        <v>211</v>
      </c>
      <c r="T30" s="83" t="s">
        <v>211</v>
      </c>
      <c r="U30" s="83">
        <v>0.17194060668945</v>
      </c>
      <c r="Y30" s="83" t="s">
        <v>211</v>
      </c>
      <c r="Z30" s="83" t="s">
        <v>211</v>
      </c>
      <c r="AA30" s="83">
        <v>61254.729498334</v>
      </c>
      <c r="AB30" s="83">
        <v>0.3405138671875</v>
      </c>
      <c r="AC30" s="83" t="s">
        <v>211</v>
      </c>
      <c r="AH30" s="83" t="s">
        <v>211</v>
      </c>
      <c r="AI30" s="83" t="s">
        <v>211</v>
      </c>
      <c r="AJ30" s="83">
        <v>0.085048388671875</v>
      </c>
      <c r="AK30" s="83" t="s">
        <v>211</v>
      </c>
      <c r="AL30" s="83">
        <v>1.5566366271973</v>
      </c>
    </row>
    <row r="31" ht="15.75" hidden="1" customHeight="1">
      <c r="A31" s="183">
        <v>1985.0</v>
      </c>
      <c r="B31" s="182" t="s">
        <v>207</v>
      </c>
      <c r="C31" s="83">
        <v>59.947013970947</v>
      </c>
      <c r="D31" s="83">
        <v>136.61953113403</v>
      </c>
      <c r="E31" s="83">
        <v>159.91890279541</v>
      </c>
      <c r="F31" s="83">
        <v>19.494807171631</v>
      </c>
      <c r="G31" s="83">
        <v>9.7375924072266</v>
      </c>
      <c r="H31" s="83">
        <v>128.72843704834</v>
      </c>
      <c r="I31" s="83">
        <v>97.755948345947</v>
      </c>
      <c r="J31" s="83" t="s">
        <v>211</v>
      </c>
      <c r="K31" s="83">
        <v>280.46670019531</v>
      </c>
      <c r="L31" s="83">
        <f t="shared" si="3"/>
        <v>1101.680496</v>
      </c>
      <c r="M31" s="83" t="s">
        <v>211</v>
      </c>
      <c r="N31" s="83" t="s">
        <v>211</v>
      </c>
      <c r="O31" s="83" t="s">
        <v>211</v>
      </c>
      <c r="P31" s="83" t="s">
        <v>211</v>
      </c>
      <c r="Q31" s="83" t="s">
        <v>211</v>
      </c>
      <c r="R31" s="83">
        <v>33.302368249512</v>
      </c>
      <c r="S31" s="83" t="s">
        <v>211</v>
      </c>
      <c r="T31" s="83" t="s">
        <v>211</v>
      </c>
      <c r="U31" s="83" t="s">
        <v>211</v>
      </c>
      <c r="Y31" s="83" t="s">
        <v>211</v>
      </c>
      <c r="Z31" s="83" t="s">
        <v>211</v>
      </c>
      <c r="AA31" s="83" t="s">
        <v>211</v>
      </c>
      <c r="AB31" s="83">
        <v>998.87881295166</v>
      </c>
      <c r="AC31" s="83" t="s">
        <v>211</v>
      </c>
      <c r="AH31" s="83" t="s">
        <v>211</v>
      </c>
      <c r="AI31" s="83" t="s">
        <v>211</v>
      </c>
      <c r="AJ31" s="83" t="s">
        <v>211</v>
      </c>
      <c r="AK31" s="83" t="s">
        <v>211</v>
      </c>
      <c r="AL31" s="83">
        <v>69.499314440918</v>
      </c>
    </row>
    <row r="32" ht="15.75" hidden="1" customHeight="1">
      <c r="A32" s="183">
        <v>1985.0</v>
      </c>
      <c r="B32" s="182" t="s">
        <v>52</v>
      </c>
      <c r="C32" s="83" t="s">
        <v>211</v>
      </c>
      <c r="D32" s="83" t="s">
        <v>211</v>
      </c>
      <c r="E32" s="83" t="s">
        <v>211</v>
      </c>
      <c r="F32" s="83" t="s">
        <v>211</v>
      </c>
      <c r="G32" s="83" t="s">
        <v>211</v>
      </c>
      <c r="H32" s="83" t="s">
        <v>211</v>
      </c>
      <c r="I32" s="83" t="s">
        <v>211</v>
      </c>
      <c r="J32" s="83" t="s">
        <v>211</v>
      </c>
      <c r="K32" s="83" t="s">
        <v>211</v>
      </c>
      <c r="L32" s="83">
        <f t="shared" si="3"/>
        <v>0</v>
      </c>
      <c r="M32" s="83" t="s">
        <v>211</v>
      </c>
      <c r="N32" s="83" t="s">
        <v>211</v>
      </c>
      <c r="O32" s="83" t="s">
        <v>211</v>
      </c>
      <c r="P32" s="83" t="s">
        <v>211</v>
      </c>
      <c r="Q32" s="83" t="s">
        <v>211</v>
      </c>
      <c r="R32" s="83" t="s">
        <v>211</v>
      </c>
      <c r="S32" s="83" t="s">
        <v>211</v>
      </c>
      <c r="T32" s="83" t="s">
        <v>211</v>
      </c>
      <c r="U32" s="83" t="s">
        <v>211</v>
      </c>
      <c r="Y32" s="83" t="s">
        <v>211</v>
      </c>
      <c r="Z32" s="83" t="s">
        <v>211</v>
      </c>
      <c r="AA32" s="83" t="s">
        <v>211</v>
      </c>
      <c r="AB32" s="83" t="s">
        <v>211</v>
      </c>
      <c r="AC32" s="83" t="s">
        <v>211</v>
      </c>
      <c r="AH32" s="83" t="s">
        <v>211</v>
      </c>
      <c r="AI32" s="83" t="s">
        <v>211</v>
      </c>
      <c r="AJ32" s="83" t="s">
        <v>211</v>
      </c>
      <c r="AK32" s="83" t="s">
        <v>211</v>
      </c>
      <c r="AL32" s="83" t="s">
        <v>211</v>
      </c>
    </row>
    <row r="33" ht="15.75" hidden="1" customHeight="1">
      <c r="A33" s="183">
        <v>1985.0</v>
      </c>
      <c r="B33" s="182" t="s">
        <v>193</v>
      </c>
      <c r="C33" s="83" t="s">
        <v>211</v>
      </c>
      <c r="D33" s="83" t="s">
        <v>211</v>
      </c>
      <c r="E33" s="83" t="s">
        <v>211</v>
      </c>
      <c r="F33" s="83" t="s">
        <v>211</v>
      </c>
      <c r="G33" s="83" t="s">
        <v>211</v>
      </c>
      <c r="H33" s="83" t="s">
        <v>211</v>
      </c>
      <c r="I33" s="83" t="s">
        <v>211</v>
      </c>
      <c r="J33" s="83" t="s">
        <v>211</v>
      </c>
      <c r="K33" s="83" t="s">
        <v>211</v>
      </c>
      <c r="L33" s="83">
        <f t="shared" si="3"/>
        <v>0</v>
      </c>
      <c r="M33" s="83" t="s">
        <v>211</v>
      </c>
      <c r="N33" s="83" t="s">
        <v>211</v>
      </c>
      <c r="O33" s="83" t="s">
        <v>211</v>
      </c>
      <c r="P33" s="83" t="s">
        <v>211</v>
      </c>
      <c r="Q33" s="83" t="s">
        <v>211</v>
      </c>
      <c r="R33" s="83" t="s">
        <v>211</v>
      </c>
      <c r="S33" s="83" t="s">
        <v>211</v>
      </c>
      <c r="T33" s="83" t="s">
        <v>211</v>
      </c>
      <c r="U33" s="83" t="s">
        <v>211</v>
      </c>
      <c r="Y33" s="83" t="s">
        <v>211</v>
      </c>
      <c r="Z33" s="83" t="s">
        <v>211</v>
      </c>
      <c r="AA33" s="83" t="s">
        <v>211</v>
      </c>
      <c r="AB33" s="83" t="s">
        <v>211</v>
      </c>
      <c r="AC33" s="83" t="s">
        <v>211</v>
      </c>
      <c r="AH33" s="83" t="s">
        <v>211</v>
      </c>
      <c r="AI33" s="83" t="s">
        <v>211</v>
      </c>
      <c r="AJ33" s="83" t="s">
        <v>211</v>
      </c>
      <c r="AK33" s="83" t="s">
        <v>211</v>
      </c>
      <c r="AL33" s="83" t="s">
        <v>211</v>
      </c>
    </row>
    <row r="34" ht="15.75" hidden="1" customHeight="1">
      <c r="A34" s="183">
        <v>1985.0</v>
      </c>
      <c r="B34" s="182" t="s">
        <v>208</v>
      </c>
      <c r="C34" s="83">
        <v>1.4326721374512</v>
      </c>
      <c r="D34" s="83">
        <v>5.7882294128418</v>
      </c>
      <c r="E34" s="83">
        <v>1.0085448120117</v>
      </c>
      <c r="F34" s="83">
        <v>0.4225151550293</v>
      </c>
      <c r="G34" s="83" t="s">
        <v>211</v>
      </c>
      <c r="H34" s="83" t="s">
        <v>211</v>
      </c>
      <c r="I34" s="83" t="s">
        <v>211</v>
      </c>
      <c r="J34" s="83" t="s">
        <v>211</v>
      </c>
      <c r="K34" s="83" t="s">
        <v>211</v>
      </c>
      <c r="L34" s="83">
        <f t="shared" si="3"/>
        <v>14.25121698</v>
      </c>
      <c r="M34" s="83" t="s">
        <v>211</v>
      </c>
      <c r="N34" s="83" t="s">
        <v>211</v>
      </c>
      <c r="O34" s="83" t="s">
        <v>211</v>
      </c>
      <c r="P34" s="83" t="s">
        <v>211</v>
      </c>
      <c r="Q34" s="83" t="s">
        <v>211</v>
      </c>
      <c r="R34" s="83" t="s">
        <v>211</v>
      </c>
      <c r="S34" s="83" t="s">
        <v>211</v>
      </c>
      <c r="T34" s="83" t="s">
        <v>211</v>
      </c>
      <c r="U34" s="83" t="s">
        <v>211</v>
      </c>
      <c r="Y34" s="83" t="s">
        <v>211</v>
      </c>
      <c r="Z34" s="83" t="s">
        <v>211</v>
      </c>
      <c r="AA34" s="83" t="s">
        <v>211</v>
      </c>
      <c r="AB34" s="83" t="s">
        <v>211</v>
      </c>
      <c r="AC34" s="83" t="s">
        <v>211</v>
      </c>
      <c r="AH34" s="83" t="s">
        <v>211</v>
      </c>
      <c r="AI34" s="83">
        <v>14.167244091797</v>
      </c>
      <c r="AJ34" s="83" t="s">
        <v>211</v>
      </c>
      <c r="AK34" s="83" t="s">
        <v>211</v>
      </c>
      <c r="AL34" s="83">
        <v>0.083972888183594</v>
      </c>
    </row>
    <row r="35" ht="15.75" hidden="1" customHeight="1">
      <c r="A35" s="183">
        <v>1985.0</v>
      </c>
      <c r="B35" s="182" t="s">
        <v>209</v>
      </c>
      <c r="C35" s="83">
        <v>2094.9722244324</v>
      </c>
      <c r="D35" s="83">
        <v>17881.118360315</v>
      </c>
      <c r="E35" s="83">
        <v>559.48525883179</v>
      </c>
      <c r="F35" s="83">
        <v>15325.981583032</v>
      </c>
      <c r="G35" s="83">
        <v>239.00361136475</v>
      </c>
      <c r="H35" s="83">
        <v>5961.2433390197</v>
      </c>
      <c r="I35" s="83" t="s">
        <v>211</v>
      </c>
      <c r="J35" s="83" t="s">
        <v>211</v>
      </c>
      <c r="K35" s="83">
        <v>783.30930079346</v>
      </c>
      <c r="L35" s="83">
        <f t="shared" si="3"/>
        <v>34317.9116</v>
      </c>
      <c r="M35" s="83">
        <v>24.024197955322</v>
      </c>
      <c r="N35" s="83" t="s">
        <v>211</v>
      </c>
      <c r="O35" s="83" t="s">
        <v>211</v>
      </c>
      <c r="P35" s="83" t="s">
        <v>211</v>
      </c>
      <c r="Q35" s="83" t="s">
        <v>211</v>
      </c>
      <c r="R35" s="83">
        <v>20.712885455322</v>
      </c>
      <c r="S35" s="83" t="s">
        <v>211</v>
      </c>
      <c r="T35" s="83" t="s">
        <v>211</v>
      </c>
      <c r="U35" s="83" t="s">
        <v>211</v>
      </c>
      <c r="Y35" s="83">
        <v>0.089314965820313</v>
      </c>
      <c r="Z35" s="83" t="s">
        <v>211</v>
      </c>
      <c r="AA35" s="83">
        <v>1.2734732055664</v>
      </c>
      <c r="AB35" s="83">
        <v>0.25544219970703</v>
      </c>
      <c r="AC35" s="83" t="s">
        <v>211</v>
      </c>
      <c r="AH35" s="83" t="s">
        <v>211</v>
      </c>
      <c r="AI35" s="83" t="s">
        <v>211</v>
      </c>
      <c r="AJ35" s="83">
        <v>34175.248983435</v>
      </c>
      <c r="AK35" s="83" t="s">
        <v>211</v>
      </c>
      <c r="AL35" s="83">
        <v>96.307304345703</v>
      </c>
    </row>
    <row r="36" ht="15.75" hidden="1" customHeight="1">
      <c r="A36" s="183">
        <v>1985.0</v>
      </c>
      <c r="B36" s="182" t="s">
        <v>53</v>
      </c>
      <c r="C36" s="83" t="s">
        <v>211</v>
      </c>
      <c r="D36" s="83" t="s">
        <v>211</v>
      </c>
      <c r="E36" s="83" t="s">
        <v>211</v>
      </c>
      <c r="F36" s="83" t="s">
        <v>211</v>
      </c>
      <c r="G36" s="83" t="s">
        <v>211</v>
      </c>
      <c r="H36" s="83" t="s">
        <v>211</v>
      </c>
      <c r="I36" s="83" t="s">
        <v>211</v>
      </c>
      <c r="J36" s="83" t="s">
        <v>211</v>
      </c>
      <c r="K36" s="83" t="s">
        <v>211</v>
      </c>
      <c r="L36" s="83">
        <f t="shared" si="3"/>
        <v>0</v>
      </c>
      <c r="M36" s="83" t="s">
        <v>211</v>
      </c>
      <c r="N36" s="83" t="s">
        <v>211</v>
      </c>
      <c r="O36" s="83" t="s">
        <v>211</v>
      </c>
      <c r="P36" s="83" t="s">
        <v>211</v>
      </c>
      <c r="Q36" s="83" t="s">
        <v>211</v>
      </c>
      <c r="R36" s="83" t="s">
        <v>211</v>
      </c>
      <c r="S36" s="83" t="s">
        <v>211</v>
      </c>
      <c r="T36" s="83" t="s">
        <v>211</v>
      </c>
      <c r="U36" s="83" t="s">
        <v>211</v>
      </c>
      <c r="Y36" s="83" t="s">
        <v>211</v>
      </c>
      <c r="Z36" s="83" t="s">
        <v>211</v>
      </c>
      <c r="AA36" s="83" t="s">
        <v>211</v>
      </c>
      <c r="AB36" s="83" t="s">
        <v>211</v>
      </c>
      <c r="AC36" s="83" t="s">
        <v>211</v>
      </c>
      <c r="AH36" s="83" t="s">
        <v>211</v>
      </c>
      <c r="AI36" s="83" t="s">
        <v>211</v>
      </c>
      <c r="AJ36" s="83" t="s">
        <v>211</v>
      </c>
      <c r="AK36" s="83" t="s">
        <v>211</v>
      </c>
      <c r="AL36" s="83" t="s">
        <v>211</v>
      </c>
    </row>
    <row r="37" ht="15.75" hidden="1" customHeight="1">
      <c r="A37" s="183">
        <v>1985.0</v>
      </c>
      <c r="B37" s="182" t="s">
        <v>210</v>
      </c>
      <c r="C37" s="83">
        <v>49191.919394092</v>
      </c>
      <c r="D37" s="83">
        <v>19555.857091998</v>
      </c>
      <c r="E37" s="83">
        <v>28624.427094342</v>
      </c>
      <c r="F37" s="83">
        <v>23113.718183282</v>
      </c>
      <c r="G37" s="83">
        <v>40.460738195801</v>
      </c>
      <c r="H37" s="83">
        <v>689.23621785278</v>
      </c>
      <c r="I37" s="83">
        <v>82.490445013428</v>
      </c>
      <c r="J37" s="83" t="s">
        <v>211</v>
      </c>
      <c r="K37" s="83">
        <v>36403.084773444</v>
      </c>
      <c r="L37" s="83">
        <f t="shared" si="3"/>
        <v>1032740.943</v>
      </c>
      <c r="M37" s="83">
        <v>12329.610302411</v>
      </c>
      <c r="N37" s="83" t="s">
        <v>211</v>
      </c>
      <c r="O37" s="83" t="s">
        <v>211</v>
      </c>
      <c r="P37" s="83" t="s">
        <v>211</v>
      </c>
      <c r="Q37" s="83">
        <v>2570.4799628052</v>
      </c>
      <c r="R37" s="83">
        <v>70.990914251709</v>
      </c>
      <c r="S37" s="83">
        <v>2.8450342163086</v>
      </c>
      <c r="T37" s="83" t="s">
        <v>211</v>
      </c>
      <c r="U37" s="83">
        <v>13.004591461182</v>
      </c>
      <c r="Y37" s="83">
        <v>155.66790116577</v>
      </c>
      <c r="Z37" s="83" t="s">
        <v>211</v>
      </c>
      <c r="AA37" s="83">
        <v>5.6218707702637</v>
      </c>
      <c r="AB37" s="83">
        <v>23.705270056152</v>
      </c>
      <c r="AC37" s="83" t="s">
        <v>211</v>
      </c>
      <c r="AH37" s="83" t="s">
        <v>211</v>
      </c>
      <c r="AI37" s="83">
        <v>0.4200689453125</v>
      </c>
      <c r="AJ37" s="83">
        <v>0.089316455078125</v>
      </c>
      <c r="AK37" s="83" t="s">
        <v>211</v>
      </c>
      <c r="AL37" s="83">
        <v>1017568.5075453</v>
      </c>
    </row>
    <row r="38" ht="15.75" hidden="1" customHeight="1">
      <c r="B38" s="185"/>
    </row>
    <row r="39" ht="15.75" hidden="1" customHeight="1">
      <c r="B39" s="185"/>
    </row>
    <row r="40" ht="15.75" hidden="1" customHeight="1">
      <c r="B40" s="185"/>
    </row>
    <row r="41" ht="15.75" hidden="1" customHeight="1">
      <c r="B41" s="185"/>
    </row>
    <row r="42" ht="15.75" hidden="1" customHeight="1">
      <c r="B42" s="185"/>
    </row>
    <row r="43" ht="15.75" customHeight="1">
      <c r="B43" s="185"/>
    </row>
    <row r="44" ht="15.75" customHeight="1">
      <c r="B44" s="185"/>
    </row>
    <row r="45" ht="15.75" customHeight="1">
      <c r="B45" s="185"/>
    </row>
    <row r="46" ht="15.75" customHeight="1">
      <c r="B46" s="185"/>
    </row>
    <row r="47" ht="15.75" customHeight="1">
      <c r="B47" s="185"/>
    </row>
    <row r="48" ht="15.75" customHeight="1">
      <c r="B48" s="185"/>
    </row>
    <row r="49" ht="15.75" customHeight="1">
      <c r="B49" s="185"/>
    </row>
    <row r="50" ht="15.75" customHeight="1">
      <c r="B50" s="185"/>
    </row>
    <row r="51" ht="15.75" customHeight="1">
      <c r="B51" s="185"/>
    </row>
    <row r="52" ht="15.75" customHeight="1">
      <c r="B52" s="185"/>
    </row>
    <row r="53" ht="15.75" customHeight="1">
      <c r="B53" s="185"/>
    </row>
    <row r="54" ht="15.75" customHeight="1">
      <c r="B54" s="185"/>
    </row>
    <row r="55" ht="15.75" customHeight="1">
      <c r="B55" s="185"/>
    </row>
    <row r="56" ht="15.75" customHeight="1">
      <c r="B56" s="185"/>
    </row>
    <row r="57" ht="15.75" customHeight="1">
      <c r="B57" s="185"/>
    </row>
    <row r="58" ht="15.75" customHeight="1">
      <c r="B58" s="185"/>
    </row>
    <row r="59" ht="15.75" customHeight="1">
      <c r="B59" s="185"/>
    </row>
    <row r="60" ht="15.75" customHeight="1">
      <c r="B60" s="185"/>
    </row>
    <row r="61" ht="15.75" customHeight="1">
      <c r="B61" s="185"/>
    </row>
    <row r="62" ht="15.75" customHeight="1">
      <c r="B62" s="185"/>
    </row>
    <row r="63" ht="15.75" customHeight="1">
      <c r="B63" s="185"/>
    </row>
    <row r="64" ht="15.75" customHeight="1">
      <c r="B64" s="185"/>
    </row>
    <row r="65" ht="15.75" customHeight="1">
      <c r="B65" s="185"/>
    </row>
    <row r="66" ht="15.75" customHeight="1">
      <c r="B66" s="185"/>
    </row>
    <row r="67" ht="15.75" customHeight="1">
      <c r="B67" s="185"/>
    </row>
    <row r="68" ht="15.75" customHeight="1">
      <c r="B68" s="185"/>
    </row>
    <row r="69" ht="15.75" customHeight="1">
      <c r="B69" s="185"/>
    </row>
    <row r="70" ht="15.75" customHeight="1">
      <c r="B70" s="185"/>
    </row>
    <row r="71" ht="15.75" customHeight="1">
      <c r="B71" s="185"/>
    </row>
    <row r="72" ht="15.75" customHeight="1">
      <c r="B72" s="185"/>
    </row>
    <row r="73" ht="15.75" customHeight="1">
      <c r="B73" s="185"/>
    </row>
    <row r="74" ht="15.75" customHeight="1">
      <c r="B74" s="185"/>
    </row>
    <row r="75" ht="15.75" customHeight="1">
      <c r="B75" s="185"/>
    </row>
    <row r="76" ht="15.75" customHeight="1">
      <c r="B76" s="185"/>
    </row>
    <row r="77" ht="15.75" customHeight="1">
      <c r="B77" s="185"/>
    </row>
    <row r="78" ht="15.75" customHeight="1">
      <c r="B78" s="185"/>
    </row>
    <row r="79" ht="15.75" customHeight="1">
      <c r="B79" s="185"/>
    </row>
    <row r="80" ht="15.75" customHeight="1">
      <c r="B80" s="185"/>
    </row>
    <row r="81" ht="15.75" customHeight="1">
      <c r="B81" s="185"/>
    </row>
    <row r="82" ht="15.75" customHeight="1">
      <c r="B82" s="185"/>
    </row>
    <row r="83" ht="15.75" customHeight="1">
      <c r="B83" s="185"/>
    </row>
    <row r="84" ht="15.75" customHeight="1">
      <c r="B84" s="185"/>
    </row>
    <row r="85" ht="15.75" customHeight="1">
      <c r="B85" s="185"/>
    </row>
    <row r="86" ht="15.75" customHeight="1">
      <c r="B86" s="185"/>
    </row>
    <row r="87" ht="15.75" customHeight="1">
      <c r="B87" s="185"/>
    </row>
    <row r="88" ht="15.75" customHeight="1">
      <c r="B88" s="185"/>
    </row>
    <row r="89" ht="15.75" customHeight="1">
      <c r="B89" s="185"/>
    </row>
    <row r="90" ht="15.75" customHeight="1">
      <c r="B90" s="185"/>
    </row>
    <row r="91" ht="15.75" customHeight="1">
      <c r="B91" s="185"/>
    </row>
    <row r="92" ht="15.75" customHeight="1">
      <c r="B92" s="185"/>
    </row>
    <row r="93" ht="15.75" customHeight="1">
      <c r="B93" s="185"/>
    </row>
    <row r="94" ht="15.75" customHeight="1">
      <c r="B94" s="185"/>
    </row>
    <row r="95" ht="15.75" customHeight="1">
      <c r="B95" s="185"/>
    </row>
    <row r="96" ht="15.75" customHeight="1">
      <c r="B96" s="185"/>
    </row>
    <row r="97" ht="15.75" customHeight="1">
      <c r="B97" s="185"/>
    </row>
    <row r="98" ht="15.75" customHeight="1">
      <c r="B98" s="185"/>
    </row>
    <row r="99" ht="15.75" customHeight="1">
      <c r="B99" s="185"/>
    </row>
    <row r="100" ht="15.75" customHeight="1">
      <c r="B100" s="185"/>
    </row>
    <row r="101" ht="15.75" customHeight="1">
      <c r="B101" s="185"/>
    </row>
    <row r="102" ht="15.75" customHeight="1">
      <c r="B102" s="185"/>
    </row>
    <row r="103" ht="15.75" customHeight="1">
      <c r="B103" s="185"/>
    </row>
    <row r="104" ht="15.75" customHeight="1">
      <c r="B104" s="185"/>
    </row>
    <row r="105" ht="15.75" customHeight="1">
      <c r="B105" s="185"/>
    </row>
    <row r="106" ht="15.75" customHeight="1">
      <c r="B106" s="185"/>
    </row>
    <row r="107" ht="15.75" customHeight="1">
      <c r="B107" s="185"/>
    </row>
    <row r="108" ht="15.75" customHeight="1">
      <c r="B108" s="185"/>
    </row>
    <row r="109" ht="15.75" customHeight="1">
      <c r="B109" s="185"/>
    </row>
    <row r="110" ht="15.75" customHeight="1">
      <c r="B110" s="185"/>
    </row>
    <row r="111" ht="15.75" customHeight="1">
      <c r="B111" s="185"/>
    </row>
    <row r="112" ht="15.75" customHeight="1">
      <c r="B112" s="185"/>
    </row>
    <row r="113" ht="15.75" customHeight="1">
      <c r="B113" s="185"/>
    </row>
    <row r="114" ht="15.75" customHeight="1">
      <c r="B114" s="185"/>
    </row>
    <row r="115" ht="15.75" customHeight="1">
      <c r="B115" s="185"/>
    </row>
    <row r="116" ht="15.75" customHeight="1">
      <c r="B116" s="185"/>
    </row>
    <row r="117" ht="15.75" customHeight="1">
      <c r="B117" s="185"/>
    </row>
    <row r="118" ht="15.75" customHeight="1">
      <c r="B118" s="185"/>
    </row>
    <row r="119" ht="15.75" customHeight="1">
      <c r="B119" s="185"/>
    </row>
    <row r="120" ht="15.75" customHeight="1">
      <c r="B120" s="185"/>
    </row>
    <row r="121" ht="15.75" customHeight="1">
      <c r="B121" s="185"/>
    </row>
    <row r="122" ht="15.75" customHeight="1">
      <c r="B122" s="185"/>
    </row>
    <row r="123" ht="15.75" customHeight="1">
      <c r="B123" s="185"/>
    </row>
    <row r="124" ht="15.75" customHeight="1">
      <c r="B124" s="185"/>
    </row>
    <row r="125" ht="15.75" customHeight="1">
      <c r="B125" s="185"/>
    </row>
    <row r="126" ht="15.75" customHeight="1">
      <c r="B126" s="185"/>
    </row>
    <row r="127" ht="15.75" customHeight="1">
      <c r="B127" s="185"/>
    </row>
    <row r="128" ht="15.75" customHeight="1">
      <c r="B128" s="185"/>
    </row>
    <row r="129" ht="15.75" customHeight="1">
      <c r="B129" s="185"/>
    </row>
    <row r="130" ht="15.75" customHeight="1">
      <c r="B130" s="185"/>
    </row>
    <row r="131" ht="15.75" customHeight="1">
      <c r="B131" s="185"/>
    </row>
    <row r="132" ht="15.75" customHeight="1">
      <c r="B132" s="185"/>
    </row>
    <row r="133" ht="15.75" customHeight="1">
      <c r="B133" s="185"/>
    </row>
    <row r="134" ht="15.75" customHeight="1">
      <c r="B134" s="185"/>
    </row>
    <row r="135" ht="15.75" customHeight="1">
      <c r="B135" s="185"/>
    </row>
    <row r="136" ht="15.75" customHeight="1">
      <c r="B136" s="185"/>
    </row>
    <row r="137" ht="15.75" customHeight="1">
      <c r="B137" s="185"/>
    </row>
    <row r="138" ht="15.75" customHeight="1">
      <c r="B138" s="185"/>
    </row>
    <row r="139" ht="15.75" customHeight="1">
      <c r="B139" s="185"/>
    </row>
    <row r="140" ht="15.75" customHeight="1">
      <c r="B140" s="185"/>
    </row>
    <row r="141" ht="15.75" customHeight="1">
      <c r="B141" s="185"/>
    </row>
    <row r="142" ht="15.75" customHeight="1">
      <c r="B142" s="185"/>
    </row>
    <row r="143" ht="15.75" customHeight="1">
      <c r="B143" s="185"/>
    </row>
    <row r="144" ht="15.75" customHeight="1">
      <c r="B144" s="185"/>
    </row>
    <row r="145" ht="15.75" customHeight="1">
      <c r="B145" s="185"/>
    </row>
    <row r="146" ht="15.75" customHeight="1">
      <c r="B146" s="185"/>
    </row>
    <row r="147" ht="15.75" customHeight="1">
      <c r="B147" s="185"/>
    </row>
    <row r="148" ht="15.75" customHeight="1">
      <c r="B148" s="185"/>
    </row>
    <row r="149" ht="15.75" customHeight="1">
      <c r="B149" s="185"/>
    </row>
    <row r="150" ht="15.75" customHeight="1">
      <c r="B150" s="185"/>
    </row>
    <row r="151" ht="15.75" customHeight="1">
      <c r="B151" s="185"/>
    </row>
    <row r="152" ht="15.75" customHeight="1">
      <c r="B152" s="185"/>
    </row>
    <row r="153" ht="15.75" customHeight="1">
      <c r="B153" s="185"/>
    </row>
    <row r="154" ht="15.75" customHeight="1">
      <c r="B154" s="185"/>
    </row>
    <row r="155" ht="15.75" customHeight="1">
      <c r="B155" s="185"/>
    </row>
    <row r="156" ht="15.75" customHeight="1">
      <c r="B156" s="185"/>
    </row>
    <row r="157" ht="15.75" customHeight="1">
      <c r="B157" s="185"/>
    </row>
    <row r="158" ht="15.75" customHeight="1">
      <c r="B158" s="185"/>
    </row>
    <row r="159" ht="15.75" customHeight="1">
      <c r="B159" s="185"/>
    </row>
    <row r="160" ht="15.75" customHeight="1">
      <c r="B160" s="185"/>
    </row>
    <row r="161" ht="15.75" customHeight="1">
      <c r="B161" s="185"/>
    </row>
    <row r="162" ht="15.75" customHeight="1">
      <c r="B162" s="185"/>
    </row>
    <row r="163" ht="15.75" customHeight="1">
      <c r="B163" s="185"/>
    </row>
    <row r="164" ht="15.75" customHeight="1">
      <c r="B164" s="185"/>
    </row>
    <row r="165" ht="15.75" customHeight="1">
      <c r="B165" s="185"/>
    </row>
    <row r="166" ht="15.75" customHeight="1">
      <c r="B166" s="185"/>
    </row>
    <row r="167" ht="15.75" customHeight="1">
      <c r="B167" s="185"/>
    </row>
    <row r="168" ht="15.75" customHeight="1">
      <c r="B168" s="185"/>
    </row>
    <row r="169" ht="15.75" customHeight="1">
      <c r="B169" s="185"/>
    </row>
    <row r="170" ht="15.75" customHeight="1">
      <c r="B170" s="185"/>
    </row>
    <row r="171" ht="15.75" customHeight="1">
      <c r="B171" s="185"/>
    </row>
    <row r="172" ht="15.75" customHeight="1">
      <c r="B172" s="185"/>
    </row>
    <row r="173" ht="15.75" customHeight="1">
      <c r="B173" s="185"/>
    </row>
    <row r="174" ht="15.75" customHeight="1">
      <c r="B174" s="185"/>
    </row>
    <row r="175" ht="15.75" customHeight="1">
      <c r="B175" s="185"/>
    </row>
    <row r="176" ht="15.75" customHeight="1">
      <c r="B176" s="185"/>
    </row>
    <row r="177" ht="15.75" customHeight="1">
      <c r="B177" s="185"/>
    </row>
    <row r="178" ht="15.75" customHeight="1">
      <c r="B178" s="185"/>
    </row>
    <row r="179" ht="15.75" customHeight="1">
      <c r="B179" s="185"/>
    </row>
    <row r="180" ht="15.75" customHeight="1">
      <c r="B180" s="185"/>
    </row>
    <row r="181" ht="15.75" customHeight="1">
      <c r="B181" s="185"/>
    </row>
    <row r="182" ht="15.75" customHeight="1">
      <c r="B182" s="185"/>
    </row>
    <row r="183" ht="15.75" customHeight="1">
      <c r="B183" s="185"/>
    </row>
    <row r="184" ht="15.75" customHeight="1">
      <c r="B184" s="185"/>
    </row>
    <row r="185" ht="15.75" customHeight="1">
      <c r="B185" s="185"/>
    </row>
    <row r="186" ht="15.75" customHeight="1">
      <c r="B186" s="185"/>
    </row>
    <row r="187" ht="15.75" customHeight="1">
      <c r="B187" s="185"/>
    </row>
    <row r="188" ht="15.75" customHeight="1">
      <c r="B188" s="185"/>
    </row>
    <row r="189" ht="15.75" customHeight="1">
      <c r="B189" s="185"/>
    </row>
    <row r="190" ht="15.75" customHeight="1">
      <c r="B190" s="185"/>
    </row>
    <row r="191" ht="15.75" customHeight="1">
      <c r="B191" s="185"/>
    </row>
    <row r="192" ht="15.75" customHeight="1">
      <c r="B192" s="185"/>
    </row>
    <row r="193" ht="15.75" customHeight="1">
      <c r="B193" s="185"/>
    </row>
    <row r="194" ht="15.75" customHeight="1">
      <c r="B194" s="185"/>
    </row>
    <row r="195" ht="15.75" customHeight="1">
      <c r="B195" s="185"/>
    </row>
    <row r="196" ht="15.75" customHeight="1">
      <c r="B196" s="185"/>
    </row>
    <row r="197" ht="15.75" customHeight="1">
      <c r="B197" s="185"/>
    </row>
    <row r="198" ht="15.75" customHeight="1">
      <c r="B198" s="185"/>
    </row>
    <row r="199" ht="15.75" customHeight="1">
      <c r="B199" s="185"/>
    </row>
    <row r="200" ht="15.75" customHeight="1">
      <c r="B200" s="185"/>
    </row>
    <row r="201" ht="15.75" customHeight="1">
      <c r="B201" s="185"/>
    </row>
    <row r="202" ht="15.75" customHeight="1">
      <c r="B202" s="185"/>
    </row>
    <row r="203" ht="15.75" customHeight="1">
      <c r="B203" s="185"/>
    </row>
    <row r="204" ht="15.75" customHeight="1">
      <c r="B204" s="185"/>
    </row>
    <row r="205" ht="15.75" customHeight="1">
      <c r="B205" s="185"/>
    </row>
    <row r="206" ht="15.75" customHeight="1">
      <c r="B206" s="185"/>
    </row>
    <row r="207" ht="15.75" customHeight="1">
      <c r="B207" s="185"/>
    </row>
    <row r="208" ht="15.75" customHeight="1">
      <c r="B208" s="185"/>
    </row>
    <row r="209" ht="15.75" customHeight="1">
      <c r="B209" s="185"/>
    </row>
    <row r="210" ht="15.75" customHeight="1">
      <c r="B210" s="185"/>
    </row>
    <row r="211" ht="15.75" customHeight="1">
      <c r="B211" s="185"/>
    </row>
    <row r="212" ht="15.75" customHeight="1">
      <c r="B212" s="185"/>
    </row>
    <row r="213" ht="15.75" customHeight="1">
      <c r="B213" s="185"/>
    </row>
    <row r="214" ht="15.75" customHeight="1">
      <c r="B214" s="185"/>
    </row>
    <row r="215" ht="15.75" customHeight="1">
      <c r="B215" s="185"/>
    </row>
    <row r="216" ht="15.75" customHeight="1">
      <c r="B216" s="185"/>
    </row>
    <row r="217" ht="15.75" customHeight="1">
      <c r="B217" s="185"/>
    </row>
    <row r="218" ht="15.75" customHeight="1">
      <c r="B218" s="185"/>
    </row>
    <row r="219" ht="15.75" customHeight="1">
      <c r="B219" s="185"/>
    </row>
    <row r="220" ht="15.75" customHeight="1">
      <c r="B220" s="185"/>
    </row>
    <row r="221" ht="15.75" customHeight="1">
      <c r="B221" s="185"/>
    </row>
    <row r="222" ht="15.75" customHeight="1">
      <c r="B222" s="185"/>
    </row>
    <row r="223" ht="15.75" customHeight="1">
      <c r="B223" s="185"/>
    </row>
    <row r="224" ht="15.75" customHeight="1">
      <c r="B224" s="185"/>
    </row>
    <row r="225" ht="15.75" customHeight="1">
      <c r="B225" s="185"/>
    </row>
    <row r="226" ht="15.75" customHeight="1">
      <c r="B226" s="185"/>
    </row>
    <row r="227" ht="15.75" customHeight="1">
      <c r="B227" s="185"/>
    </row>
    <row r="228" ht="15.75" customHeight="1">
      <c r="B228" s="185"/>
    </row>
    <row r="229" ht="15.75" customHeight="1">
      <c r="B229" s="185"/>
    </row>
    <row r="230" ht="15.75" customHeight="1">
      <c r="B230" s="185"/>
    </row>
    <row r="231" ht="15.75" customHeight="1">
      <c r="B231" s="185"/>
    </row>
    <row r="232" ht="15.75" customHeight="1">
      <c r="B232" s="185"/>
    </row>
    <row r="233" ht="15.75" customHeight="1">
      <c r="B233" s="185"/>
    </row>
    <row r="234" ht="15.75" customHeight="1">
      <c r="B234" s="185"/>
    </row>
    <row r="235" ht="15.75" customHeight="1">
      <c r="B235" s="185"/>
    </row>
    <row r="236" ht="15.75" customHeight="1">
      <c r="B236" s="185"/>
    </row>
    <row r="237" ht="15.75" customHeight="1">
      <c r="B237" s="185"/>
    </row>
    <row r="238" ht="15.75" customHeight="1">
      <c r="B238" s="185"/>
    </row>
    <row r="239" ht="15.75" customHeight="1">
      <c r="B239" s="185"/>
    </row>
    <row r="240" ht="15.75" customHeight="1">
      <c r="B240" s="185"/>
    </row>
    <row r="241" ht="15.75" customHeight="1">
      <c r="B241" s="185"/>
    </row>
    <row r="242" ht="15.75" customHeight="1">
      <c r="B242" s="185"/>
    </row>
    <row r="243" ht="15.75" customHeight="1">
      <c r="B243" s="185"/>
    </row>
    <row r="244" ht="15.75" customHeight="1">
      <c r="B244" s="185"/>
    </row>
    <row r="245" ht="15.75" customHeight="1">
      <c r="B245" s="185"/>
    </row>
    <row r="246" ht="15.75" customHeight="1">
      <c r="B246" s="185"/>
    </row>
    <row r="247" ht="15.75" customHeight="1">
      <c r="B247" s="185"/>
    </row>
    <row r="248" ht="15.75" customHeight="1">
      <c r="B248" s="185"/>
    </row>
    <row r="249" ht="15.75" customHeight="1">
      <c r="B249" s="185"/>
    </row>
    <row r="250" ht="15.75" customHeight="1">
      <c r="B250" s="185"/>
    </row>
    <row r="251" ht="15.75" customHeight="1">
      <c r="B251" s="185"/>
    </row>
    <row r="252" ht="15.75" customHeight="1">
      <c r="B252" s="185"/>
    </row>
    <row r="253" ht="15.75" customHeight="1">
      <c r="B253" s="185"/>
    </row>
    <row r="254" ht="15.75" customHeight="1">
      <c r="B254" s="185"/>
    </row>
    <row r="255" ht="15.75" customHeight="1">
      <c r="B255" s="185"/>
    </row>
    <row r="256" ht="15.75" customHeight="1">
      <c r="B256" s="185"/>
    </row>
    <row r="257" ht="15.75" customHeight="1">
      <c r="B257" s="185"/>
    </row>
    <row r="258" ht="15.75" customHeight="1">
      <c r="B258" s="185"/>
    </row>
    <row r="259" ht="15.75" customHeight="1">
      <c r="B259" s="185"/>
    </row>
    <row r="260" ht="15.75" customHeight="1">
      <c r="B260" s="185"/>
    </row>
    <row r="261" ht="15.75" customHeight="1">
      <c r="B261" s="185"/>
    </row>
    <row r="262" ht="15.75" customHeight="1">
      <c r="B262" s="185"/>
    </row>
    <row r="263" ht="15.75" customHeight="1">
      <c r="B263" s="185"/>
    </row>
    <row r="264" ht="15.75" customHeight="1">
      <c r="B264" s="185"/>
    </row>
    <row r="265" ht="15.75" customHeight="1">
      <c r="B265" s="185"/>
    </row>
    <row r="266" ht="15.75" customHeight="1">
      <c r="B266" s="185"/>
    </row>
    <row r="267" ht="15.75" customHeight="1">
      <c r="B267" s="185"/>
    </row>
    <row r="268" ht="15.75" customHeight="1">
      <c r="B268" s="185"/>
    </row>
    <row r="269" ht="15.75" customHeight="1">
      <c r="B269" s="185"/>
    </row>
    <row r="270" ht="15.75" customHeight="1">
      <c r="B270" s="185"/>
    </row>
    <row r="271" ht="15.75" customHeight="1">
      <c r="B271" s="185"/>
    </row>
    <row r="272" ht="15.75" customHeight="1">
      <c r="B272" s="185"/>
    </row>
    <row r="273" ht="15.75" customHeight="1">
      <c r="B273" s="185"/>
    </row>
    <row r="274" ht="15.75" customHeight="1">
      <c r="B274" s="185"/>
    </row>
    <row r="275" ht="15.75" customHeight="1">
      <c r="B275" s="185"/>
    </row>
    <row r="276" ht="15.75" customHeight="1">
      <c r="B276" s="185"/>
    </row>
    <row r="277" ht="15.75" customHeight="1">
      <c r="B277" s="185"/>
    </row>
    <row r="278" ht="15.75" customHeight="1">
      <c r="B278" s="185"/>
    </row>
    <row r="279" ht="15.75" customHeight="1">
      <c r="B279" s="185"/>
    </row>
    <row r="280" ht="15.75" customHeight="1">
      <c r="B280" s="185"/>
    </row>
    <row r="281" ht="15.75" customHeight="1">
      <c r="B281" s="185"/>
    </row>
    <row r="282" ht="15.75" customHeight="1">
      <c r="B282" s="185"/>
    </row>
    <row r="283" ht="15.75" customHeight="1">
      <c r="B283" s="185"/>
    </row>
    <row r="284" ht="15.75" customHeight="1">
      <c r="B284" s="185"/>
    </row>
    <row r="285" ht="15.75" customHeight="1">
      <c r="B285" s="185"/>
    </row>
    <row r="286" ht="15.75" customHeight="1">
      <c r="B286" s="185"/>
    </row>
    <row r="287" ht="15.75" customHeight="1">
      <c r="B287" s="185"/>
    </row>
    <row r="288" ht="15.75" customHeight="1">
      <c r="B288" s="185"/>
    </row>
    <row r="289" ht="15.75" customHeight="1">
      <c r="B289" s="185"/>
    </row>
    <row r="290" ht="15.75" customHeight="1">
      <c r="B290" s="185"/>
    </row>
    <row r="291" ht="15.75" customHeight="1">
      <c r="B291" s="185"/>
    </row>
    <row r="292" ht="15.75" customHeight="1">
      <c r="B292" s="185"/>
    </row>
    <row r="293" ht="15.75" customHeight="1">
      <c r="B293" s="185"/>
    </row>
    <row r="294" ht="15.75" customHeight="1">
      <c r="B294" s="185"/>
    </row>
    <row r="295" ht="15.75" customHeight="1">
      <c r="B295" s="185"/>
    </row>
    <row r="296" ht="15.75" customHeight="1">
      <c r="B296" s="185"/>
    </row>
    <row r="297" ht="15.75" customHeight="1">
      <c r="B297" s="185"/>
    </row>
    <row r="298" ht="15.75" customHeight="1">
      <c r="B298" s="185"/>
    </row>
    <row r="299" ht="15.75" customHeight="1">
      <c r="B299" s="185"/>
    </row>
    <row r="300" ht="15.75" customHeight="1">
      <c r="B300" s="185"/>
    </row>
    <row r="301" ht="15.75" customHeight="1">
      <c r="B301" s="185"/>
    </row>
    <row r="302" ht="15.75" customHeight="1">
      <c r="B302" s="185"/>
    </row>
    <row r="303" ht="15.75" customHeight="1">
      <c r="B303" s="185"/>
    </row>
    <row r="304" ht="15.75" customHeight="1">
      <c r="B304" s="185"/>
    </row>
    <row r="305" ht="15.75" customHeight="1">
      <c r="B305" s="185"/>
    </row>
    <row r="306" ht="15.75" customHeight="1">
      <c r="B306" s="185"/>
    </row>
    <row r="307" ht="15.75" customHeight="1">
      <c r="B307" s="185"/>
    </row>
    <row r="308" ht="15.75" customHeight="1">
      <c r="B308" s="185"/>
    </row>
    <row r="309" ht="15.75" customHeight="1">
      <c r="B309" s="185"/>
    </row>
    <row r="310" ht="15.75" customHeight="1">
      <c r="B310" s="185"/>
    </row>
    <row r="311" ht="15.75" customHeight="1">
      <c r="B311" s="185"/>
    </row>
    <row r="312" ht="15.75" customHeight="1">
      <c r="B312" s="185"/>
    </row>
    <row r="313" ht="15.75" customHeight="1">
      <c r="B313" s="185"/>
    </row>
    <row r="314" ht="15.75" customHeight="1">
      <c r="B314" s="185"/>
    </row>
    <row r="315" ht="15.75" customHeight="1">
      <c r="B315" s="185"/>
    </row>
    <row r="316" ht="15.75" customHeight="1">
      <c r="B316" s="185"/>
    </row>
    <row r="317" ht="15.75" customHeight="1">
      <c r="B317" s="185"/>
    </row>
    <row r="318" ht="15.75" customHeight="1">
      <c r="B318" s="185"/>
    </row>
    <row r="319" ht="15.75" customHeight="1">
      <c r="B319" s="185"/>
    </row>
    <row r="320" ht="15.75" customHeight="1">
      <c r="B320" s="185"/>
    </row>
    <row r="321" ht="15.75" customHeight="1">
      <c r="B321" s="185"/>
    </row>
    <row r="322" ht="15.75" customHeight="1">
      <c r="B322" s="185"/>
    </row>
    <row r="323" ht="15.75" customHeight="1">
      <c r="B323" s="185"/>
    </row>
    <row r="324" ht="15.75" customHeight="1">
      <c r="B324" s="185"/>
    </row>
    <row r="325" ht="15.75" customHeight="1">
      <c r="B325" s="185"/>
    </row>
    <row r="326" ht="15.75" customHeight="1">
      <c r="B326" s="185"/>
    </row>
    <row r="327" ht="15.75" customHeight="1">
      <c r="B327" s="185"/>
    </row>
    <row r="328" ht="15.75" customHeight="1">
      <c r="B328" s="185"/>
    </row>
    <row r="329" ht="15.75" customHeight="1">
      <c r="B329" s="185"/>
    </row>
    <row r="330" ht="15.75" customHeight="1">
      <c r="B330" s="185"/>
    </row>
    <row r="331" ht="15.75" customHeight="1">
      <c r="B331" s="185"/>
    </row>
    <row r="332" ht="15.75" customHeight="1">
      <c r="B332" s="185"/>
    </row>
    <row r="333" ht="15.75" customHeight="1">
      <c r="B333" s="185"/>
    </row>
    <row r="334" ht="15.75" customHeight="1">
      <c r="B334" s="185"/>
    </row>
    <row r="335" ht="15.75" customHeight="1">
      <c r="B335" s="185"/>
    </row>
    <row r="336" ht="15.75" customHeight="1">
      <c r="B336" s="185"/>
    </row>
    <row r="337" ht="15.75" customHeight="1">
      <c r="B337" s="185"/>
    </row>
    <row r="338" ht="15.75" customHeight="1">
      <c r="B338" s="185"/>
    </row>
    <row r="339" ht="15.75" customHeight="1">
      <c r="B339" s="185"/>
    </row>
    <row r="340" ht="15.75" customHeight="1">
      <c r="B340" s="185"/>
    </row>
    <row r="341" ht="15.75" customHeight="1">
      <c r="B341" s="185"/>
    </row>
    <row r="342" ht="15.75" customHeight="1">
      <c r="B342" s="185"/>
    </row>
    <row r="343" ht="15.75" customHeight="1">
      <c r="B343" s="185"/>
    </row>
    <row r="344" ht="15.75" customHeight="1">
      <c r="B344" s="185"/>
    </row>
    <row r="345" ht="15.75" customHeight="1">
      <c r="B345" s="185"/>
    </row>
    <row r="346" ht="15.75" customHeight="1">
      <c r="B346" s="185"/>
    </row>
    <row r="347" ht="15.75" customHeight="1">
      <c r="B347" s="185"/>
    </row>
    <row r="348" ht="15.75" customHeight="1">
      <c r="B348" s="185"/>
    </row>
    <row r="349" ht="15.75" customHeight="1">
      <c r="B349" s="185"/>
    </row>
    <row r="350" ht="15.75" customHeight="1">
      <c r="B350" s="185"/>
    </row>
    <row r="351" ht="15.75" customHeight="1">
      <c r="B351" s="185"/>
    </row>
    <row r="352" ht="15.75" customHeight="1">
      <c r="B352" s="185"/>
    </row>
    <row r="353" ht="15.75" customHeight="1">
      <c r="B353" s="185"/>
    </row>
    <row r="354" ht="15.75" customHeight="1">
      <c r="B354" s="185"/>
    </row>
    <row r="355" ht="15.75" customHeight="1">
      <c r="B355" s="185"/>
    </row>
    <row r="356" ht="15.75" customHeight="1">
      <c r="B356" s="185"/>
    </row>
    <row r="357" ht="15.75" customHeight="1">
      <c r="B357" s="185"/>
    </row>
    <row r="358" ht="15.75" customHeight="1">
      <c r="B358" s="185"/>
    </row>
    <row r="359" ht="15.75" customHeight="1">
      <c r="B359" s="185"/>
    </row>
    <row r="360" ht="15.75" customHeight="1">
      <c r="B360" s="185"/>
    </row>
    <row r="361" ht="15.75" customHeight="1">
      <c r="B361" s="185"/>
    </row>
    <row r="362" ht="15.75" customHeight="1">
      <c r="B362" s="185"/>
    </row>
    <row r="363" ht="15.75" customHeight="1">
      <c r="B363" s="185"/>
    </row>
    <row r="364" ht="15.75" customHeight="1">
      <c r="B364" s="185"/>
    </row>
    <row r="365" ht="15.75" customHeight="1">
      <c r="B365" s="185"/>
    </row>
    <row r="366" ht="15.75" customHeight="1">
      <c r="B366" s="185"/>
    </row>
    <row r="367" ht="15.75" customHeight="1">
      <c r="B367" s="185"/>
    </row>
    <row r="368" ht="15.75" customHeight="1">
      <c r="B368" s="185"/>
    </row>
    <row r="369" ht="15.75" customHeight="1">
      <c r="B369" s="185"/>
    </row>
    <row r="370" ht="15.75" customHeight="1">
      <c r="B370" s="185"/>
    </row>
    <row r="371" ht="15.75" customHeight="1">
      <c r="B371" s="185"/>
    </row>
    <row r="372" ht="15.75" customHeight="1">
      <c r="B372" s="185"/>
    </row>
    <row r="373" ht="15.75" customHeight="1">
      <c r="B373" s="185"/>
    </row>
    <row r="374" ht="15.75" customHeight="1">
      <c r="B374" s="185"/>
    </row>
    <row r="375" ht="15.75" customHeight="1">
      <c r="B375" s="185"/>
    </row>
    <row r="376" ht="15.75" customHeight="1">
      <c r="B376" s="185"/>
    </row>
    <row r="377" ht="15.75" customHeight="1">
      <c r="B377" s="185"/>
    </row>
    <row r="378" ht="15.75" customHeight="1">
      <c r="B378" s="185"/>
    </row>
    <row r="379" ht="15.75" customHeight="1">
      <c r="B379" s="185"/>
    </row>
    <row r="380" ht="15.75" customHeight="1">
      <c r="B380" s="185"/>
    </row>
    <row r="381" ht="15.75" customHeight="1">
      <c r="B381" s="185"/>
    </row>
    <row r="382" ht="15.75" customHeight="1">
      <c r="B382" s="185"/>
    </row>
    <row r="383" ht="15.75" customHeight="1">
      <c r="B383" s="185"/>
    </row>
    <row r="384" ht="15.75" customHeight="1">
      <c r="B384" s="185"/>
    </row>
    <row r="385" ht="15.75" customHeight="1">
      <c r="B385" s="185"/>
    </row>
    <row r="386" ht="15.75" customHeight="1">
      <c r="B386" s="185"/>
    </row>
    <row r="387" ht="15.75" customHeight="1">
      <c r="B387" s="185"/>
    </row>
    <row r="388" ht="15.75" customHeight="1">
      <c r="B388" s="185"/>
    </row>
    <row r="389" ht="15.75" customHeight="1">
      <c r="B389" s="185"/>
    </row>
    <row r="390" ht="15.75" customHeight="1">
      <c r="B390" s="185"/>
    </row>
    <row r="391" ht="15.75" customHeight="1">
      <c r="B391" s="185"/>
    </row>
    <row r="392" ht="15.75" customHeight="1">
      <c r="B392" s="185"/>
    </row>
    <row r="393" ht="15.75" customHeight="1">
      <c r="B393" s="185"/>
    </row>
    <row r="394" ht="15.75" customHeight="1">
      <c r="B394" s="185"/>
    </row>
    <row r="395" ht="15.75" customHeight="1">
      <c r="B395" s="185"/>
    </row>
    <row r="396" ht="15.75" customHeight="1">
      <c r="B396" s="185"/>
    </row>
    <row r="397" ht="15.75" customHeight="1">
      <c r="B397" s="185"/>
    </row>
    <row r="398" ht="15.75" customHeight="1">
      <c r="B398" s="185"/>
    </row>
    <row r="399" ht="15.75" customHeight="1">
      <c r="B399" s="185"/>
    </row>
    <row r="400" ht="15.75" customHeight="1">
      <c r="B400" s="185"/>
    </row>
    <row r="401" ht="15.75" customHeight="1">
      <c r="B401" s="185"/>
    </row>
    <row r="402" ht="15.75" customHeight="1">
      <c r="B402" s="185"/>
    </row>
    <row r="403" ht="15.75" customHeight="1">
      <c r="B403" s="185"/>
    </row>
    <row r="404" ht="15.75" customHeight="1">
      <c r="B404" s="185"/>
    </row>
    <row r="405" ht="15.75" customHeight="1">
      <c r="B405" s="185"/>
    </row>
    <row r="406" ht="15.75" customHeight="1">
      <c r="B406" s="185"/>
    </row>
    <row r="407" ht="15.75" customHeight="1">
      <c r="B407" s="185"/>
    </row>
    <row r="408" ht="15.75" customHeight="1">
      <c r="B408" s="185"/>
    </row>
    <row r="409" ht="15.75" customHeight="1">
      <c r="B409" s="185"/>
    </row>
    <row r="410" ht="15.75" customHeight="1">
      <c r="B410" s="185"/>
    </row>
    <row r="411" ht="15.75" customHeight="1">
      <c r="B411" s="185"/>
    </row>
    <row r="412" ht="15.75" customHeight="1">
      <c r="B412" s="185"/>
    </row>
    <row r="413" ht="15.75" customHeight="1">
      <c r="B413" s="185"/>
    </row>
    <row r="414" ht="15.75" customHeight="1">
      <c r="B414" s="185"/>
    </row>
    <row r="415" ht="15.75" customHeight="1">
      <c r="B415" s="185"/>
    </row>
    <row r="416" ht="15.75" customHeight="1">
      <c r="B416" s="185"/>
    </row>
    <row r="417" ht="15.75" customHeight="1">
      <c r="B417" s="185"/>
    </row>
    <row r="418" ht="15.75" customHeight="1">
      <c r="B418" s="185"/>
    </row>
    <row r="419" ht="15.75" customHeight="1">
      <c r="B419" s="185"/>
    </row>
    <row r="420" ht="15.75" customHeight="1">
      <c r="B420" s="185"/>
    </row>
    <row r="421" ht="15.75" customHeight="1">
      <c r="B421" s="185"/>
    </row>
    <row r="422" ht="15.75" customHeight="1">
      <c r="B422" s="185"/>
    </row>
    <row r="423" ht="15.75" customHeight="1">
      <c r="B423" s="185"/>
    </row>
    <row r="424" ht="15.75" customHeight="1">
      <c r="B424" s="185"/>
    </row>
    <row r="425" ht="15.75" customHeight="1">
      <c r="B425" s="185"/>
    </row>
    <row r="426" ht="15.75" customHeight="1">
      <c r="B426" s="185"/>
    </row>
    <row r="427" ht="15.75" customHeight="1">
      <c r="B427" s="185"/>
    </row>
    <row r="428" ht="15.75" customHeight="1">
      <c r="B428" s="185"/>
    </row>
    <row r="429" ht="15.75" customHeight="1">
      <c r="B429" s="185"/>
    </row>
    <row r="430" ht="15.75" customHeight="1">
      <c r="B430" s="185"/>
    </row>
    <row r="431" ht="15.75" customHeight="1">
      <c r="B431" s="185"/>
    </row>
    <row r="432" ht="15.75" customHeight="1">
      <c r="B432" s="185"/>
    </row>
    <row r="433" ht="15.75" customHeight="1">
      <c r="B433" s="185"/>
    </row>
    <row r="434" ht="15.75" customHeight="1">
      <c r="B434" s="185"/>
    </row>
    <row r="435" ht="15.75" customHeight="1">
      <c r="B435" s="185"/>
    </row>
    <row r="436" ht="15.75" customHeight="1">
      <c r="B436" s="185"/>
    </row>
    <row r="437" ht="15.75" customHeight="1">
      <c r="B437" s="185"/>
    </row>
    <row r="438" ht="15.75" customHeight="1">
      <c r="B438" s="185"/>
    </row>
    <row r="439" ht="15.75" customHeight="1">
      <c r="B439" s="185"/>
    </row>
    <row r="440" ht="15.75" customHeight="1">
      <c r="B440" s="185"/>
    </row>
    <row r="441" ht="15.75" customHeight="1">
      <c r="B441" s="185"/>
    </row>
    <row r="442" ht="15.75" customHeight="1">
      <c r="B442" s="185"/>
    </row>
    <row r="443" ht="15.75" customHeight="1">
      <c r="B443" s="185"/>
    </row>
    <row r="444" ht="15.75" customHeight="1">
      <c r="B444" s="185"/>
    </row>
    <row r="445" ht="15.75" customHeight="1">
      <c r="B445" s="185"/>
    </row>
    <row r="446" ht="15.75" customHeight="1">
      <c r="B446" s="185"/>
    </row>
    <row r="447" ht="15.75" customHeight="1">
      <c r="B447" s="185"/>
    </row>
    <row r="448" ht="15.75" customHeight="1">
      <c r="B448" s="185"/>
    </row>
    <row r="449" ht="15.75" customHeight="1">
      <c r="B449" s="185"/>
    </row>
    <row r="450" ht="15.75" customHeight="1">
      <c r="B450" s="185"/>
    </row>
    <row r="451" ht="15.75" customHeight="1">
      <c r="B451" s="185"/>
    </row>
    <row r="452" ht="15.75" customHeight="1">
      <c r="B452" s="185"/>
    </row>
    <row r="453" ht="15.75" customHeight="1">
      <c r="B453" s="185"/>
    </row>
    <row r="454" ht="15.75" customHeight="1">
      <c r="B454" s="185"/>
    </row>
    <row r="455" ht="15.75" customHeight="1">
      <c r="B455" s="185"/>
    </row>
    <row r="456" ht="15.75" customHeight="1">
      <c r="B456" s="185"/>
    </row>
    <row r="457" ht="15.75" customHeight="1">
      <c r="B457" s="185"/>
    </row>
    <row r="458" ht="15.75" customHeight="1">
      <c r="B458" s="185"/>
    </row>
    <row r="459" ht="15.75" customHeight="1">
      <c r="B459" s="185"/>
    </row>
    <row r="460" ht="15.75" customHeight="1">
      <c r="B460" s="185"/>
    </row>
    <row r="461" ht="15.75" customHeight="1">
      <c r="B461" s="185"/>
    </row>
    <row r="462" ht="15.75" customHeight="1">
      <c r="B462" s="185"/>
    </row>
    <row r="463" ht="15.75" customHeight="1">
      <c r="B463" s="185"/>
    </row>
    <row r="464" ht="15.75" customHeight="1">
      <c r="B464" s="185"/>
    </row>
    <row r="465" ht="15.75" customHeight="1">
      <c r="B465" s="185"/>
    </row>
    <row r="466" ht="15.75" customHeight="1">
      <c r="B466" s="185"/>
    </row>
    <row r="467" ht="15.75" customHeight="1">
      <c r="B467" s="185"/>
    </row>
    <row r="468" ht="15.75" customHeight="1">
      <c r="B468" s="185"/>
    </row>
    <row r="469" ht="15.75" customHeight="1">
      <c r="B469" s="185"/>
    </row>
    <row r="470" ht="15.75" customHeight="1">
      <c r="B470" s="185"/>
    </row>
    <row r="471" ht="15.75" customHeight="1">
      <c r="B471" s="185"/>
    </row>
    <row r="472" ht="15.75" customHeight="1">
      <c r="B472" s="185"/>
    </row>
    <row r="473" ht="15.75" customHeight="1">
      <c r="B473" s="185"/>
    </row>
    <row r="474" ht="15.75" customHeight="1">
      <c r="B474" s="185"/>
    </row>
    <row r="475" ht="15.75" customHeight="1">
      <c r="B475" s="185"/>
    </row>
    <row r="476" ht="15.75" customHeight="1">
      <c r="B476" s="185"/>
    </row>
    <row r="477" ht="15.75" customHeight="1">
      <c r="B477" s="185"/>
    </row>
    <row r="478" ht="15.75" customHeight="1">
      <c r="B478" s="185"/>
    </row>
    <row r="479" ht="15.75" customHeight="1">
      <c r="B479" s="185"/>
    </row>
    <row r="480" ht="15.75" customHeight="1">
      <c r="B480" s="185"/>
    </row>
    <row r="481" ht="15.75" customHeight="1">
      <c r="B481" s="185"/>
    </row>
    <row r="482" ht="15.75" customHeight="1">
      <c r="B482" s="185"/>
    </row>
    <row r="483" ht="15.75" customHeight="1">
      <c r="B483" s="185"/>
    </row>
    <row r="484" ht="15.75" customHeight="1">
      <c r="B484" s="185"/>
    </row>
    <row r="485" ht="15.75" customHeight="1">
      <c r="B485" s="185"/>
    </row>
    <row r="486" ht="15.75" customHeight="1">
      <c r="B486" s="185"/>
    </row>
    <row r="487" ht="15.75" customHeight="1">
      <c r="B487" s="185"/>
    </row>
    <row r="488" ht="15.75" customHeight="1">
      <c r="B488" s="185"/>
    </row>
    <row r="489" ht="15.75" customHeight="1">
      <c r="B489" s="185"/>
    </row>
    <row r="490" ht="15.75" customHeight="1">
      <c r="B490" s="185"/>
    </row>
    <row r="491" ht="15.75" customHeight="1">
      <c r="B491" s="185"/>
    </row>
    <row r="492" ht="15.75" customHeight="1">
      <c r="B492" s="185"/>
    </row>
    <row r="493" ht="15.75" customHeight="1">
      <c r="B493" s="185"/>
    </row>
    <row r="494" ht="15.75" customHeight="1">
      <c r="B494" s="185"/>
    </row>
    <row r="495" ht="15.75" customHeight="1">
      <c r="B495" s="185"/>
    </row>
    <row r="496" ht="15.75" customHeight="1">
      <c r="B496" s="185"/>
    </row>
    <row r="497" ht="15.75" customHeight="1">
      <c r="B497" s="185"/>
    </row>
    <row r="498" ht="15.75" customHeight="1">
      <c r="B498" s="185"/>
    </row>
    <row r="499" ht="15.75" customHeight="1">
      <c r="B499" s="185"/>
    </row>
    <row r="500" ht="15.75" customHeight="1">
      <c r="B500" s="185"/>
    </row>
    <row r="501" ht="15.75" customHeight="1">
      <c r="B501" s="185"/>
    </row>
    <row r="502" ht="15.75" customHeight="1">
      <c r="B502" s="185"/>
    </row>
    <row r="503" ht="15.75" customHeight="1">
      <c r="B503" s="185"/>
    </row>
    <row r="504" ht="15.75" customHeight="1">
      <c r="B504" s="185"/>
    </row>
    <row r="505" ht="15.75" customHeight="1">
      <c r="B505" s="185"/>
    </row>
    <row r="506" ht="15.75" customHeight="1">
      <c r="B506" s="185"/>
    </row>
    <row r="507" ht="15.75" customHeight="1">
      <c r="B507" s="185"/>
    </row>
    <row r="508" ht="15.75" customHeight="1">
      <c r="B508" s="185"/>
    </row>
    <row r="509" ht="15.75" customHeight="1">
      <c r="B509" s="185"/>
    </row>
    <row r="510" ht="15.75" customHeight="1">
      <c r="B510" s="185"/>
    </row>
    <row r="511" ht="15.75" customHeight="1">
      <c r="B511" s="185"/>
    </row>
    <row r="512" ht="15.75" customHeight="1">
      <c r="B512" s="185"/>
    </row>
    <row r="513" ht="15.75" customHeight="1">
      <c r="B513" s="185"/>
    </row>
    <row r="514" ht="15.75" customHeight="1">
      <c r="B514" s="185"/>
    </row>
    <row r="515" ht="15.75" customHeight="1">
      <c r="B515" s="185"/>
    </row>
    <row r="516" ht="15.75" customHeight="1">
      <c r="B516" s="185"/>
    </row>
    <row r="517" ht="15.75" customHeight="1">
      <c r="B517" s="185"/>
    </row>
    <row r="518" ht="15.75" customHeight="1">
      <c r="B518" s="185"/>
    </row>
    <row r="519" ht="15.75" customHeight="1">
      <c r="B519" s="185"/>
    </row>
    <row r="520" ht="15.75" customHeight="1">
      <c r="B520" s="185"/>
    </row>
    <row r="521" ht="15.75" customHeight="1">
      <c r="B521" s="185"/>
    </row>
    <row r="522" ht="15.75" customHeight="1">
      <c r="B522" s="185"/>
    </row>
    <row r="523" ht="15.75" customHeight="1">
      <c r="B523" s="185"/>
    </row>
    <row r="524" ht="15.75" customHeight="1">
      <c r="B524" s="185"/>
    </row>
    <row r="525" ht="15.75" customHeight="1">
      <c r="B525" s="185"/>
    </row>
    <row r="526" ht="15.75" customHeight="1">
      <c r="B526" s="185"/>
    </row>
    <row r="527" ht="15.75" customHeight="1">
      <c r="B527" s="185"/>
    </row>
    <row r="528" ht="15.75" customHeight="1">
      <c r="B528" s="185"/>
    </row>
    <row r="529" ht="15.75" customHeight="1">
      <c r="B529" s="185"/>
    </row>
    <row r="530" ht="15.75" customHeight="1">
      <c r="B530" s="185"/>
    </row>
    <row r="531" ht="15.75" customHeight="1">
      <c r="B531" s="185"/>
    </row>
    <row r="532" ht="15.75" customHeight="1">
      <c r="B532" s="185"/>
    </row>
    <row r="533" ht="15.75" customHeight="1">
      <c r="B533" s="185"/>
    </row>
    <row r="534" ht="15.75" customHeight="1">
      <c r="B534" s="185"/>
    </row>
    <row r="535" ht="15.75" customHeight="1">
      <c r="B535" s="185"/>
    </row>
    <row r="536" ht="15.75" customHeight="1">
      <c r="B536" s="185"/>
    </row>
    <row r="537" ht="15.75" customHeight="1">
      <c r="B537" s="185"/>
    </row>
    <row r="538" ht="15.75" customHeight="1">
      <c r="B538" s="185"/>
    </row>
    <row r="539" ht="15.75" customHeight="1">
      <c r="B539" s="185"/>
    </row>
    <row r="540" ht="15.75" customHeight="1">
      <c r="B540" s="185"/>
    </row>
    <row r="541" ht="15.75" customHeight="1">
      <c r="B541" s="185"/>
    </row>
    <row r="542" ht="15.75" customHeight="1">
      <c r="B542" s="185"/>
    </row>
    <row r="543" ht="15.75" customHeight="1">
      <c r="B543" s="185"/>
    </row>
    <row r="544" ht="15.75" customHeight="1">
      <c r="B544" s="185"/>
    </row>
    <row r="545" ht="15.75" customHeight="1">
      <c r="B545" s="185"/>
    </row>
    <row r="546" ht="15.75" customHeight="1">
      <c r="B546" s="185"/>
    </row>
    <row r="547" ht="15.75" customHeight="1">
      <c r="B547" s="185"/>
    </row>
    <row r="548" ht="15.75" customHeight="1">
      <c r="B548" s="185"/>
    </row>
    <row r="549" ht="15.75" customHeight="1">
      <c r="B549" s="185"/>
    </row>
    <row r="550" ht="15.75" customHeight="1">
      <c r="B550" s="185"/>
    </row>
    <row r="551" ht="15.75" customHeight="1">
      <c r="B551" s="185"/>
    </row>
    <row r="552" ht="15.75" customHeight="1">
      <c r="B552" s="185"/>
    </row>
    <row r="553" ht="15.75" customHeight="1">
      <c r="B553" s="185"/>
    </row>
    <row r="554" ht="15.75" customHeight="1">
      <c r="B554" s="185"/>
    </row>
    <row r="555" ht="15.75" customHeight="1">
      <c r="B555" s="185"/>
    </row>
    <row r="556" ht="15.75" customHeight="1">
      <c r="B556" s="185"/>
    </row>
    <row r="557" ht="15.75" customHeight="1">
      <c r="B557" s="185"/>
    </row>
    <row r="558" ht="15.75" customHeight="1">
      <c r="B558" s="185"/>
    </row>
    <row r="559" ht="15.75" customHeight="1">
      <c r="B559" s="185"/>
    </row>
    <row r="560" ht="15.75" customHeight="1">
      <c r="B560" s="185"/>
    </row>
    <row r="561" ht="15.75" customHeight="1">
      <c r="B561" s="185"/>
    </row>
    <row r="562" ht="15.75" customHeight="1">
      <c r="B562" s="185"/>
    </row>
    <row r="563" ht="15.75" customHeight="1">
      <c r="B563" s="185"/>
    </row>
    <row r="564" ht="15.75" customHeight="1">
      <c r="B564" s="185"/>
    </row>
    <row r="565" ht="15.75" customHeight="1">
      <c r="B565" s="185"/>
    </row>
    <row r="566" ht="15.75" customHeight="1">
      <c r="B566" s="185"/>
    </row>
    <row r="567" ht="15.75" customHeight="1">
      <c r="B567" s="185"/>
    </row>
    <row r="568" ht="15.75" customHeight="1">
      <c r="B568" s="185"/>
    </row>
    <row r="569" ht="15.75" customHeight="1">
      <c r="B569" s="185"/>
    </row>
    <row r="570" ht="15.75" customHeight="1">
      <c r="B570" s="185"/>
    </row>
    <row r="571" ht="15.75" customHeight="1">
      <c r="B571" s="185"/>
    </row>
    <row r="572" ht="15.75" customHeight="1">
      <c r="B572" s="185"/>
    </row>
    <row r="573" ht="15.75" customHeight="1">
      <c r="B573" s="185"/>
    </row>
    <row r="574" ht="15.75" customHeight="1">
      <c r="B574" s="185"/>
    </row>
    <row r="575" ht="15.75" customHeight="1">
      <c r="B575" s="185"/>
    </row>
    <row r="576" ht="15.75" customHeight="1">
      <c r="B576" s="185"/>
    </row>
    <row r="577" ht="15.75" customHeight="1">
      <c r="B577" s="185"/>
    </row>
    <row r="578" ht="15.75" customHeight="1">
      <c r="B578" s="185"/>
    </row>
    <row r="579" ht="15.75" customHeight="1">
      <c r="B579" s="185"/>
    </row>
    <row r="580" ht="15.75" customHeight="1">
      <c r="B580" s="185"/>
    </row>
    <row r="581" ht="15.75" customHeight="1">
      <c r="B581" s="185"/>
    </row>
    <row r="582" ht="15.75" customHeight="1">
      <c r="B582" s="185"/>
    </row>
    <row r="583" ht="15.75" customHeight="1">
      <c r="B583" s="185"/>
    </row>
    <row r="584" ht="15.75" customHeight="1">
      <c r="B584" s="185"/>
    </row>
    <row r="585" ht="15.75" customHeight="1">
      <c r="B585" s="185"/>
    </row>
    <row r="586" ht="15.75" customHeight="1">
      <c r="B586" s="185"/>
    </row>
    <row r="587" ht="15.75" customHeight="1">
      <c r="B587" s="185"/>
    </row>
    <row r="588" ht="15.75" customHeight="1">
      <c r="B588" s="185"/>
    </row>
    <row r="589" ht="15.75" customHeight="1">
      <c r="B589" s="185"/>
    </row>
    <row r="590" ht="15.75" customHeight="1">
      <c r="B590" s="185"/>
    </row>
    <row r="591" ht="15.75" customHeight="1">
      <c r="B591" s="185"/>
    </row>
    <row r="592" ht="15.75" customHeight="1">
      <c r="B592" s="185"/>
    </row>
    <row r="593" ht="15.75" customHeight="1">
      <c r="B593" s="185"/>
    </row>
    <row r="594" ht="15.75" customHeight="1">
      <c r="B594" s="185"/>
    </row>
    <row r="595" ht="15.75" customHeight="1">
      <c r="B595" s="185"/>
    </row>
    <row r="596" ht="15.75" customHeight="1">
      <c r="B596" s="185"/>
    </row>
    <row r="597" ht="15.75" customHeight="1">
      <c r="B597" s="185"/>
    </row>
    <row r="598" ht="15.75" customHeight="1">
      <c r="B598" s="185"/>
    </row>
    <row r="599" ht="15.75" customHeight="1">
      <c r="B599" s="185"/>
    </row>
    <row r="600" ht="15.75" customHeight="1">
      <c r="B600" s="185"/>
    </row>
    <row r="601" ht="15.75" customHeight="1">
      <c r="B601" s="185"/>
    </row>
    <row r="602" ht="15.75" customHeight="1">
      <c r="B602" s="185"/>
    </row>
    <row r="603" ht="15.75" customHeight="1">
      <c r="B603" s="185"/>
    </row>
    <row r="604" ht="15.75" customHeight="1">
      <c r="B604" s="185"/>
    </row>
    <row r="605" ht="15.75" customHeight="1">
      <c r="B605" s="185"/>
    </row>
    <row r="606" ht="15.75" customHeight="1">
      <c r="B606" s="185"/>
    </row>
    <row r="607" ht="15.75" customHeight="1">
      <c r="B607" s="185"/>
    </row>
    <row r="608" ht="15.75" customHeight="1">
      <c r="B608" s="185"/>
    </row>
    <row r="609" ht="15.75" customHeight="1">
      <c r="B609" s="185"/>
    </row>
    <row r="610" ht="15.75" customHeight="1">
      <c r="B610" s="185"/>
    </row>
    <row r="611" ht="15.75" customHeight="1">
      <c r="B611" s="185"/>
    </row>
    <row r="612" ht="15.75" customHeight="1">
      <c r="B612" s="185"/>
    </row>
    <row r="613" ht="15.75" customHeight="1">
      <c r="B613" s="185"/>
    </row>
    <row r="614" ht="15.75" customHeight="1">
      <c r="B614" s="185"/>
    </row>
    <row r="615" ht="15.75" customHeight="1">
      <c r="B615" s="185"/>
    </row>
    <row r="616" ht="15.75" customHeight="1">
      <c r="B616" s="185"/>
    </row>
    <row r="617" ht="15.75" customHeight="1">
      <c r="B617" s="185"/>
    </row>
    <row r="618" ht="15.75" customHeight="1">
      <c r="B618" s="185"/>
    </row>
    <row r="619" ht="15.75" customHeight="1">
      <c r="B619" s="185"/>
    </row>
    <row r="620" ht="15.75" customHeight="1">
      <c r="B620" s="185"/>
    </row>
    <row r="621" ht="15.75" customHeight="1">
      <c r="B621" s="185"/>
    </row>
    <row r="622" ht="15.75" customHeight="1">
      <c r="B622" s="185"/>
    </row>
    <row r="623" ht="15.75" customHeight="1">
      <c r="B623" s="185"/>
    </row>
    <row r="624" ht="15.75" customHeight="1">
      <c r="B624" s="185"/>
    </row>
    <row r="625" ht="15.75" customHeight="1">
      <c r="B625" s="185"/>
    </row>
    <row r="626" ht="15.75" customHeight="1">
      <c r="B626" s="185"/>
    </row>
    <row r="627" ht="15.75" customHeight="1">
      <c r="B627" s="185"/>
    </row>
    <row r="628" ht="15.75" customHeight="1">
      <c r="B628" s="185"/>
    </row>
    <row r="629" ht="15.75" customHeight="1">
      <c r="B629" s="185"/>
    </row>
    <row r="630" ht="15.75" customHeight="1">
      <c r="B630" s="185"/>
    </row>
    <row r="631" ht="15.75" customHeight="1">
      <c r="B631" s="185"/>
    </row>
    <row r="632" ht="15.75" customHeight="1">
      <c r="B632" s="185"/>
    </row>
    <row r="633" ht="15.75" customHeight="1">
      <c r="B633" s="185"/>
    </row>
    <row r="634" ht="15.75" customHeight="1">
      <c r="B634" s="185"/>
    </row>
    <row r="635" ht="15.75" customHeight="1">
      <c r="B635" s="185"/>
    </row>
    <row r="636" ht="15.75" customHeight="1">
      <c r="B636" s="185"/>
    </row>
    <row r="637" ht="15.75" customHeight="1">
      <c r="B637" s="185"/>
    </row>
    <row r="638" ht="15.75" customHeight="1">
      <c r="B638" s="185"/>
    </row>
    <row r="639" ht="15.75" customHeight="1">
      <c r="B639" s="185"/>
    </row>
    <row r="640" ht="15.75" customHeight="1">
      <c r="B640" s="185"/>
    </row>
    <row r="641" ht="15.75" customHeight="1">
      <c r="B641" s="185"/>
    </row>
    <row r="642" ht="15.75" customHeight="1">
      <c r="B642" s="185"/>
    </row>
    <row r="643" ht="15.75" customHeight="1">
      <c r="B643" s="185"/>
    </row>
    <row r="644" ht="15.75" customHeight="1">
      <c r="B644" s="185"/>
    </row>
    <row r="645" ht="15.75" customHeight="1">
      <c r="B645" s="185"/>
    </row>
    <row r="646" ht="15.75" customHeight="1">
      <c r="B646" s="185"/>
    </row>
    <row r="647" ht="15.75" customHeight="1">
      <c r="B647" s="185"/>
    </row>
    <row r="648" ht="15.75" customHeight="1">
      <c r="B648" s="185"/>
    </row>
    <row r="649" ht="15.75" customHeight="1">
      <c r="B649" s="185"/>
    </row>
    <row r="650" ht="15.75" customHeight="1">
      <c r="B650" s="185"/>
    </row>
    <row r="651" ht="15.75" customHeight="1">
      <c r="B651" s="185"/>
    </row>
    <row r="652" ht="15.75" customHeight="1">
      <c r="B652" s="185"/>
    </row>
    <row r="653" ht="15.75" customHeight="1">
      <c r="B653" s="185"/>
    </row>
    <row r="654" ht="15.75" customHeight="1">
      <c r="B654" s="185"/>
    </row>
    <row r="655" ht="15.75" customHeight="1">
      <c r="B655" s="185"/>
    </row>
    <row r="656" ht="15.75" customHeight="1">
      <c r="B656" s="185"/>
    </row>
    <row r="657" ht="15.75" customHeight="1">
      <c r="B657" s="185"/>
    </row>
    <row r="658" ht="15.75" customHeight="1">
      <c r="B658" s="185"/>
    </row>
    <row r="659" ht="15.75" customHeight="1">
      <c r="B659" s="185"/>
    </row>
    <row r="660" ht="15.75" customHeight="1">
      <c r="B660" s="185"/>
    </row>
    <row r="661" ht="15.75" customHeight="1">
      <c r="B661" s="185"/>
    </row>
    <row r="662" ht="15.75" customHeight="1">
      <c r="B662" s="185"/>
    </row>
    <row r="663" ht="15.75" customHeight="1">
      <c r="B663" s="185"/>
    </row>
    <row r="664" ht="15.75" customHeight="1">
      <c r="B664" s="185"/>
    </row>
    <row r="665" ht="15.75" customHeight="1">
      <c r="B665" s="185"/>
    </row>
    <row r="666" ht="15.75" customHeight="1">
      <c r="B666" s="185"/>
    </row>
    <row r="667" ht="15.75" customHeight="1">
      <c r="B667" s="185"/>
    </row>
    <row r="668" ht="15.75" customHeight="1">
      <c r="B668" s="185"/>
    </row>
    <row r="669" ht="15.75" customHeight="1">
      <c r="B669" s="185"/>
    </row>
    <row r="670" ht="15.75" customHeight="1">
      <c r="B670" s="185"/>
    </row>
    <row r="671" ht="15.75" customHeight="1">
      <c r="B671" s="185"/>
    </row>
    <row r="672" ht="15.75" customHeight="1">
      <c r="B672" s="185"/>
    </row>
    <row r="673" ht="15.75" customHeight="1">
      <c r="B673" s="185"/>
    </row>
    <row r="674" ht="15.75" customHeight="1">
      <c r="B674" s="185"/>
    </row>
    <row r="675" ht="15.75" customHeight="1">
      <c r="B675" s="185"/>
    </row>
    <row r="676" ht="15.75" customHeight="1">
      <c r="B676" s="185"/>
    </row>
    <row r="677" ht="15.75" customHeight="1">
      <c r="B677" s="185"/>
    </row>
    <row r="678" ht="15.75" customHeight="1">
      <c r="B678" s="185"/>
    </row>
    <row r="679" ht="15.75" customHeight="1">
      <c r="B679" s="185"/>
    </row>
    <row r="680" ht="15.75" customHeight="1">
      <c r="B680" s="185"/>
    </row>
    <row r="681" ht="15.75" customHeight="1">
      <c r="B681" s="185"/>
    </row>
    <row r="682" ht="15.75" customHeight="1">
      <c r="B682" s="185"/>
    </row>
    <row r="683" ht="15.75" customHeight="1">
      <c r="B683" s="185"/>
    </row>
    <row r="684" ht="15.75" customHeight="1">
      <c r="B684" s="185"/>
    </row>
    <row r="685" ht="15.75" customHeight="1">
      <c r="B685" s="185"/>
    </row>
    <row r="686" ht="15.75" customHeight="1">
      <c r="B686" s="185"/>
    </row>
    <row r="687" ht="15.75" customHeight="1">
      <c r="B687" s="185"/>
    </row>
    <row r="688" ht="15.75" customHeight="1">
      <c r="B688" s="185"/>
    </row>
    <row r="689" ht="15.75" customHeight="1">
      <c r="B689" s="185"/>
    </row>
    <row r="690" ht="15.75" customHeight="1">
      <c r="B690" s="185"/>
    </row>
    <row r="691" ht="15.75" customHeight="1">
      <c r="B691" s="185"/>
    </row>
    <row r="692" ht="15.75" customHeight="1">
      <c r="B692" s="185"/>
    </row>
    <row r="693" ht="15.75" customHeight="1">
      <c r="B693" s="185"/>
    </row>
    <row r="694" ht="15.75" customHeight="1">
      <c r="B694" s="185"/>
    </row>
    <row r="695" ht="15.75" customHeight="1">
      <c r="B695" s="185"/>
    </row>
    <row r="696" ht="15.75" customHeight="1">
      <c r="B696" s="185"/>
    </row>
    <row r="697" ht="15.75" customHeight="1">
      <c r="B697" s="185"/>
    </row>
    <row r="698" ht="15.75" customHeight="1">
      <c r="B698" s="185"/>
    </row>
    <row r="699" ht="15.75" customHeight="1">
      <c r="B699" s="185"/>
    </row>
    <row r="700" ht="15.75" customHeight="1">
      <c r="B700" s="185"/>
    </row>
    <row r="701" ht="15.75" customHeight="1">
      <c r="B701" s="185"/>
    </row>
    <row r="702" ht="15.75" customHeight="1">
      <c r="B702" s="185"/>
    </row>
    <row r="703" ht="15.75" customHeight="1">
      <c r="B703" s="185"/>
    </row>
    <row r="704" ht="15.75" customHeight="1">
      <c r="B704" s="185"/>
    </row>
    <row r="705" ht="15.75" customHeight="1">
      <c r="B705" s="185"/>
    </row>
    <row r="706" ht="15.75" customHeight="1">
      <c r="B706" s="185"/>
    </row>
    <row r="707" ht="15.75" customHeight="1">
      <c r="B707" s="185"/>
    </row>
    <row r="708" ht="15.75" customHeight="1">
      <c r="B708" s="185"/>
    </row>
    <row r="709" ht="15.75" customHeight="1">
      <c r="B709" s="185"/>
    </row>
    <row r="710" ht="15.75" customHeight="1">
      <c r="B710" s="185"/>
    </row>
    <row r="711" ht="15.75" customHeight="1">
      <c r="B711" s="185"/>
    </row>
    <row r="712" ht="15.75" customHeight="1">
      <c r="B712" s="185"/>
    </row>
    <row r="713" ht="15.75" customHeight="1">
      <c r="B713" s="185"/>
    </row>
    <row r="714" ht="15.75" customHeight="1">
      <c r="B714" s="185"/>
    </row>
    <row r="715" ht="15.75" customHeight="1">
      <c r="B715" s="185"/>
    </row>
    <row r="716" ht="15.75" customHeight="1">
      <c r="B716" s="185"/>
    </row>
    <row r="717" ht="15.75" customHeight="1">
      <c r="B717" s="185"/>
    </row>
    <row r="718" ht="15.75" customHeight="1">
      <c r="B718" s="185"/>
    </row>
    <row r="719" ht="15.75" customHeight="1">
      <c r="B719" s="185"/>
    </row>
    <row r="720" ht="15.75" customHeight="1">
      <c r="B720" s="185"/>
    </row>
    <row r="721" ht="15.75" customHeight="1">
      <c r="B721" s="185"/>
    </row>
    <row r="722" ht="15.75" customHeight="1">
      <c r="B722" s="185"/>
    </row>
    <row r="723" ht="15.75" customHeight="1">
      <c r="B723" s="185"/>
    </row>
    <row r="724" ht="15.75" customHeight="1">
      <c r="B724" s="185"/>
    </row>
    <row r="725" ht="15.75" customHeight="1">
      <c r="B725" s="185"/>
    </row>
    <row r="726" ht="15.75" customHeight="1">
      <c r="B726" s="185"/>
    </row>
    <row r="727" ht="15.75" customHeight="1">
      <c r="B727" s="185"/>
    </row>
    <row r="728" ht="15.75" customHeight="1">
      <c r="B728" s="185"/>
    </row>
    <row r="729" ht="15.75" customHeight="1">
      <c r="B729" s="185"/>
    </row>
    <row r="730" ht="15.75" customHeight="1">
      <c r="B730" s="185"/>
    </row>
    <row r="731" ht="15.75" customHeight="1">
      <c r="B731" s="185"/>
    </row>
    <row r="732" ht="15.75" customHeight="1">
      <c r="B732" s="185"/>
    </row>
    <row r="733" ht="15.75" customHeight="1">
      <c r="B733" s="185"/>
    </row>
    <row r="734" ht="15.75" customHeight="1">
      <c r="B734" s="185"/>
    </row>
    <row r="735" ht="15.75" customHeight="1">
      <c r="B735" s="185"/>
    </row>
    <row r="736" ht="15.75" customHeight="1">
      <c r="B736" s="185"/>
    </row>
    <row r="737" ht="15.75" customHeight="1">
      <c r="B737" s="185"/>
    </row>
    <row r="738" ht="15.75" customHeight="1">
      <c r="B738" s="185"/>
    </row>
    <row r="739" ht="15.75" customHeight="1">
      <c r="B739" s="185"/>
    </row>
    <row r="740" ht="15.75" customHeight="1">
      <c r="B740" s="185"/>
    </row>
    <row r="741" ht="15.75" customHeight="1">
      <c r="B741" s="185"/>
    </row>
    <row r="742" ht="15.75" customHeight="1">
      <c r="B742" s="185"/>
    </row>
    <row r="743" ht="15.75" customHeight="1">
      <c r="B743" s="185"/>
    </row>
    <row r="744" ht="15.75" customHeight="1">
      <c r="B744" s="185"/>
    </row>
    <row r="745" ht="15.75" customHeight="1">
      <c r="B745" s="185"/>
    </row>
    <row r="746" ht="15.75" customHeight="1">
      <c r="B746" s="185"/>
    </row>
    <row r="747" ht="15.75" customHeight="1">
      <c r="B747" s="185"/>
    </row>
    <row r="748" ht="15.75" customHeight="1">
      <c r="B748" s="185"/>
    </row>
    <row r="749" ht="15.75" customHeight="1">
      <c r="B749" s="185"/>
    </row>
    <row r="750" ht="15.75" customHeight="1">
      <c r="B750" s="185"/>
    </row>
    <row r="751" ht="15.75" customHeight="1">
      <c r="B751" s="185"/>
    </row>
    <row r="752" ht="15.75" customHeight="1">
      <c r="B752" s="185"/>
    </row>
    <row r="753" ht="15.75" customHeight="1">
      <c r="B753" s="185"/>
    </row>
    <row r="754" ht="15.75" customHeight="1">
      <c r="B754" s="185"/>
    </row>
    <row r="755" ht="15.75" customHeight="1">
      <c r="B755" s="185"/>
    </row>
    <row r="756" ht="15.75" customHeight="1">
      <c r="B756" s="185"/>
    </row>
    <row r="757" ht="15.75" customHeight="1">
      <c r="B757" s="185"/>
    </row>
    <row r="758" ht="15.75" customHeight="1">
      <c r="B758" s="185"/>
    </row>
    <row r="759" ht="15.75" customHeight="1">
      <c r="B759" s="185"/>
    </row>
    <row r="760" ht="15.75" customHeight="1">
      <c r="B760" s="185"/>
    </row>
    <row r="761" ht="15.75" customHeight="1">
      <c r="B761" s="185"/>
    </row>
    <row r="762" ht="15.75" customHeight="1">
      <c r="B762" s="185"/>
    </row>
    <row r="763" ht="15.75" customHeight="1">
      <c r="B763" s="185"/>
    </row>
    <row r="764" ht="15.75" customHeight="1">
      <c r="B764" s="185"/>
    </row>
    <row r="765" ht="15.75" customHeight="1">
      <c r="B765" s="185"/>
    </row>
    <row r="766" ht="15.75" customHeight="1">
      <c r="B766" s="185"/>
    </row>
    <row r="767" ht="15.75" customHeight="1">
      <c r="B767" s="185"/>
    </row>
    <row r="768" ht="15.75" customHeight="1">
      <c r="B768" s="185"/>
    </row>
    <row r="769" ht="15.75" customHeight="1">
      <c r="B769" s="185"/>
    </row>
    <row r="770" ht="15.75" customHeight="1">
      <c r="B770" s="185"/>
    </row>
    <row r="771" ht="15.75" customHeight="1">
      <c r="B771" s="185"/>
    </row>
    <row r="772" ht="15.75" customHeight="1">
      <c r="B772" s="185"/>
    </row>
    <row r="773" ht="15.75" customHeight="1">
      <c r="B773" s="185"/>
    </row>
    <row r="774" ht="15.75" customHeight="1">
      <c r="B774" s="185"/>
    </row>
    <row r="775" ht="15.75" customHeight="1">
      <c r="B775" s="185"/>
    </row>
    <row r="776" ht="15.75" customHeight="1">
      <c r="B776" s="185"/>
    </row>
    <row r="777" ht="15.75" customHeight="1">
      <c r="B777" s="185"/>
    </row>
    <row r="778" ht="15.75" customHeight="1">
      <c r="B778" s="185"/>
    </row>
    <row r="779" ht="15.75" customHeight="1">
      <c r="B779" s="185"/>
    </row>
    <row r="780" ht="15.75" customHeight="1">
      <c r="B780" s="185"/>
    </row>
    <row r="781" ht="15.75" customHeight="1">
      <c r="B781" s="185"/>
    </row>
    <row r="782" ht="15.75" customHeight="1">
      <c r="B782" s="185"/>
    </row>
    <row r="783" ht="15.75" customHeight="1">
      <c r="B783" s="185"/>
    </row>
    <row r="784" ht="15.75" customHeight="1">
      <c r="B784" s="185"/>
    </row>
    <row r="785" ht="15.75" customHeight="1">
      <c r="B785" s="185"/>
    </row>
    <row r="786" ht="15.75" customHeight="1">
      <c r="B786" s="185"/>
    </row>
    <row r="787" ht="15.75" customHeight="1">
      <c r="B787" s="185"/>
    </row>
    <row r="788" ht="15.75" customHeight="1">
      <c r="B788" s="185"/>
    </row>
    <row r="789" ht="15.75" customHeight="1">
      <c r="B789" s="185"/>
    </row>
    <row r="790" ht="15.75" customHeight="1">
      <c r="B790" s="185"/>
    </row>
    <row r="791" ht="15.75" customHeight="1">
      <c r="B791" s="185"/>
    </row>
    <row r="792" ht="15.75" customHeight="1">
      <c r="B792" s="185"/>
    </row>
    <row r="793" ht="15.75" customHeight="1">
      <c r="B793" s="185"/>
    </row>
    <row r="794" ht="15.75" customHeight="1">
      <c r="B794" s="185"/>
    </row>
    <row r="795" ht="15.75" customHeight="1">
      <c r="B795" s="185"/>
    </row>
    <row r="796" ht="15.75" customHeight="1">
      <c r="B796" s="185"/>
    </row>
    <row r="797" ht="15.75" customHeight="1">
      <c r="B797" s="185"/>
    </row>
    <row r="798" ht="15.75" customHeight="1">
      <c r="B798" s="185"/>
    </row>
    <row r="799" ht="15.75" customHeight="1">
      <c r="B799" s="185"/>
    </row>
    <row r="800" ht="15.75" customHeight="1">
      <c r="B800" s="185"/>
    </row>
    <row r="801" ht="15.75" customHeight="1">
      <c r="B801" s="185"/>
    </row>
    <row r="802" ht="15.75" customHeight="1">
      <c r="B802" s="185"/>
    </row>
    <row r="803" ht="15.75" customHeight="1">
      <c r="B803" s="185"/>
    </row>
    <row r="804" ht="15.75" customHeight="1">
      <c r="B804" s="185"/>
    </row>
    <row r="805" ht="15.75" customHeight="1">
      <c r="B805" s="185"/>
    </row>
    <row r="806" ht="15.75" customHeight="1">
      <c r="B806" s="185"/>
    </row>
    <row r="807" ht="15.75" customHeight="1">
      <c r="B807" s="185"/>
    </row>
    <row r="808" ht="15.75" customHeight="1">
      <c r="B808" s="185"/>
    </row>
    <row r="809" ht="15.75" customHeight="1">
      <c r="B809" s="185"/>
    </row>
    <row r="810" ht="15.75" customHeight="1">
      <c r="B810" s="185"/>
    </row>
    <row r="811" ht="15.75" customHeight="1">
      <c r="B811" s="185"/>
    </row>
    <row r="812" ht="15.75" customHeight="1">
      <c r="B812" s="185"/>
    </row>
    <row r="813" ht="15.75" customHeight="1">
      <c r="B813" s="185"/>
    </row>
    <row r="814" ht="15.75" customHeight="1">
      <c r="B814" s="185"/>
    </row>
    <row r="815" ht="15.75" customHeight="1">
      <c r="B815" s="185"/>
    </row>
    <row r="816" ht="15.75" customHeight="1">
      <c r="B816" s="185"/>
    </row>
    <row r="817" ht="15.75" customHeight="1">
      <c r="B817" s="185"/>
    </row>
    <row r="818" ht="15.75" customHeight="1">
      <c r="B818" s="185"/>
    </row>
    <row r="819" ht="15.75" customHeight="1">
      <c r="B819" s="185"/>
    </row>
    <row r="820" ht="15.75" customHeight="1">
      <c r="B820" s="185"/>
    </row>
    <row r="821" ht="15.75" customHeight="1">
      <c r="B821" s="185"/>
    </row>
    <row r="822" ht="15.75" customHeight="1">
      <c r="B822" s="185"/>
    </row>
    <row r="823" ht="15.75" customHeight="1">
      <c r="B823" s="185"/>
    </row>
    <row r="824" ht="15.75" customHeight="1">
      <c r="B824" s="185"/>
    </row>
    <row r="825" ht="15.75" customHeight="1">
      <c r="B825" s="185"/>
    </row>
    <row r="826" ht="15.75" customHeight="1">
      <c r="B826" s="185"/>
    </row>
    <row r="827" ht="15.75" customHeight="1">
      <c r="B827" s="185"/>
    </row>
    <row r="828" ht="15.75" customHeight="1">
      <c r="B828" s="185"/>
    </row>
    <row r="829" ht="15.75" customHeight="1">
      <c r="B829" s="185"/>
    </row>
    <row r="830" ht="15.75" customHeight="1">
      <c r="B830" s="185"/>
    </row>
    <row r="831" ht="15.75" customHeight="1">
      <c r="B831" s="185"/>
    </row>
    <row r="832" ht="15.75" customHeight="1">
      <c r="B832" s="185"/>
    </row>
    <row r="833" ht="15.75" customHeight="1">
      <c r="B833" s="185"/>
    </row>
    <row r="834" ht="15.75" customHeight="1">
      <c r="B834" s="185"/>
    </row>
    <row r="835" ht="15.75" customHeight="1">
      <c r="B835" s="185"/>
    </row>
    <row r="836" ht="15.75" customHeight="1">
      <c r="B836" s="185"/>
    </row>
    <row r="837" ht="15.75" customHeight="1">
      <c r="B837" s="185"/>
    </row>
    <row r="838" ht="15.75" customHeight="1">
      <c r="B838" s="185"/>
    </row>
    <row r="839" ht="15.75" customHeight="1">
      <c r="B839" s="185"/>
    </row>
    <row r="840" ht="15.75" customHeight="1">
      <c r="B840" s="185"/>
    </row>
    <row r="841" ht="15.75" customHeight="1">
      <c r="B841" s="185"/>
    </row>
    <row r="842" ht="15.75" customHeight="1">
      <c r="B842" s="185"/>
    </row>
    <row r="843" ht="15.75" customHeight="1">
      <c r="B843" s="185"/>
    </row>
    <row r="844" ht="15.75" customHeight="1">
      <c r="B844" s="185"/>
    </row>
    <row r="845" ht="15.75" customHeight="1">
      <c r="B845" s="185"/>
    </row>
    <row r="846" ht="15.75" customHeight="1">
      <c r="B846" s="185"/>
    </row>
    <row r="847" ht="15.75" customHeight="1">
      <c r="B847" s="185"/>
    </row>
    <row r="848" ht="15.75" customHeight="1">
      <c r="B848" s="185"/>
    </row>
    <row r="849" ht="15.75" customHeight="1">
      <c r="B849" s="185"/>
    </row>
    <row r="850" ht="15.75" customHeight="1">
      <c r="B850" s="185"/>
    </row>
    <row r="851" ht="15.75" customHeight="1">
      <c r="B851" s="185"/>
    </row>
    <row r="852" ht="15.75" customHeight="1">
      <c r="B852" s="185"/>
    </row>
    <row r="853" ht="15.75" customHeight="1">
      <c r="B853" s="185"/>
    </row>
    <row r="854" ht="15.75" customHeight="1">
      <c r="B854" s="185"/>
    </row>
    <row r="855" ht="15.75" customHeight="1">
      <c r="B855" s="185"/>
    </row>
    <row r="856" ht="15.75" customHeight="1">
      <c r="B856" s="185"/>
    </row>
    <row r="857" ht="15.75" customHeight="1">
      <c r="B857" s="185"/>
    </row>
    <row r="858" ht="15.75" customHeight="1">
      <c r="B858" s="185"/>
    </row>
    <row r="859" ht="15.75" customHeight="1">
      <c r="B859" s="185"/>
    </row>
    <row r="860" ht="15.75" customHeight="1">
      <c r="B860" s="185"/>
    </row>
    <row r="861" ht="15.75" customHeight="1">
      <c r="B861" s="185"/>
    </row>
    <row r="862" ht="15.75" customHeight="1">
      <c r="B862" s="185"/>
    </row>
    <row r="863" ht="15.75" customHeight="1">
      <c r="B863" s="185"/>
    </row>
    <row r="864" ht="15.75" customHeight="1">
      <c r="B864" s="185"/>
    </row>
    <row r="865" ht="15.75" customHeight="1">
      <c r="B865" s="185"/>
    </row>
    <row r="866" ht="15.75" customHeight="1">
      <c r="B866" s="185"/>
    </row>
    <row r="867" ht="15.75" customHeight="1">
      <c r="B867" s="185"/>
    </row>
    <row r="868" ht="15.75" customHeight="1">
      <c r="B868" s="185"/>
    </row>
    <row r="869" ht="15.75" customHeight="1">
      <c r="B869" s="185"/>
    </row>
    <row r="870" ht="15.75" customHeight="1">
      <c r="B870" s="185"/>
    </row>
    <row r="871" ht="15.75" customHeight="1">
      <c r="B871" s="185"/>
    </row>
    <row r="872" ht="15.75" customHeight="1">
      <c r="B872" s="185"/>
    </row>
    <row r="873" ht="15.75" customHeight="1">
      <c r="B873" s="185"/>
    </row>
    <row r="874" ht="15.75" customHeight="1">
      <c r="B874" s="185"/>
    </row>
    <row r="875" ht="15.75" customHeight="1">
      <c r="B875" s="185"/>
    </row>
    <row r="876" ht="15.75" customHeight="1">
      <c r="B876" s="185"/>
    </row>
    <row r="877" ht="15.75" customHeight="1">
      <c r="B877" s="185"/>
    </row>
    <row r="878" ht="15.75" customHeight="1">
      <c r="B878" s="185"/>
    </row>
    <row r="879" ht="15.75" customHeight="1">
      <c r="B879" s="185"/>
    </row>
    <row r="880" ht="15.75" customHeight="1">
      <c r="B880" s="185"/>
    </row>
    <row r="881" ht="15.75" customHeight="1">
      <c r="B881" s="185"/>
    </row>
    <row r="882" ht="15.75" customHeight="1">
      <c r="B882" s="185"/>
    </row>
    <row r="883" ht="15.75" customHeight="1">
      <c r="B883" s="185"/>
    </row>
    <row r="884" ht="15.75" customHeight="1">
      <c r="B884" s="185"/>
    </row>
    <row r="885" ht="15.75" customHeight="1">
      <c r="B885" s="185"/>
    </row>
    <row r="886" ht="15.75" customHeight="1">
      <c r="B886" s="185"/>
    </row>
    <row r="887" ht="15.75" customHeight="1">
      <c r="B887" s="185"/>
    </row>
    <row r="888" ht="15.75" customHeight="1">
      <c r="B888" s="185"/>
    </row>
    <row r="889" ht="15.75" customHeight="1">
      <c r="B889" s="185"/>
    </row>
    <row r="890" ht="15.75" customHeight="1">
      <c r="B890" s="185"/>
    </row>
    <row r="891" ht="15.75" customHeight="1">
      <c r="B891" s="185"/>
    </row>
    <row r="892" ht="15.75" customHeight="1">
      <c r="B892" s="185"/>
    </row>
    <row r="893" ht="15.75" customHeight="1">
      <c r="B893" s="185"/>
    </row>
    <row r="894" ht="15.75" customHeight="1">
      <c r="B894" s="185"/>
    </row>
    <row r="895" ht="15.75" customHeight="1">
      <c r="B895" s="185"/>
    </row>
    <row r="896" ht="15.75" customHeight="1">
      <c r="B896" s="185"/>
    </row>
    <row r="897" ht="15.75" customHeight="1">
      <c r="B897" s="185"/>
    </row>
    <row r="898" ht="15.75" customHeight="1">
      <c r="B898" s="185"/>
    </row>
    <row r="899" ht="15.75" customHeight="1">
      <c r="B899" s="185"/>
    </row>
    <row r="900" ht="15.75" customHeight="1">
      <c r="B900" s="185"/>
    </row>
    <row r="901" ht="15.75" customHeight="1">
      <c r="B901" s="185"/>
    </row>
    <row r="902" ht="15.75" customHeight="1">
      <c r="B902" s="185"/>
    </row>
    <row r="903" ht="15.75" customHeight="1">
      <c r="B903" s="185"/>
    </row>
    <row r="904" ht="15.75" customHeight="1">
      <c r="B904" s="185"/>
    </row>
    <row r="905" ht="15.75" customHeight="1">
      <c r="B905" s="185"/>
    </row>
    <row r="906" ht="15.75" customHeight="1">
      <c r="B906" s="185"/>
    </row>
    <row r="907" ht="15.75" customHeight="1">
      <c r="B907" s="185"/>
    </row>
    <row r="908" ht="15.75" customHeight="1">
      <c r="B908" s="185"/>
    </row>
    <row r="909" ht="15.75" customHeight="1">
      <c r="B909" s="185"/>
    </row>
    <row r="910" ht="15.75" customHeight="1">
      <c r="B910" s="185"/>
    </row>
    <row r="911" ht="15.75" customHeight="1">
      <c r="B911" s="185"/>
    </row>
    <row r="912" ht="15.75" customHeight="1">
      <c r="B912" s="185"/>
    </row>
    <row r="913" ht="15.75" customHeight="1">
      <c r="B913" s="185"/>
    </row>
    <row r="914" ht="15.75" customHeight="1">
      <c r="B914" s="185"/>
    </row>
    <row r="915" ht="15.75" customHeight="1">
      <c r="B915" s="185"/>
    </row>
    <row r="916" ht="15.75" customHeight="1">
      <c r="B916" s="185"/>
    </row>
    <row r="917" ht="15.75" customHeight="1">
      <c r="B917" s="185"/>
    </row>
    <row r="918" ht="15.75" customHeight="1">
      <c r="B918" s="185"/>
    </row>
    <row r="919" ht="15.75" customHeight="1">
      <c r="B919" s="185"/>
    </row>
    <row r="920" ht="15.75" customHeight="1">
      <c r="B920" s="185"/>
    </row>
    <row r="921" ht="15.75" customHeight="1">
      <c r="B921" s="185"/>
    </row>
    <row r="922" ht="15.75" customHeight="1">
      <c r="B922" s="185"/>
    </row>
    <row r="923" ht="15.75" customHeight="1">
      <c r="B923" s="185"/>
    </row>
    <row r="924" ht="15.75" customHeight="1">
      <c r="B924" s="185"/>
    </row>
    <row r="925" ht="15.75" customHeight="1">
      <c r="B925" s="185"/>
    </row>
    <row r="926" ht="15.75" customHeight="1">
      <c r="B926" s="185"/>
    </row>
    <row r="927" ht="15.75" customHeight="1">
      <c r="B927" s="185"/>
    </row>
    <row r="928" ht="15.75" customHeight="1">
      <c r="B928" s="185"/>
    </row>
    <row r="929" ht="15.75" customHeight="1">
      <c r="B929" s="185"/>
    </row>
    <row r="930" ht="15.75" customHeight="1">
      <c r="B930" s="185"/>
    </row>
    <row r="931" ht="15.75" customHeight="1">
      <c r="B931" s="185"/>
    </row>
    <row r="932" ht="15.75" customHeight="1">
      <c r="B932" s="185"/>
    </row>
    <row r="933" ht="15.75" customHeight="1">
      <c r="B933" s="185"/>
    </row>
    <row r="934" ht="15.75" customHeight="1">
      <c r="B934" s="185"/>
    </row>
    <row r="935" ht="15.75" customHeight="1">
      <c r="B935" s="185"/>
    </row>
    <row r="936" ht="15.75" customHeight="1">
      <c r="B936" s="185"/>
    </row>
    <row r="937" ht="15.75" customHeight="1">
      <c r="B937" s="185"/>
    </row>
    <row r="938" ht="15.75" customHeight="1">
      <c r="B938" s="185"/>
    </row>
    <row r="939" ht="15.75" customHeight="1">
      <c r="B939" s="185"/>
    </row>
    <row r="940" ht="15.75" customHeight="1">
      <c r="B940" s="185"/>
    </row>
    <row r="941" ht="15.75" customHeight="1">
      <c r="B941" s="185"/>
    </row>
    <row r="942" ht="15.75" customHeight="1">
      <c r="B942" s="185"/>
    </row>
    <row r="943" ht="15.75" customHeight="1">
      <c r="B943" s="185"/>
    </row>
    <row r="944" ht="15.75" customHeight="1">
      <c r="B944" s="185"/>
    </row>
    <row r="945" ht="15.75" customHeight="1">
      <c r="B945" s="185"/>
    </row>
    <row r="946" ht="15.75" customHeight="1">
      <c r="B946" s="185"/>
    </row>
    <row r="947" ht="15.75" customHeight="1">
      <c r="B947" s="185"/>
    </row>
    <row r="948" ht="15.75" customHeight="1">
      <c r="B948" s="185"/>
    </row>
    <row r="949" ht="15.75" customHeight="1">
      <c r="B949" s="185"/>
    </row>
    <row r="950" ht="15.75" customHeight="1">
      <c r="B950" s="185"/>
    </row>
    <row r="951" ht="15.75" customHeight="1">
      <c r="B951" s="185"/>
    </row>
    <row r="952" ht="15.75" customHeight="1">
      <c r="B952" s="185"/>
    </row>
    <row r="953" ht="15.75" customHeight="1">
      <c r="B953" s="185"/>
    </row>
    <row r="954" ht="15.75" customHeight="1">
      <c r="B954" s="185"/>
    </row>
    <row r="955" ht="15.75" customHeight="1">
      <c r="B955" s="185"/>
    </row>
    <row r="956" ht="15.75" customHeight="1">
      <c r="B956" s="185"/>
    </row>
    <row r="957" ht="15.75" customHeight="1">
      <c r="B957" s="185"/>
    </row>
    <row r="958" ht="15.75" customHeight="1">
      <c r="B958" s="185"/>
    </row>
    <row r="959" ht="15.75" customHeight="1">
      <c r="B959" s="185"/>
    </row>
    <row r="960" ht="15.75" customHeight="1">
      <c r="B960" s="185"/>
    </row>
    <row r="961" ht="15.75" customHeight="1">
      <c r="B961" s="185"/>
    </row>
    <row r="962" ht="15.75" customHeight="1">
      <c r="B962" s="185"/>
    </row>
    <row r="963" ht="15.75" customHeight="1">
      <c r="B963" s="185"/>
    </row>
    <row r="964" ht="15.75" customHeight="1">
      <c r="B964" s="185"/>
    </row>
    <row r="965" ht="15.75" customHeight="1">
      <c r="B965" s="185"/>
    </row>
    <row r="966" ht="15.75" customHeight="1">
      <c r="B966" s="185"/>
    </row>
    <row r="967" ht="15.75" customHeight="1">
      <c r="B967" s="185"/>
    </row>
    <row r="968" ht="15.75" customHeight="1">
      <c r="B968" s="185"/>
    </row>
    <row r="969" ht="15.75" customHeight="1">
      <c r="B969" s="185"/>
    </row>
    <row r="970" ht="15.75" customHeight="1">
      <c r="B970" s="185"/>
    </row>
    <row r="971" ht="15.75" customHeight="1">
      <c r="B971" s="185"/>
    </row>
    <row r="972" ht="15.75" customHeight="1">
      <c r="B972" s="185"/>
    </row>
    <row r="973" ht="15.75" customHeight="1">
      <c r="B973" s="185"/>
    </row>
    <row r="974" ht="15.75" customHeight="1">
      <c r="B974" s="185"/>
    </row>
    <row r="975" ht="15.75" customHeight="1">
      <c r="B975" s="185"/>
    </row>
    <row r="976" ht="15.75" customHeight="1">
      <c r="B976" s="185"/>
    </row>
    <row r="977" ht="15.75" customHeight="1">
      <c r="B977" s="185"/>
    </row>
    <row r="978" ht="15.75" customHeight="1">
      <c r="B978" s="185"/>
    </row>
    <row r="979" ht="15.75" customHeight="1">
      <c r="B979" s="185"/>
    </row>
    <row r="980" ht="15.75" customHeight="1">
      <c r="B980" s="185"/>
    </row>
    <row r="981" ht="15.75" customHeight="1">
      <c r="B981" s="185"/>
    </row>
    <row r="982" ht="15.75" customHeight="1">
      <c r="B982" s="185"/>
    </row>
    <row r="983" ht="15.75" customHeight="1">
      <c r="B983" s="185"/>
    </row>
    <row r="984" ht="15.75" customHeight="1">
      <c r="B984" s="185"/>
    </row>
    <row r="985" ht="15.75" customHeight="1">
      <c r="B985" s="185"/>
    </row>
    <row r="986" ht="15.75" customHeight="1">
      <c r="B986" s="185"/>
    </row>
    <row r="987" ht="15.75" customHeight="1">
      <c r="B987" s="185"/>
    </row>
    <row r="988" ht="15.75" customHeight="1">
      <c r="B988" s="185"/>
    </row>
    <row r="989" ht="15.75" customHeight="1">
      <c r="B989" s="185"/>
    </row>
    <row r="990" ht="15.75" customHeight="1">
      <c r="B990" s="185"/>
    </row>
    <row r="991" ht="15.75" customHeight="1">
      <c r="B991" s="185"/>
    </row>
    <row r="992" ht="15.75" customHeight="1">
      <c r="B992" s="185"/>
    </row>
    <row r="993" ht="15.75" customHeight="1">
      <c r="B993" s="185"/>
    </row>
    <row r="994" ht="15.75" customHeight="1">
      <c r="B994" s="185"/>
    </row>
    <row r="995" ht="15.75" customHeight="1">
      <c r="B995" s="185"/>
    </row>
    <row r="996" ht="15.75" customHeight="1">
      <c r="B996" s="185"/>
    </row>
    <row r="997" ht="15.75" customHeight="1">
      <c r="B997" s="185"/>
    </row>
    <row r="998" ht="15.75" customHeight="1">
      <c r="B998" s="185"/>
    </row>
    <row r="999" ht="15.75" customHeight="1">
      <c r="B999" s="185"/>
    </row>
    <row r="1000" ht="15.75" customHeight="1">
      <c r="B1000" s="18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2018-08-07T23:17:42Z</dcterms:created>
  <dc:creator>Tasso Azevedo</dc:creator>
</cp:coreProperties>
</file>