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DADOS COBERTURA CERRADO" sheetId="2" r:id="rId5"/>
    <sheet state="visible" name="GRAFICO HISTORICO" sheetId="3" r:id="rId6"/>
    <sheet state="visible" name="SANKEY" sheetId="4" r:id="rId7"/>
    <sheet state="visible" name="MANCHETES" sheetId="5" r:id="rId8"/>
    <sheet state="hidden" name="Matriz Cerrado" sheetId="6" r:id="rId9"/>
  </sheets>
  <definedNames/>
  <calcPr/>
  <extLst>
    <ext uri="GoogleSheetsCustomDataVersion2">
      <go:sheetsCustomData xmlns:go="http://customooxmlschemas.google.com/" r:id="rId10" roundtripDataChecksum="ZzPKtWQHwSMtEP3l/VKdYU/gP20B3lniL8LOnBWDkgM="/>
    </ext>
  </extLst>
</workbook>
</file>

<file path=xl/sharedStrings.xml><?xml version="1.0" encoding="utf-8"?>
<sst xmlns="http://schemas.openxmlformats.org/spreadsheetml/2006/main" count="779" uniqueCount="109">
  <si>
    <t>Area total</t>
  </si>
  <si>
    <t>Area Mha</t>
  </si>
  <si>
    <t>%</t>
  </si>
  <si>
    <t>AMAZONIA</t>
  </si>
  <si>
    <t>Para o Grafico Circular da composição do uso da terra</t>
  </si>
  <si>
    <t>Transições 1985 a 2025</t>
  </si>
  <si>
    <t>Area total (ha)</t>
  </si>
  <si>
    <t>Mha</t>
  </si>
  <si>
    <t>CAATINGA</t>
  </si>
  <si>
    <t>1. Forest</t>
  </si>
  <si>
    <t>CERRADO</t>
  </si>
  <si>
    <t>MATA ATLANTICA</t>
  </si>
  <si>
    <t>PAMPA</t>
  </si>
  <si>
    <t>PANTANAL</t>
  </si>
  <si>
    <t>Total</t>
  </si>
  <si>
    <t>Formação Florestal</t>
  </si>
  <si>
    <t>Floresta</t>
  </si>
  <si>
    <t>Formação Savânica</t>
  </si>
  <si>
    <t>Formação Natural Não Florestal</t>
  </si>
  <si>
    <t>Agropecuária</t>
  </si>
  <si>
    <t>Outros</t>
  </si>
  <si>
    <t>1.1. Forest Formation</t>
  </si>
  <si>
    <t>TOTAL 1985</t>
  </si>
  <si>
    <t>Formação Natural não Florestal</t>
  </si>
  <si>
    <t>1. Floresta</t>
  </si>
  <si>
    <t>Área não Vegetada</t>
  </si>
  <si>
    <t>Corpo D'água</t>
  </si>
  <si>
    <t>Não Observado</t>
  </si>
  <si>
    <t>1.2. Savanna Formation</t>
  </si>
  <si>
    <t>Formação Savanica</t>
  </si>
  <si>
    <t>1.3. Flooded Savanna</t>
  </si>
  <si>
    <t>Others</t>
  </si>
  <si>
    <t>1.4. Mangrove</t>
  </si>
  <si>
    <t>1.5. Floodable Forest</t>
  </si>
  <si>
    <t>2. Formação Natural não Florestal</t>
  </si>
  <si>
    <t>Manchetes para Cerrado</t>
  </si>
  <si>
    <t>1.6. Wooded Sandbank Vegetation</t>
  </si>
  <si>
    <t>2. Herbaceous and Shrubby Vegetation</t>
  </si>
  <si>
    <t>TOTAL 2025</t>
  </si>
  <si>
    <t>Coberto por Vegetação Nativa em 2025</t>
  </si>
  <si>
    <t>2.1. Wetland</t>
  </si>
  <si>
    <t xml:space="preserve"> Outros</t>
  </si>
  <si>
    <t>Crescimento da área de Agricultura entre 1985 e 2025</t>
  </si>
  <si>
    <t>Perda liquida de vegetação nativa (-51,7 Mha)</t>
  </si>
  <si>
    <t>2.2. Marisma</t>
  </si>
  <si>
    <t>2.3. Grassland Formation</t>
  </si>
  <si>
    <t>3. Agropecuária</t>
  </si>
  <si>
    <t>2. Non Forest Natural Formation</t>
  </si>
  <si>
    <t>3. Farming</t>
  </si>
  <si>
    <t>4. Non Vegetated Area</t>
  </si>
  <si>
    <t>5. Water</t>
  </si>
  <si>
    <t>Total 1985</t>
  </si>
  <si>
    <t>2.4. Herbaceous-Shrub Mosaic</t>
  </si>
  <si>
    <t>2.5. Hypersaline Tidal Flat</t>
  </si>
  <si>
    <t>2.6. Rocky Outcrop</t>
  </si>
  <si>
    <t>Total 2025</t>
  </si>
  <si>
    <t>2.7. Herbaceous Sandbank Vegetation</t>
  </si>
  <si>
    <t/>
  </si>
  <si>
    <t>4. Área não Vegetada</t>
  </si>
  <si>
    <t>1. Forest Total</t>
  </si>
  <si>
    <t>4. Non vegetated area</t>
  </si>
  <si>
    <t>7. Not Observed</t>
  </si>
  <si>
    <t>Total Geral</t>
  </si>
  <si>
    <t>Rótulos de Linha</t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</si>
  <si>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</si>
  <si>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</si>
  <si>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</si>
  <si>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</si>
  <si>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</si>
  <si>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</si>
  <si>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</si>
  <si>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</si>
  <si>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</si>
  <si>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Praias e dunas</t>
  </si>
  <si>
    <t>Agricultura</t>
  </si>
  <si>
    <t>Formações Florestais Naturais</t>
  </si>
  <si>
    <t>Mangue</t>
  </si>
  <si>
    <t>Infraestrutura Urbana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</si>
  <si>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</si>
  <si>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</si>
  <si>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</si>
  <si>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</si>
  <si>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</si>
  <si>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</si>
  <si>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Mineração</t>
  </si>
  <si>
    <t>3.1. Pasture</t>
  </si>
  <si>
    <t>Área Úmida Natural não Florestal</t>
  </si>
  <si>
    <t>Outra formação não Florestal</t>
  </si>
  <si>
    <t>Rios, Lagos e Oceanos</t>
  </si>
  <si>
    <t>-</t>
  </si>
  <si>
    <t>3.2. Agriculture</t>
  </si>
  <si>
    <t>3.3. Forest Plantation</t>
  </si>
  <si>
    <t>3.4. Mosaic of Uses</t>
  </si>
  <si>
    <t>4.1. Beach, Dune and Sand Spot</t>
  </si>
  <si>
    <t>4.2. Urban Area</t>
  </si>
  <si>
    <t>5. Corpo D'água</t>
  </si>
  <si>
    <t>4.3. Mining</t>
  </si>
  <si>
    <t>4.4. Photovoltaic Power Plant (beta)</t>
  </si>
  <si>
    <t>4.5. Wind Farm</t>
  </si>
  <si>
    <t>4.6. Other non Vegetated Areas</t>
  </si>
  <si>
    <t>5.1. River, Lake and Ocean</t>
  </si>
  <si>
    <t>5.2. Aquaculture</t>
  </si>
  <si>
    <t>6. Not Observed</t>
  </si>
  <si>
    <t>% de cobertura por vegetação nativa</t>
  </si>
  <si>
    <t>Perda de vegetação nativa entre 1985 e 2025</t>
  </si>
  <si>
    <t>% perda de vegetação nativa entre 1985 e 2025</t>
  </si>
  <si>
    <t>Expansão da agricultura entre 1985 e 2025</t>
  </si>
  <si>
    <t>Vegetação nativa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</si>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</sst>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0.000"/>
    <numFmt numFmtId="170" formatCode="_(* #,##0.00_);_(* \(#,##0.00\);_(* &quot;-&quot;??_);_(@_)"/>
    <numFmt numFmtId="171" formatCode="_-* #,##0.00_-;\-* #,##0.00_-;_-* &quot;-&quot;??_-;_-@"/>
  </numFmts>
  <fonts count="2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22.0"/>
      <color theme="1"/>
      <name val="Calibri"/>
    </font>
    <font>
      <sz val="22.0"/>
      <color rgb="FFFF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9.0"/>
      <color theme="1"/>
      <name val="Calibri"/>
    </font>
    <font/>
    <font>
      <sz val="9.0"/>
      <color rgb="FF000000"/>
      <name val="Calibri"/>
    </font>
    <font>
      <sz val="12.0"/>
      <color theme="1"/>
      <name val="Arial"/>
    </font>
    <font>
      <sz val="18.0"/>
      <color theme="1"/>
      <name val="Calibri"/>
    </font>
    <font>
      <sz val="18.0"/>
      <color rgb="FF000000"/>
      <name val="Calibri"/>
    </font>
    <font>
      <b/>
      <sz val="18.0"/>
      <color theme="1"/>
      <name val="Calibri"/>
    </font>
    <font>
      <b/>
      <sz val="17.0"/>
      <color theme="1"/>
      <name val="Arial"/>
    </font>
    <font>
      <sz val="18.0"/>
      <color rgb="FF38761D"/>
      <name val="Calibri"/>
    </font>
    <font>
      <b/>
      <sz val="20.0"/>
      <color rgb="FFFF0000"/>
      <name val="Calibri"/>
    </font>
    <font>
      <sz val="12.0"/>
      <color rgb="FF006100"/>
      <name val="Calibri"/>
    </font>
    <font>
      <sz val="12.0"/>
      <color rgb="FF9C5700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C6EFCE"/>
        <bgColor rgb="FFC6EFCE"/>
      </patternFill>
    </fill>
    <fill>
      <patternFill patternType="solid">
        <fgColor rgb="FFDEEAF6"/>
        <bgColor rgb="FFDEEAF6"/>
      </patternFill>
    </fill>
    <fill>
      <patternFill patternType="solid">
        <fgColor rgb="FFFFEB9C"/>
        <bgColor rgb="FFFFEB9C"/>
      </patternFill>
    </fill>
  </fills>
  <borders count="20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/>
    </border>
    <border>
      <left/>
      <right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 style="thin">
        <color rgb="FF8EAADB"/>
      </top>
      <bottom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0" xfId="0" applyFont="1"/>
    <xf borderId="0" fillId="0" fontId="3" numFmtId="0" xfId="0" applyFont="1"/>
    <xf borderId="0" fillId="0" fontId="4" numFmtId="165" xfId="0" applyAlignment="1" applyFont="1" applyNumberFormat="1">
      <alignment horizontal="right" vertical="bottom"/>
    </xf>
    <xf borderId="0" fillId="0" fontId="5" numFmtId="0" xfId="0" applyFont="1"/>
    <xf borderId="0" fillId="0" fontId="1" numFmtId="166" xfId="0" applyFont="1" applyNumberFormat="1"/>
    <xf borderId="0" fillId="0" fontId="1" numFmtId="0" xfId="0" applyAlignment="1" applyFont="1">
      <alignment horizontal="right"/>
    </xf>
    <xf borderId="0" fillId="0" fontId="6" numFmtId="0" xfId="0" applyFont="1"/>
    <xf borderId="0" fillId="0" fontId="1" numFmtId="165" xfId="0" applyFont="1" applyNumberFormat="1"/>
    <xf borderId="0" fillId="0" fontId="1" numFmtId="0" xfId="0" applyAlignment="1" applyFont="1">
      <alignment horizontal="center" vertical="center"/>
    </xf>
    <xf borderId="2" fillId="3" fontId="7" numFmtId="165" xfId="0" applyAlignment="1" applyBorder="1" applyFill="1" applyFont="1" applyNumberFormat="1">
      <alignment horizontal="left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right" vertical="center"/>
    </xf>
    <xf borderId="2" fillId="3" fontId="7" numFmtId="165" xfId="0" applyBorder="1" applyFont="1" applyNumberFormat="1"/>
    <xf borderId="3" fillId="0" fontId="7" numFmtId="0" xfId="0" applyAlignment="1" applyBorder="1" applyFont="1">
      <alignment vertical="center"/>
    </xf>
    <xf borderId="1" fillId="2" fontId="9" numFmtId="0" xfId="0" applyBorder="1" applyFont="1"/>
    <xf borderId="2" fillId="3" fontId="7" numFmtId="167" xfId="0" applyBorder="1" applyFont="1" applyNumberFormat="1"/>
    <xf borderId="1" fillId="2" fontId="9" numFmtId="165" xfId="0" applyBorder="1" applyFont="1" applyNumberFormat="1"/>
    <xf borderId="0" fillId="0" fontId="1" numFmtId="0" xfId="0" applyAlignment="1" applyFont="1">
      <alignment horizontal="center" shrinkToFit="0" vertical="center" wrapText="1"/>
    </xf>
    <xf borderId="1" fillId="2" fontId="1" numFmtId="166" xfId="0" applyBorder="1" applyFont="1" applyNumberFormat="1"/>
    <xf borderId="2" fillId="3" fontId="7" numFmtId="164" xfId="0" applyBorder="1" applyFont="1" applyNumberFormat="1"/>
    <xf borderId="4" fillId="4" fontId="1" numFmtId="0" xfId="0" applyAlignment="1" applyBorder="1" applyFill="1" applyFont="1">
      <alignment shrinkToFit="0" vertical="center" wrapText="1"/>
    </xf>
    <xf borderId="0" fillId="0" fontId="7" numFmtId="165" xfId="0" applyAlignment="1" applyFont="1" applyNumberFormat="1">
      <alignment horizontal="left" vertical="center"/>
    </xf>
    <xf borderId="5" fillId="4" fontId="1" numFmtId="0" xfId="0" applyAlignment="1" applyBorder="1" applyFont="1">
      <alignment horizontal="center" shrinkToFit="0" vertical="center" wrapText="1"/>
    </xf>
    <xf borderId="0" fillId="0" fontId="7" numFmtId="165" xfId="0" applyAlignment="1" applyFont="1" applyNumberFormat="1">
      <alignment vertical="center"/>
    </xf>
    <xf borderId="0" fillId="0" fontId="8" numFmtId="165" xfId="0" applyAlignment="1" applyFont="1" applyNumberFormat="1">
      <alignment horizontal="right"/>
    </xf>
    <xf borderId="0" fillId="0" fontId="7" numFmtId="166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165" xfId="0" applyAlignment="1" applyFont="1" applyNumberFormat="1">
      <alignment horizontal="left"/>
    </xf>
    <xf borderId="6" fillId="0" fontId="9" numFmtId="0" xfId="0" applyAlignment="1" applyBorder="1" applyFont="1">
      <alignment horizontal="right" shrinkToFit="0" vertical="center" wrapText="1"/>
    </xf>
    <xf borderId="3" fillId="0" fontId="7" numFmtId="165" xfId="0" applyBorder="1" applyFont="1" applyNumberFormat="1"/>
    <xf borderId="0" fillId="0" fontId="1" numFmtId="0" xfId="0" applyAlignment="1" applyFont="1">
      <alignment shrinkToFit="0" vertical="center" wrapText="1"/>
    </xf>
    <xf borderId="0" fillId="0" fontId="7" numFmtId="167" xfId="0" applyFont="1" applyNumberFormat="1"/>
    <xf borderId="0" fillId="0" fontId="7" numFmtId="164" xfId="0" applyFont="1" applyNumberFormat="1"/>
    <xf borderId="7" fillId="4" fontId="1" numFmtId="0" xfId="0" applyAlignment="1" applyBorder="1" applyFont="1">
      <alignment vertical="center"/>
    </xf>
    <xf borderId="8" fillId="3" fontId="7" numFmtId="165" xfId="0" applyAlignment="1" applyBorder="1" applyFont="1" applyNumberFormat="1">
      <alignment horizontal="center" vertical="center"/>
    </xf>
    <xf borderId="1" fillId="5" fontId="1" numFmtId="0" xfId="0" applyBorder="1" applyFill="1" applyFont="1"/>
    <xf borderId="1" fillId="5" fontId="8" numFmtId="165" xfId="0" applyAlignment="1" applyBorder="1" applyFont="1" applyNumberFormat="1">
      <alignment horizontal="right"/>
    </xf>
    <xf borderId="1" fillId="5" fontId="1" numFmtId="166" xfId="0" applyBorder="1" applyFont="1" applyNumberFormat="1"/>
    <xf borderId="0" fillId="0" fontId="10" numFmtId="4" xfId="0" applyAlignment="1" applyFont="1" applyNumberFormat="1">
      <alignment horizontal="right" vertical="center"/>
    </xf>
    <xf borderId="1" fillId="5" fontId="1" numFmtId="164" xfId="0" applyBorder="1" applyFont="1" applyNumberFormat="1"/>
    <xf borderId="8" fillId="3" fontId="7" numFmtId="166" xfId="0" applyAlignment="1" applyBorder="1" applyFont="1" applyNumberFormat="1">
      <alignment horizontal="center" vertical="center"/>
    </xf>
    <xf borderId="8" fillId="3" fontId="7" numFmtId="164" xfId="0" applyAlignment="1" applyBorder="1" applyFont="1" applyNumberFormat="1">
      <alignment horizontal="center" vertical="center"/>
    </xf>
    <xf borderId="9" fillId="6" fontId="7" numFmtId="165" xfId="0" applyAlignment="1" applyBorder="1" applyFill="1" applyFont="1" applyNumberFormat="1">
      <alignment horizontal="left"/>
    </xf>
    <xf borderId="9" fillId="6" fontId="7" numFmtId="168" xfId="0" applyBorder="1" applyFont="1" applyNumberFormat="1"/>
    <xf borderId="0" fillId="0" fontId="1" numFmtId="165" xfId="0" applyAlignment="1" applyFont="1" applyNumberFormat="1">
      <alignment horizontal="center" vertical="center"/>
    </xf>
    <xf borderId="9" fillId="6" fontId="7" numFmtId="9" xfId="0" applyAlignment="1" applyBorder="1" applyFont="1" applyNumberFormat="1">
      <alignment horizontal="center"/>
    </xf>
    <xf borderId="10" fillId="0" fontId="11" numFmtId="0" xfId="0" applyBorder="1" applyFont="1"/>
    <xf borderId="0" fillId="0" fontId="12" numFmtId="4" xfId="0" applyAlignment="1" applyFont="1" applyNumberFormat="1">
      <alignment horizontal="right" vertical="center"/>
    </xf>
    <xf borderId="11" fillId="0" fontId="11" numFmtId="0" xfId="0" applyBorder="1" applyFont="1"/>
    <xf borderId="0" fillId="0" fontId="1" numFmtId="9" xfId="0" applyFont="1" applyNumberFormat="1"/>
    <xf borderId="8" fillId="3" fontId="7" numFmtId="165" xfId="0" applyAlignment="1" applyBorder="1" applyFont="1" applyNumberFormat="1">
      <alignment horizontal="left" vertical="center"/>
    </xf>
    <xf borderId="8" fillId="3" fontId="7" numFmtId="166" xfId="0" applyAlignment="1" applyBorder="1" applyFont="1" applyNumberFormat="1">
      <alignment horizontal="left" vertical="center"/>
    </xf>
    <xf borderId="9" fillId="6" fontId="7" numFmtId="166" xfId="0" applyBorder="1" applyFont="1" applyNumberFormat="1"/>
    <xf borderId="0" fillId="0" fontId="13" numFmtId="0" xfId="0" applyFont="1"/>
    <xf borderId="0" fillId="0" fontId="14" numFmtId="164" xfId="0" applyAlignment="1" applyFont="1" applyNumberFormat="1">
      <alignment horizontal="center"/>
    </xf>
    <xf borderId="12" fillId="0" fontId="9" numFmtId="0" xfId="0" applyAlignment="1" applyBorder="1" applyFont="1">
      <alignment vertical="center"/>
    </xf>
    <xf borderId="0" fillId="0" fontId="15" numFmtId="0" xfId="0" applyFont="1"/>
    <xf borderId="0" fillId="0" fontId="16" numFmtId="0" xfId="0" applyFont="1"/>
    <xf borderId="13" fillId="2" fontId="7" numFmtId="165" xfId="0" applyAlignment="1" applyBorder="1" applyFont="1" applyNumberFormat="1">
      <alignment horizontal="center" vertical="center"/>
    </xf>
    <xf borderId="14" fillId="0" fontId="11" numFmtId="0" xfId="0" applyBorder="1" applyFont="1"/>
    <xf borderId="15" fillId="6" fontId="7" numFmtId="165" xfId="0" applyAlignment="1" applyBorder="1" applyFont="1" applyNumberFormat="1">
      <alignment horizontal="left"/>
    </xf>
    <xf borderId="0" fillId="0" fontId="14" numFmtId="0" xfId="0" applyAlignment="1" applyFont="1">
      <alignment horizontal="center"/>
    </xf>
    <xf borderId="0" fillId="0" fontId="17" numFmtId="0" xfId="0" applyAlignment="1" applyFont="1">
      <alignment horizontal="center"/>
    </xf>
    <xf borderId="15" fillId="6" fontId="7" numFmtId="165" xfId="0" applyBorder="1" applyFont="1" applyNumberFormat="1"/>
    <xf borderId="15" fillId="6" fontId="7" numFmtId="166" xfId="0" applyBorder="1" applyFont="1" applyNumberFormat="1"/>
    <xf borderId="0" fillId="0" fontId="18" numFmtId="0" xfId="0" applyFont="1"/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16" fillId="0" fontId="1" numFmtId="9" xfId="0" applyAlignment="1" applyBorder="1" applyFont="1" applyNumberFormat="1">
      <alignment horizontal="center"/>
    </xf>
    <xf borderId="1" fillId="2" fontId="7" numFmtId="0" xfId="0" applyAlignment="1" applyBorder="1" applyFont="1">
      <alignment vertical="center"/>
    </xf>
    <xf borderId="1" fillId="2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3" fillId="0" fontId="7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166" xfId="0" applyFont="1" applyNumberFormat="1"/>
    <xf borderId="0" fillId="0" fontId="9" numFmtId="0" xfId="0" applyAlignment="1" applyFont="1">
      <alignment vertical="center"/>
    </xf>
    <xf borderId="13" fillId="2" fontId="7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1" numFmtId="164" xfId="0" applyAlignment="1" applyBorder="1" applyFont="1" applyNumberFormat="1">
      <alignment vertical="center"/>
    </xf>
    <xf borderId="16" fillId="0" fontId="1" numFmtId="0" xfId="0" applyBorder="1" applyFont="1"/>
    <xf borderId="0" fillId="0" fontId="1" numFmtId="0" xfId="0" applyAlignment="1" applyFont="1">
      <alignment horizontal="left" shrinkToFit="0" vertical="center" wrapText="1"/>
    </xf>
    <xf borderId="1" fillId="5" fontId="7" numFmtId="0" xfId="0" applyAlignment="1" applyBorder="1" applyFont="1">
      <alignment vertical="center"/>
    </xf>
    <xf borderId="2" fillId="2" fontId="7" numFmtId="0" xfId="0" applyAlignment="1" applyBorder="1" applyFont="1">
      <alignment vertical="center"/>
    </xf>
    <xf borderId="2" fillId="5" fontId="7" numFmtId="0" xfId="0" applyAlignment="1" applyBorder="1" applyFont="1">
      <alignment vertical="center"/>
    </xf>
    <xf borderId="0" fillId="0" fontId="1" numFmtId="165" xfId="0" applyAlignment="1" applyFont="1" applyNumberFormat="1">
      <alignment horizontal="center" shrinkToFit="0" vertical="center" wrapText="1"/>
    </xf>
    <xf borderId="1" fillId="5" fontId="1" numFmtId="0" xfId="0" applyAlignment="1" applyBorder="1" applyFont="1">
      <alignment vertical="center"/>
    </xf>
    <xf borderId="3" fillId="0" fontId="7" numFmtId="165" xfId="0" applyAlignment="1" applyBorder="1" applyFont="1" applyNumberFormat="1">
      <alignment horizontal="left"/>
    </xf>
    <xf borderId="3" fillId="0" fontId="7" numFmtId="167" xfId="0" applyBorder="1" applyFont="1" applyNumberFormat="1"/>
    <xf borderId="3" fillId="0" fontId="7" numFmtId="164" xfId="0" applyBorder="1" applyFont="1" applyNumberFormat="1"/>
    <xf borderId="0" fillId="0" fontId="7" numFmtId="0" xfId="0" applyAlignment="1" applyFont="1">
      <alignment horizontal="left"/>
    </xf>
    <xf borderId="16" fillId="0" fontId="1" numFmtId="164" xfId="0" applyBorder="1" applyFont="1" applyNumberFormat="1"/>
    <xf borderId="9" fillId="3" fontId="7" numFmtId="165" xfId="0" applyAlignment="1" applyBorder="1" applyFont="1" applyNumberFormat="1">
      <alignment horizontal="left" vertical="center"/>
    </xf>
    <xf borderId="9" fillId="3" fontId="7" numFmtId="165" xfId="0" applyAlignment="1" applyBorder="1" applyFont="1" applyNumberFormat="1">
      <alignment vertical="center"/>
    </xf>
    <xf borderId="13" fillId="2" fontId="7" numFmtId="0" xfId="0" applyAlignment="1" applyBorder="1" applyFont="1">
      <alignment vertical="center"/>
    </xf>
    <xf borderId="0" fillId="0" fontId="1" numFmtId="0" xfId="0" applyAlignment="1" applyFont="1">
      <alignment horizontal="left"/>
    </xf>
    <xf borderId="9" fillId="3" fontId="7" numFmtId="166" xfId="0" applyAlignment="1" applyBorder="1" applyFont="1" applyNumberFormat="1">
      <alignment vertical="center"/>
    </xf>
    <xf borderId="9" fillId="3" fontId="7" numFmtId="164" xfId="0" applyAlignment="1" applyBorder="1" applyFont="1" applyNumberFormat="1">
      <alignment horizontal="center" vertical="center"/>
    </xf>
    <xf borderId="0" fillId="0" fontId="7" numFmtId="165" xfId="0" applyFont="1" applyNumberFormat="1"/>
    <xf borderId="0" fillId="0" fontId="1" numFmtId="164" xfId="0" applyAlignment="1" applyFont="1" applyNumberFormat="1">
      <alignment horizontal="center" vertical="center"/>
    </xf>
    <xf borderId="0" fillId="0" fontId="2" numFmtId="0" xfId="0" applyFont="1"/>
    <xf borderId="13" fillId="2" fontId="7" numFmtId="10" xfId="0" applyBorder="1" applyFont="1" applyNumberFormat="1"/>
    <xf borderId="0" fillId="0" fontId="5" numFmtId="165" xfId="0" applyFont="1" applyNumberFormat="1"/>
    <xf borderId="13" fillId="2" fontId="7" numFmtId="165" xfId="0" applyBorder="1" applyFont="1" applyNumberFormat="1"/>
    <xf borderId="0" fillId="0" fontId="19" numFmtId="165" xfId="0" applyFont="1" applyNumberFormat="1"/>
    <xf borderId="13" fillId="2" fontId="7" numFmtId="169" xfId="0" applyBorder="1" applyFont="1" applyNumberFormat="1"/>
    <xf borderId="13" fillId="2" fontId="7" numFmtId="164" xfId="0" applyBorder="1" applyFont="1" applyNumberFormat="1"/>
    <xf borderId="1" fillId="7" fontId="20" numFmtId="0" xfId="0" applyBorder="1" applyFill="1" applyFont="1"/>
    <xf borderId="0" fillId="0" fontId="20" numFmtId="0" xfId="0" applyFont="1"/>
    <xf borderId="17" fillId="8" fontId="7" numFmtId="165" xfId="0" applyAlignment="1" applyBorder="1" applyFill="1" applyFont="1" applyNumberFormat="1">
      <alignment horizontal="left"/>
    </xf>
    <xf borderId="1" fillId="8" fontId="7" numFmtId="165" xfId="0" applyAlignment="1" applyBorder="1" applyFont="1" applyNumberFormat="1">
      <alignment horizontal="left"/>
    </xf>
    <xf borderId="18" fillId="0" fontId="7" numFmtId="165" xfId="0" applyBorder="1" applyFont="1" applyNumberFormat="1"/>
    <xf borderId="17" fillId="8" fontId="7" numFmtId="164" xfId="0" applyBorder="1" applyFont="1" applyNumberFormat="1"/>
    <xf borderId="0" fillId="0" fontId="13" numFmtId="164" xfId="0" applyFont="1" applyNumberFormat="1"/>
    <xf borderId="18" fillId="0" fontId="7" numFmtId="165" xfId="0" applyAlignment="1" applyBorder="1" applyFont="1" applyNumberFormat="1">
      <alignment horizontal="left"/>
    </xf>
    <xf borderId="0" fillId="0" fontId="7" numFmtId="0" xfId="0" applyFont="1"/>
    <xf borderId="0" fillId="0" fontId="13" numFmtId="165" xfId="0" applyFont="1" applyNumberFormat="1"/>
    <xf borderId="18" fillId="0" fontId="4" numFmtId="165" xfId="0" applyAlignment="1" applyBorder="1" applyFont="1" applyNumberFormat="1">
      <alignment horizontal="left"/>
    </xf>
    <xf borderId="0" fillId="0" fontId="4" numFmtId="165" xfId="0" applyAlignment="1" applyFont="1" applyNumberFormat="1">
      <alignment horizontal="left"/>
    </xf>
    <xf borderId="0" fillId="0" fontId="1" numFmtId="170" xfId="0" applyFont="1" applyNumberFormat="1"/>
    <xf borderId="0" fillId="0" fontId="21" numFmtId="0" xfId="0" applyFont="1"/>
    <xf borderId="0" fillId="0" fontId="8" numFmtId="165" xfId="0" applyAlignment="1" applyFont="1" applyNumberFormat="1">
      <alignment horizontal="left"/>
    </xf>
    <xf borderId="19" fillId="0" fontId="7" numFmtId="165" xfId="0" applyAlignment="1" applyBorder="1" applyFont="1" applyNumberFormat="1">
      <alignment horizontal="left"/>
    </xf>
    <xf borderId="19" fillId="0" fontId="7" numFmtId="165" xfId="0" applyBorder="1" applyFont="1" applyNumberFormat="1"/>
    <xf borderId="0" fillId="0" fontId="22" numFmtId="10" xfId="0" applyAlignment="1" applyFont="1" applyNumberFormat="1">
      <alignment horizontal="right"/>
    </xf>
    <xf borderId="0" fillId="0" fontId="22" numFmtId="0" xfId="0" applyAlignment="1" applyFont="1">
      <alignment horizontal="right"/>
    </xf>
    <xf borderId="0" fillId="0" fontId="22" numFmtId="165" xfId="0" applyAlignment="1" applyFont="1" applyNumberFormat="1">
      <alignment horizontal="right"/>
    </xf>
    <xf borderId="0" fillId="0" fontId="9" numFmtId="0" xfId="0" applyFont="1"/>
    <xf borderId="1" fillId="9" fontId="21" numFmtId="0" xfId="0" applyBorder="1" applyFill="1" applyFont="1"/>
    <xf borderId="1" fillId="9" fontId="21" numFmtId="171" xfId="0" applyBorder="1" applyFont="1" applyNumberFormat="1"/>
    <xf borderId="0" fillId="0" fontId="21" numFmtId="17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4824250"/>
        <c:axId val="705099014"/>
      </c:lineChart>
      <c:catAx>
        <c:axId val="4824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705099014"/>
      </c:catAx>
      <c:valAx>
        <c:axId val="70509901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82425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663678354"/>
        <c:axId val="547413842"/>
      </c:lineChart>
      <c:catAx>
        <c:axId val="663678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547413842"/>
      </c:catAx>
      <c:valAx>
        <c:axId val="547413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367835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HISTORICO'!$B$48:$AN$48</c:f>
              <c:numCache/>
            </c:numRef>
          </c:val>
          <c:smooth val="0"/>
        </c:ser>
        <c:axId val="1828998937"/>
        <c:axId val="440944674"/>
      </c:lineChart>
      <c:catAx>
        <c:axId val="1828998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440944674"/>
      </c:catAx>
      <c:valAx>
        <c:axId val="440944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899893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HISTORICO'!$B$49:$AN$49</c:f>
              <c:numCache/>
            </c:numRef>
          </c:val>
          <c:smooth val="0"/>
        </c:ser>
        <c:axId val="854355859"/>
        <c:axId val="1591977687"/>
      </c:lineChart>
      <c:catAx>
        <c:axId val="85435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591977687"/>
      </c:catAx>
      <c:valAx>
        <c:axId val="1591977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4355859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64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64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50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50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0</v>
      </c>
      <c r="C2" s="1" t="s">
        <v>1</v>
      </c>
      <c r="D2" s="1" t="s">
        <v>2</v>
      </c>
    </row>
    <row r="3" ht="15.75" customHeight="1">
      <c r="A3" s="6" t="s">
        <v>3</v>
      </c>
      <c r="B3" s="8">
        <v>4.207828033E8</v>
      </c>
      <c r="C3" s="10">
        <f t="shared" ref="C3:C9" si="1">B3/1000000</f>
        <v>420.7828033</v>
      </c>
      <c r="D3" s="3">
        <f t="shared" ref="D3:D8" si="2">C3/C$9</f>
        <v>0.4946632649</v>
      </c>
    </row>
    <row r="4" ht="15.75" customHeight="1">
      <c r="A4" s="6" t="s">
        <v>8</v>
      </c>
      <c r="B4" s="8">
        <v>8.626110405E7</v>
      </c>
      <c r="C4" s="10">
        <f t="shared" si="1"/>
        <v>86.26110405</v>
      </c>
      <c r="D4" s="3">
        <f t="shared" si="2"/>
        <v>0.1014067092</v>
      </c>
    </row>
    <row r="5" ht="15.75" customHeight="1">
      <c r="A5" s="6" t="s">
        <v>10</v>
      </c>
      <c r="B5" s="8">
        <v>2.004390674E8</v>
      </c>
      <c r="C5" s="10">
        <f t="shared" si="1"/>
        <v>200.4390674</v>
      </c>
      <c r="D5" s="3">
        <f t="shared" si="2"/>
        <v>0.2356318811</v>
      </c>
    </row>
    <row r="6" ht="15.75" customHeight="1">
      <c r="A6" s="6" t="s">
        <v>11</v>
      </c>
      <c r="B6" s="8">
        <v>1.086744891E8</v>
      </c>
      <c r="C6" s="10">
        <f t="shared" si="1"/>
        <v>108.6744891</v>
      </c>
      <c r="D6" s="3">
        <f t="shared" si="2"/>
        <v>0.1277554053</v>
      </c>
    </row>
    <row r="7" ht="15.75" customHeight="1">
      <c r="A7" s="6" t="s">
        <v>12</v>
      </c>
      <c r="B7" s="8">
        <v>1.939351615E7</v>
      </c>
      <c r="C7" s="10">
        <f t="shared" si="1"/>
        <v>19.39351615</v>
      </c>
      <c r="D7" s="3">
        <f t="shared" si="2"/>
        <v>0.02279860285</v>
      </c>
    </row>
    <row r="8" ht="15.75" customHeight="1">
      <c r="A8" s="6" t="s">
        <v>13</v>
      </c>
      <c r="B8" s="8">
        <v>1.509396001E7</v>
      </c>
      <c r="C8" s="10">
        <f t="shared" si="1"/>
        <v>15.09396001</v>
      </c>
      <c r="D8" s="3">
        <f t="shared" si="2"/>
        <v>0.0177441366</v>
      </c>
    </row>
    <row r="9" ht="15.75" customHeight="1">
      <c r="A9" s="20" t="s">
        <v>14</v>
      </c>
      <c r="B9" s="22">
        <f>SUM(B3:B8)</f>
        <v>850644940</v>
      </c>
      <c r="C9" s="24">
        <f t="shared" si="1"/>
        <v>850.64494</v>
      </c>
      <c r="D9" s="1"/>
    </row>
    <row r="10" ht="15.75" customHeight="1"/>
    <row r="11" ht="15.75" customHeight="1"/>
    <row r="12" ht="15.75" customHeight="1">
      <c r="A12" s="1"/>
      <c r="B12" s="1" t="s">
        <v>0</v>
      </c>
      <c r="C12" s="1" t="s">
        <v>1</v>
      </c>
      <c r="D12" s="1" t="s">
        <v>2</v>
      </c>
    </row>
    <row r="13" ht="15.75" customHeight="1">
      <c r="A13" s="6" t="s">
        <v>16</v>
      </c>
      <c r="B13" s="30">
        <v>5.05743963971196E8</v>
      </c>
      <c r="C13" s="10">
        <f t="shared" ref="C13:C19" si="3">B13/1000000</f>
        <v>505.743964</v>
      </c>
      <c r="D13" s="3">
        <f t="shared" ref="D13:D18" si="4">C13/C$9</f>
        <v>0.5945417885</v>
      </c>
    </row>
    <row r="14" ht="15.75" customHeight="1">
      <c r="A14" s="6" t="s">
        <v>23</v>
      </c>
      <c r="B14" s="30">
        <v>4.5916553319222786E7</v>
      </c>
      <c r="C14" s="10">
        <f t="shared" si="3"/>
        <v>45.91655332</v>
      </c>
      <c r="D14" s="3">
        <f t="shared" si="4"/>
        <v>0.05397851813</v>
      </c>
    </row>
    <row r="15" ht="15.75" customHeight="1">
      <c r="A15" s="6" t="s">
        <v>19</v>
      </c>
      <c r="B15" s="30">
        <v>2.733145849763439E8</v>
      </c>
      <c r="C15" s="10">
        <f t="shared" si="3"/>
        <v>273.314585</v>
      </c>
      <c r="D15" s="3">
        <f t="shared" si="4"/>
        <v>0.3213027811</v>
      </c>
    </row>
    <row r="16" ht="15.75" customHeight="1">
      <c r="A16" s="6" t="s">
        <v>25</v>
      </c>
      <c r="B16" s="30">
        <v>6374980.097670273</v>
      </c>
      <c r="C16" s="10">
        <f t="shared" si="3"/>
        <v>6.374980098</v>
      </c>
      <c r="D16" s="3">
        <f t="shared" si="4"/>
        <v>0.007494290271</v>
      </c>
    </row>
    <row r="17" ht="15.75" customHeight="1">
      <c r="A17" s="6" t="s">
        <v>26</v>
      </c>
      <c r="B17" s="30">
        <v>1.929361521263376E7</v>
      </c>
      <c r="C17" s="10">
        <f t="shared" si="3"/>
        <v>19.29361521</v>
      </c>
      <c r="D17" s="3">
        <f t="shared" si="4"/>
        <v>0.02268116144</v>
      </c>
    </row>
    <row r="18" ht="15.75" customHeight="1">
      <c r="A18" s="41" t="s">
        <v>27</v>
      </c>
      <c r="B18" s="42">
        <v>1242.4168973205565</v>
      </c>
      <c r="C18" s="43">
        <f t="shared" si="3"/>
        <v>0.001242416897</v>
      </c>
      <c r="D18" s="45">
        <f t="shared" si="4"/>
        <v>0.000001460558735</v>
      </c>
    </row>
    <row r="19" ht="15.75" customHeight="1">
      <c r="A19" s="20" t="s">
        <v>14</v>
      </c>
      <c r="B19" s="22">
        <f>SUM(B13:B18)</f>
        <v>850644940</v>
      </c>
      <c r="C19" s="24">
        <f t="shared" si="3"/>
        <v>850.64494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E1" s="2"/>
      <c r="J1" s="3"/>
      <c r="N1" s="5"/>
    </row>
    <row r="2">
      <c r="A2" s="7" t="s">
        <v>4</v>
      </c>
      <c r="E2" s="2"/>
      <c r="J2" s="3"/>
      <c r="N2" s="5"/>
    </row>
    <row r="3" ht="15.75" customHeight="1">
      <c r="E3" s="2"/>
      <c r="G3" s="6"/>
      <c r="H3" s="6"/>
      <c r="I3" s="6"/>
      <c r="J3" s="3"/>
      <c r="K3" s="6"/>
      <c r="L3" s="6"/>
      <c r="M3" s="6"/>
      <c r="N3" s="5"/>
    </row>
    <row r="4" ht="15.75" customHeight="1">
      <c r="C4" s="11" t="s">
        <v>6</v>
      </c>
      <c r="D4" s="11" t="s">
        <v>7</v>
      </c>
      <c r="E4" s="2"/>
      <c r="G4" s="6"/>
      <c r="H4" s="6"/>
      <c r="I4" s="6"/>
      <c r="J4" s="3"/>
      <c r="K4" s="6"/>
      <c r="L4" s="6"/>
      <c r="M4" s="6"/>
      <c r="N4" s="5"/>
    </row>
    <row r="5" ht="15.75" customHeight="1">
      <c r="B5" s="15" t="s">
        <v>9</v>
      </c>
      <c r="C5" s="18">
        <v>8.619777853351429E7</v>
      </c>
      <c r="D5" s="21">
        <f t="shared" ref="D5:D36" si="1">C5/1000000</f>
        <v>86.19777853</v>
      </c>
      <c r="E5" s="25">
        <f t="shared" ref="E5:E35" si="2">C5/$C$36</f>
        <v>0.4300447995</v>
      </c>
      <c r="G5" s="27"/>
      <c r="H5" s="29"/>
      <c r="I5" s="31"/>
      <c r="J5" s="32"/>
      <c r="K5" s="6"/>
      <c r="L5" s="6"/>
      <c r="M5" s="6"/>
      <c r="N5" s="5"/>
    </row>
    <row r="6" ht="15.75" customHeight="1">
      <c r="B6" s="33" t="s">
        <v>21</v>
      </c>
      <c r="C6" s="35">
        <v>3.8032756779316425E7</v>
      </c>
      <c r="D6" s="37">
        <f t="shared" si="1"/>
        <v>38.03275678</v>
      </c>
      <c r="E6" s="38">
        <f t="shared" si="2"/>
        <v>0.1897472248</v>
      </c>
      <c r="G6" s="40" t="s">
        <v>24</v>
      </c>
      <c r="H6" s="40">
        <f>C5</f>
        <v>86197778.53</v>
      </c>
      <c r="I6" s="46">
        <f>H6/1000000</f>
        <v>86.19777853</v>
      </c>
      <c r="J6" s="47">
        <f>E5</f>
        <v>0.4300447995</v>
      </c>
      <c r="K6" s="48" t="str">
        <f t="shared" ref="K6:L6" si="3">B6</f>
        <v>1.1. Forest Formation</v>
      </c>
      <c r="L6" s="48">
        <f t="shared" si="3"/>
        <v>38032756.78</v>
      </c>
      <c r="M6" s="49">
        <f t="shared" ref="M6:M8" si="5">L6/1000000</f>
        <v>38.03275678</v>
      </c>
      <c r="N6" s="51">
        <f t="shared" ref="N6:N8" si="6">M6/I$6</f>
        <v>0.4412266467</v>
      </c>
    </row>
    <row r="7" ht="15.75" customHeight="1">
      <c r="B7" s="33" t="s">
        <v>28</v>
      </c>
      <c r="C7" s="35">
        <v>4.809562153123801E7</v>
      </c>
      <c r="D7" s="37">
        <f t="shared" si="1"/>
        <v>48.09562153</v>
      </c>
      <c r="E7" s="38">
        <f t="shared" si="2"/>
        <v>0.2399513336</v>
      </c>
      <c r="G7" s="52"/>
      <c r="H7" s="52"/>
      <c r="I7" s="52"/>
      <c r="J7" s="52"/>
      <c r="K7" s="48" t="str">
        <f t="shared" ref="K7:L7" si="4">B7</f>
        <v>1.2. Savanna Formation</v>
      </c>
      <c r="L7" s="48">
        <f t="shared" si="4"/>
        <v>48095621.53</v>
      </c>
      <c r="M7" s="49">
        <f t="shared" si="5"/>
        <v>48.09562153</v>
      </c>
      <c r="N7" s="51">
        <f t="shared" si="6"/>
        <v>0.5579682255</v>
      </c>
    </row>
    <row r="8" ht="15.75" customHeight="1">
      <c r="B8" s="33" t="s">
        <v>30</v>
      </c>
      <c r="C8" s="35">
        <v>1.1805290405273436</v>
      </c>
      <c r="D8" s="37">
        <f t="shared" si="1"/>
        <v>0.000001180529041</v>
      </c>
      <c r="E8" s="38">
        <f t="shared" si="2"/>
        <v>0.000000005889715294</v>
      </c>
      <c r="G8" s="54"/>
      <c r="H8" s="54"/>
      <c r="I8" s="54"/>
      <c r="J8" s="54"/>
      <c r="K8" s="48" t="s">
        <v>31</v>
      </c>
      <c r="L8" s="48">
        <f>C8+C9+C10</f>
        <v>69400.22296</v>
      </c>
      <c r="M8" s="49">
        <f t="shared" si="5"/>
        <v>0.06940022296</v>
      </c>
      <c r="N8" s="51">
        <f t="shared" si="6"/>
        <v>0.0008051277439</v>
      </c>
      <c r="O8" s="55"/>
    </row>
    <row r="9" ht="15.75" customHeight="1">
      <c r="B9" s="33" t="s">
        <v>32</v>
      </c>
      <c r="C9" s="35">
        <v>69099.86507564224</v>
      </c>
      <c r="D9" s="37">
        <f t="shared" si="1"/>
        <v>0.06909986508</v>
      </c>
      <c r="E9" s="38">
        <f t="shared" si="2"/>
        <v>0.0003447424995</v>
      </c>
      <c r="G9" s="27"/>
      <c r="H9" s="29"/>
      <c r="I9" s="31"/>
      <c r="J9" s="32"/>
      <c r="K9" s="6"/>
      <c r="L9" s="6"/>
      <c r="M9" s="6"/>
      <c r="N9" s="5"/>
      <c r="O9" s="55"/>
    </row>
    <row r="10" ht="15.75" customHeight="1">
      <c r="B10" s="33" t="s">
        <v>33</v>
      </c>
      <c r="C10" s="35">
        <v>299.17735515747074</v>
      </c>
      <c r="D10" s="37">
        <f t="shared" si="1"/>
        <v>0.0002991773552</v>
      </c>
      <c r="E10" s="38">
        <f t="shared" si="2"/>
        <v>0.000001492609994</v>
      </c>
      <c r="G10" s="56" t="s">
        <v>34</v>
      </c>
      <c r="H10" s="56">
        <f>C12</f>
        <v>13245478.42</v>
      </c>
      <c r="I10" s="57">
        <f>H10/1000000</f>
        <v>13.24547842</v>
      </c>
      <c r="J10" s="47">
        <f>E12</f>
        <v>0.06608231916</v>
      </c>
      <c r="K10" s="48" t="str">
        <f t="shared" ref="K10:L10" si="7">B13</f>
        <v>2.1. Wetland</v>
      </c>
      <c r="L10" s="48">
        <f t="shared" si="7"/>
        <v>6435936.851</v>
      </c>
      <c r="M10" s="58">
        <f t="shared" ref="M10:M13" si="9">L10/1000000</f>
        <v>6.435936851</v>
      </c>
      <c r="N10" s="51">
        <f t="shared" ref="N10:N13" si="10">M10/I$10</f>
        <v>0.485896896</v>
      </c>
    </row>
    <row r="11" ht="15.75" customHeight="1">
      <c r="B11" s="33" t="s">
        <v>36</v>
      </c>
      <c r="C11" s="33">
        <v>0.0</v>
      </c>
      <c r="D11" s="37">
        <f t="shared" si="1"/>
        <v>0</v>
      </c>
      <c r="E11" s="38">
        <f t="shared" si="2"/>
        <v>0</v>
      </c>
      <c r="G11" s="52"/>
      <c r="H11" s="52"/>
      <c r="I11" s="52"/>
      <c r="J11" s="52"/>
      <c r="K11" s="48" t="str">
        <f t="shared" ref="K11:L11" si="8">B15</f>
        <v>2.3. Grassland Formation</v>
      </c>
      <c r="L11" s="48">
        <f t="shared" si="8"/>
        <v>5511238.197</v>
      </c>
      <c r="M11" s="58">
        <f t="shared" si="9"/>
        <v>5.511238197</v>
      </c>
      <c r="N11" s="51">
        <f t="shared" si="10"/>
        <v>0.4160844948</v>
      </c>
    </row>
    <row r="12" ht="15.75" customHeight="1">
      <c r="B12" s="15" t="s">
        <v>37</v>
      </c>
      <c r="C12" s="18">
        <v>1.3245478422489168E7</v>
      </c>
      <c r="D12" s="21">
        <f t="shared" si="1"/>
        <v>13.24547842</v>
      </c>
      <c r="E12" s="25">
        <f t="shared" si="2"/>
        <v>0.06608231916</v>
      </c>
      <c r="G12" s="52"/>
      <c r="H12" s="52"/>
      <c r="I12" s="52"/>
      <c r="J12" s="52"/>
      <c r="K12" s="48" t="str">
        <f t="shared" ref="K12:L12" si="11">B18</f>
        <v>2.6. Rocky Outcrop</v>
      </c>
      <c r="L12" s="48">
        <f t="shared" si="11"/>
        <v>1059521.771</v>
      </c>
      <c r="M12" s="58">
        <f t="shared" si="9"/>
        <v>1.059521771</v>
      </c>
      <c r="N12" s="51">
        <f t="shared" si="10"/>
        <v>0.0799912043</v>
      </c>
    </row>
    <row r="13" ht="15.75" customHeight="1">
      <c r="B13" s="33" t="s">
        <v>40</v>
      </c>
      <c r="C13" s="35">
        <v>6435936.851322258</v>
      </c>
      <c r="D13" s="37">
        <f t="shared" si="1"/>
        <v>6.435936851</v>
      </c>
      <c r="E13" s="38">
        <f t="shared" si="2"/>
        <v>0.03210919376</v>
      </c>
      <c r="G13" s="65"/>
      <c r="H13" s="65"/>
      <c r="I13" s="65"/>
      <c r="J13" s="65"/>
      <c r="K13" s="66" t="s">
        <v>41</v>
      </c>
      <c r="L13" s="69">
        <f>SUM(C14,C16,C17,C19,)</f>
        <v>238781.6033</v>
      </c>
      <c r="M13" s="70">
        <f t="shared" si="9"/>
        <v>0.2387816033</v>
      </c>
      <c r="N13" s="51">
        <f t="shared" si="10"/>
        <v>0.01802740495</v>
      </c>
    </row>
    <row r="14" ht="15.75" customHeight="1">
      <c r="B14" s="33" t="s">
        <v>44</v>
      </c>
      <c r="C14" s="35">
        <v>0.0</v>
      </c>
      <c r="D14" s="37">
        <f t="shared" si="1"/>
        <v>0</v>
      </c>
      <c r="E14" s="38">
        <f t="shared" si="2"/>
        <v>0</v>
      </c>
      <c r="G14" s="72"/>
      <c r="H14" s="16"/>
      <c r="I14" s="16"/>
      <c r="J14" s="74"/>
      <c r="K14" s="6"/>
      <c r="L14" s="6"/>
      <c r="M14" s="6"/>
      <c r="N14" s="75"/>
    </row>
    <row r="15" ht="15.75" customHeight="1">
      <c r="B15" s="33" t="s">
        <v>45</v>
      </c>
      <c r="C15" s="35">
        <v>5511238.197241992</v>
      </c>
      <c r="D15" s="37">
        <f t="shared" si="1"/>
        <v>5.511238197</v>
      </c>
      <c r="E15" s="38">
        <f t="shared" si="2"/>
        <v>0.02749582838</v>
      </c>
      <c r="G15" s="56" t="s">
        <v>46</v>
      </c>
      <c r="H15" s="40">
        <f>C20</f>
        <v>97938444.32</v>
      </c>
      <c r="I15" s="46">
        <f>H15/1000000</f>
        <v>97.93844432</v>
      </c>
      <c r="J15" s="47">
        <f>E20</f>
        <v>0.4886195371</v>
      </c>
      <c r="K15" s="48" t="str">
        <f t="shared" ref="K15:L15" si="12">B21</f>
        <v>3.1. Pasture</v>
      </c>
      <c r="L15" s="48">
        <f t="shared" si="12"/>
        <v>53911161.19</v>
      </c>
      <c r="M15" s="58">
        <f t="shared" ref="M15:M18" si="14">L15/1000000</f>
        <v>53.91116119</v>
      </c>
      <c r="N15" s="51">
        <f t="shared" ref="N15:N18" si="15">M15/I$15</f>
        <v>0.550459644</v>
      </c>
      <c r="O15" s="81"/>
    </row>
    <row r="16" ht="15.75" customHeight="1">
      <c r="B16" s="33" t="s">
        <v>52</v>
      </c>
      <c r="C16" s="35">
        <v>0.0</v>
      </c>
      <c r="D16" s="37">
        <f t="shared" si="1"/>
        <v>0</v>
      </c>
      <c r="E16" s="38">
        <f t="shared" si="2"/>
        <v>0</v>
      </c>
      <c r="G16" s="52"/>
      <c r="H16" s="52"/>
      <c r="I16" s="52"/>
      <c r="J16" s="52"/>
      <c r="K16" s="48" t="str">
        <f t="shared" ref="K16:L16" si="13">B22</f>
        <v>3.2. Agriculture</v>
      </c>
      <c r="L16" s="48">
        <f t="shared" si="13"/>
        <v>29690347.79</v>
      </c>
      <c r="M16" s="58">
        <f t="shared" si="14"/>
        <v>29.69034779</v>
      </c>
      <c r="N16" s="51">
        <f t="shared" si="15"/>
        <v>0.3031531489</v>
      </c>
      <c r="O16" s="81"/>
    </row>
    <row r="17" ht="15.75" customHeight="1">
      <c r="B17" s="33" t="s">
        <v>53</v>
      </c>
      <c r="C17" s="35">
        <v>5380.056588977033</v>
      </c>
      <c r="D17" s="37">
        <f t="shared" si="1"/>
        <v>0.005380056589</v>
      </c>
      <c r="E17" s="38">
        <f t="shared" si="2"/>
        <v>0.00002684135712</v>
      </c>
      <c r="G17" s="52"/>
      <c r="H17" s="52"/>
      <c r="I17" s="52"/>
      <c r="J17" s="52"/>
      <c r="K17" s="48" t="str">
        <f t="shared" ref="K17:L17" si="16">B23</f>
        <v>3.3. Forest Plantation</v>
      </c>
      <c r="L17" s="48">
        <f t="shared" si="16"/>
        <v>3875293.503</v>
      </c>
      <c r="M17" s="58">
        <f t="shared" si="14"/>
        <v>3.875293503</v>
      </c>
      <c r="N17" s="51">
        <f t="shared" si="15"/>
        <v>0.03956866509</v>
      </c>
    </row>
    <row r="18" ht="15.75" customHeight="1">
      <c r="B18" s="33" t="s">
        <v>54</v>
      </c>
      <c r="C18" s="35">
        <v>1059521.770600797</v>
      </c>
      <c r="D18" s="37">
        <f t="shared" si="1"/>
        <v>1.059521771</v>
      </c>
      <c r="E18" s="38">
        <f t="shared" si="2"/>
        <v>0.005286004293</v>
      </c>
      <c r="G18" s="54"/>
      <c r="H18" s="54"/>
      <c r="I18" s="54"/>
      <c r="J18" s="54"/>
      <c r="K18" s="48" t="str">
        <f t="shared" ref="K18:L18" si="17">B24</f>
        <v>3.4. Mosaic of Uses</v>
      </c>
      <c r="L18" s="48">
        <f t="shared" si="17"/>
        <v>10461641.83</v>
      </c>
      <c r="M18" s="58">
        <f t="shared" si="14"/>
        <v>10.46164183</v>
      </c>
      <c r="N18" s="51">
        <f t="shared" si="15"/>
        <v>0.1068185421</v>
      </c>
      <c r="O18" s="81"/>
    </row>
    <row r="19" ht="15.75" customHeight="1">
      <c r="B19" s="33" t="s">
        <v>56</v>
      </c>
      <c r="C19" s="35">
        <v>233401.5467351431</v>
      </c>
      <c r="D19" s="37">
        <f t="shared" si="1"/>
        <v>0.2334015467</v>
      </c>
      <c r="E19" s="38">
        <f t="shared" si="2"/>
        <v>0.001164451371</v>
      </c>
      <c r="G19" s="84"/>
      <c r="H19" s="84"/>
      <c r="I19" s="84"/>
      <c r="J19" s="85"/>
      <c r="K19" s="86"/>
      <c r="L19" s="86"/>
      <c r="M19" s="86"/>
      <c r="N19" s="75"/>
      <c r="O19" s="81"/>
    </row>
    <row r="20" ht="15.75" customHeight="1">
      <c r="B20" s="15" t="s">
        <v>48</v>
      </c>
      <c r="C20" s="18">
        <v>9.79384443215065E7</v>
      </c>
      <c r="D20" s="21">
        <f t="shared" si="1"/>
        <v>97.93844432</v>
      </c>
      <c r="E20" s="25">
        <f t="shared" si="2"/>
        <v>0.4886195371</v>
      </c>
      <c r="G20" s="40" t="s">
        <v>58</v>
      </c>
      <c r="H20" s="40">
        <f>C25</f>
        <v>1337264.849</v>
      </c>
      <c r="I20" s="46">
        <f>H20/1000000</f>
        <v>1.337264849</v>
      </c>
      <c r="J20" s="47">
        <f>E25</f>
        <v>0.006671677665</v>
      </c>
      <c r="K20" s="48" t="str">
        <f t="shared" ref="K20:L20" si="18">B26</f>
        <v>4.1. Beach, Dune and Sand Spot</v>
      </c>
      <c r="L20" s="48">
        <f t="shared" si="18"/>
        <v>110783.6404</v>
      </c>
      <c r="M20" s="58">
        <f t="shared" ref="M20:M25" si="20">L20/1000000</f>
        <v>0.1107836404</v>
      </c>
      <c r="N20" s="51">
        <f t="shared" ref="N20:N25" si="21">M20/$I$20</f>
        <v>0.08284345504</v>
      </c>
      <c r="O20" s="81"/>
    </row>
    <row r="21" ht="15.75" customHeight="1">
      <c r="B21" s="33" t="s">
        <v>85</v>
      </c>
      <c r="C21" s="35">
        <v>5.391116119498022E7</v>
      </c>
      <c r="D21" s="37">
        <f t="shared" si="1"/>
        <v>53.91116119</v>
      </c>
      <c r="E21" s="38">
        <f t="shared" si="2"/>
        <v>0.2689653365</v>
      </c>
      <c r="G21" s="52"/>
      <c r="H21" s="52"/>
      <c r="I21" s="52"/>
      <c r="J21" s="52"/>
      <c r="K21" s="48" t="str">
        <f t="shared" ref="K21:L21" si="19">B27</f>
        <v>4.2. Urban Area</v>
      </c>
      <c r="L21" s="48">
        <f t="shared" si="19"/>
        <v>982902.4397</v>
      </c>
      <c r="M21" s="58">
        <f t="shared" si="20"/>
        <v>0.9829024397</v>
      </c>
      <c r="N21" s="51">
        <f t="shared" si="21"/>
        <v>0.7350095536</v>
      </c>
      <c r="O21" s="81"/>
    </row>
    <row r="22" ht="15.75" customHeight="1">
      <c r="B22" s="93" t="s">
        <v>90</v>
      </c>
      <c r="C22" s="35">
        <v>2.9690347790147822E7</v>
      </c>
      <c r="D22" s="94">
        <f t="shared" si="1"/>
        <v>29.69034779</v>
      </c>
      <c r="E22" s="95">
        <f t="shared" si="2"/>
        <v>0.1481265513</v>
      </c>
      <c r="G22" s="52"/>
      <c r="H22" s="52"/>
      <c r="I22" s="52"/>
      <c r="J22" s="52"/>
      <c r="K22" s="48" t="str">
        <f t="shared" ref="K22:L22" si="22">B28</f>
        <v>4.3. Mining</v>
      </c>
      <c r="L22" s="48">
        <f t="shared" si="22"/>
        <v>61743.16899</v>
      </c>
      <c r="M22" s="58">
        <f t="shared" si="20"/>
        <v>0.06174316899</v>
      </c>
      <c r="N22" s="51">
        <f t="shared" si="21"/>
        <v>0.04617123454</v>
      </c>
    </row>
    <row r="23" ht="15.75" customHeight="1">
      <c r="B23" s="33" t="s">
        <v>91</v>
      </c>
      <c r="C23" s="35">
        <v>3875293.5031528585</v>
      </c>
      <c r="D23" s="37">
        <f t="shared" si="1"/>
        <v>3.875293503</v>
      </c>
      <c r="E23" s="38">
        <f t="shared" si="2"/>
        <v>0.01933402282</v>
      </c>
      <c r="G23" s="52"/>
      <c r="H23" s="52"/>
      <c r="I23" s="52"/>
      <c r="J23" s="52"/>
      <c r="K23" s="48" t="str">
        <f t="shared" ref="K23:L23" si="23">B29</f>
        <v>4.4. Photovoltaic Power Plant (beta)</v>
      </c>
      <c r="L23" s="48">
        <f t="shared" si="23"/>
        <v>13889.69273</v>
      </c>
      <c r="M23" s="58">
        <f t="shared" si="20"/>
        <v>0.01388969273</v>
      </c>
      <c r="N23" s="51">
        <f t="shared" si="21"/>
        <v>0.01038664311</v>
      </c>
    </row>
    <row r="24" ht="15.75" customHeight="1">
      <c r="B24" s="33" t="s">
        <v>92</v>
      </c>
      <c r="C24" s="35">
        <v>1.0461641833225587E7</v>
      </c>
      <c r="D24" s="37">
        <f t="shared" si="1"/>
        <v>10.46164183</v>
      </c>
      <c r="E24" s="38">
        <f t="shared" si="2"/>
        <v>0.05219362657</v>
      </c>
      <c r="G24" s="52"/>
      <c r="H24" s="52"/>
      <c r="I24" s="52"/>
      <c r="J24" s="52"/>
      <c r="K24" s="48" t="str">
        <f t="shared" ref="K24:L24" si="24">B30</f>
        <v>4.5. Wind Farm</v>
      </c>
      <c r="L24" s="48">
        <f t="shared" si="24"/>
        <v>2180.214783</v>
      </c>
      <c r="M24" s="58">
        <f t="shared" si="20"/>
        <v>0.002180214783</v>
      </c>
      <c r="N24" s="51">
        <f t="shared" si="21"/>
        <v>0.001630353766</v>
      </c>
      <c r="O24" s="81"/>
    </row>
    <row r="25" ht="15.75" customHeight="1">
      <c r="B25" s="15" t="s">
        <v>60</v>
      </c>
      <c r="C25" s="18">
        <v>1337264.8489849954</v>
      </c>
      <c r="D25" s="21">
        <f t="shared" si="1"/>
        <v>1.337264849</v>
      </c>
      <c r="E25" s="25">
        <f t="shared" si="2"/>
        <v>0.006671677665</v>
      </c>
      <c r="G25" s="65"/>
      <c r="H25" s="65"/>
      <c r="I25" s="65"/>
      <c r="J25" s="65"/>
      <c r="K25" s="48" t="str">
        <f t="shared" ref="K25:L25" si="25">B31</f>
        <v>4.6. Other non Vegetated Areas</v>
      </c>
      <c r="L25" s="48">
        <f t="shared" si="25"/>
        <v>165765.6924</v>
      </c>
      <c r="M25" s="58">
        <f t="shared" si="20"/>
        <v>0.1657656924</v>
      </c>
      <c r="N25" s="51">
        <f t="shared" si="21"/>
        <v>0.1239587599</v>
      </c>
      <c r="O25" s="81"/>
    </row>
    <row r="26" ht="15.75" customHeight="1">
      <c r="B26" s="96" t="s">
        <v>93</v>
      </c>
      <c r="C26" s="35">
        <v>110783.64039083474</v>
      </c>
      <c r="D26" s="37">
        <f t="shared" si="1"/>
        <v>0.1107836404</v>
      </c>
      <c r="E26" s="38">
        <f t="shared" si="2"/>
        <v>0.0005527048287</v>
      </c>
      <c r="G26" s="86"/>
      <c r="H26" s="86"/>
      <c r="I26" s="86"/>
      <c r="J26" s="97"/>
      <c r="K26" s="86"/>
      <c r="L26" s="86"/>
      <c r="M26" s="86"/>
      <c r="N26" s="75"/>
      <c r="O26" s="81"/>
    </row>
    <row r="27" ht="15.75" customHeight="1">
      <c r="B27" s="33" t="s">
        <v>94</v>
      </c>
      <c r="C27" s="35">
        <v>982902.4397324377</v>
      </c>
      <c r="D27" s="37">
        <f t="shared" si="1"/>
        <v>0.9829024397</v>
      </c>
      <c r="E27" s="38">
        <f t="shared" si="2"/>
        <v>0.004903746822</v>
      </c>
      <c r="G27" s="98" t="s">
        <v>95</v>
      </c>
      <c r="H27" s="99">
        <f>C32</f>
        <v>1719607.418</v>
      </c>
      <c r="I27" s="102">
        <f>H27/1000000</f>
        <v>1.719607418</v>
      </c>
      <c r="J27" s="103">
        <f>E32</f>
        <v>0.008579202851</v>
      </c>
      <c r="K27" s="33"/>
      <c r="L27" s="104"/>
      <c r="M27" s="81"/>
      <c r="N27" s="5"/>
      <c r="O27" s="81"/>
    </row>
    <row r="28" ht="15.75" customHeight="1">
      <c r="B28" s="93" t="s">
        <v>96</v>
      </c>
      <c r="C28" s="35">
        <v>61743.16899012231</v>
      </c>
      <c r="D28" s="94">
        <f t="shared" si="1"/>
        <v>0.06174316899</v>
      </c>
      <c r="E28" s="95">
        <f t="shared" si="2"/>
        <v>0.0003080395943</v>
      </c>
      <c r="G28" s="84"/>
      <c r="H28" s="84"/>
      <c r="I28" s="84"/>
      <c r="J28" s="85"/>
      <c r="K28" s="33"/>
      <c r="L28" s="104"/>
      <c r="M28" s="81"/>
      <c r="N28" s="5"/>
      <c r="O28" s="81"/>
    </row>
    <row r="29" ht="15.75" customHeight="1">
      <c r="B29" s="33" t="s">
        <v>97</v>
      </c>
      <c r="C29" s="35">
        <v>13889.692728344795</v>
      </c>
      <c r="D29" s="37">
        <f t="shared" si="1"/>
        <v>0.01388969273</v>
      </c>
      <c r="E29" s="38">
        <f t="shared" si="2"/>
        <v>0.00006929633484</v>
      </c>
      <c r="G29" s="16"/>
      <c r="H29" s="16"/>
      <c r="I29" s="16"/>
      <c r="J29" s="74"/>
      <c r="K29" s="6"/>
      <c r="L29" s="6"/>
      <c r="M29" s="6"/>
      <c r="N29" s="5"/>
    </row>
    <row r="30" ht="15.75" customHeight="1">
      <c r="B30" s="33" t="s">
        <v>98</v>
      </c>
      <c r="C30" s="35">
        <v>2180.21478304443</v>
      </c>
      <c r="D30" s="37">
        <f t="shared" si="1"/>
        <v>0.002180214783</v>
      </c>
      <c r="E30" s="38">
        <f t="shared" si="2"/>
        <v>0.00001087719481</v>
      </c>
      <c r="G30" s="33"/>
      <c r="H30" s="104"/>
      <c r="I30" s="81"/>
      <c r="J30" s="38"/>
      <c r="K30" s="6"/>
      <c r="L30" s="6"/>
      <c r="M30" s="6"/>
      <c r="N30" s="5"/>
      <c r="O30" s="81"/>
    </row>
    <row r="31" ht="15.75" customHeight="1">
      <c r="B31" s="93" t="s">
        <v>99</v>
      </c>
      <c r="C31" s="35">
        <v>165765.69236021125</v>
      </c>
      <c r="D31" s="94">
        <f t="shared" si="1"/>
        <v>0.1657656924</v>
      </c>
      <c r="E31" s="95">
        <f t="shared" si="2"/>
        <v>0.0008270128899</v>
      </c>
      <c r="G31" s="38"/>
      <c r="H31" s="6"/>
      <c r="I31" s="6"/>
      <c r="J31" s="6"/>
      <c r="K31" s="5"/>
      <c r="L31" s="81"/>
      <c r="O31" s="81"/>
    </row>
    <row r="32" ht="15.75" customHeight="1">
      <c r="B32" s="15" t="s">
        <v>50</v>
      </c>
      <c r="C32" s="18">
        <v>1719607.4182982007</v>
      </c>
      <c r="D32" s="21">
        <f t="shared" si="1"/>
        <v>1.719607418</v>
      </c>
      <c r="E32" s="25">
        <f t="shared" si="2"/>
        <v>0.008579202851</v>
      </c>
      <c r="G32" s="105"/>
      <c r="H32" s="6"/>
      <c r="I32" s="6"/>
      <c r="J32" s="6"/>
      <c r="K32" s="5"/>
    </row>
    <row r="33" ht="15.75" customHeight="1">
      <c r="B33" s="106" t="s">
        <v>100</v>
      </c>
      <c r="C33" s="35">
        <v>1716567.0467529127</v>
      </c>
      <c r="D33" s="94">
        <f t="shared" si="1"/>
        <v>1.716567047</v>
      </c>
      <c r="E33" s="95">
        <f t="shared" si="2"/>
        <v>0.008564034294</v>
      </c>
      <c r="G33" s="3"/>
      <c r="K33" s="5"/>
    </row>
    <row r="34" ht="15.75" customHeight="1">
      <c r="B34" s="106" t="s">
        <v>101</v>
      </c>
      <c r="C34" s="35">
        <v>3040.3715452880874</v>
      </c>
      <c r="D34" s="94">
        <f t="shared" si="1"/>
        <v>0.003040371545</v>
      </c>
      <c r="E34" s="95">
        <f t="shared" si="2"/>
        <v>0.00001516855763</v>
      </c>
      <c r="G34" s="3"/>
      <c r="K34" s="5"/>
    </row>
    <row r="35" ht="15.75" customHeight="1">
      <c r="B35" s="15" t="s">
        <v>102</v>
      </c>
      <c r="C35" s="18">
        <v>493.82902952270507</v>
      </c>
      <c r="D35" s="21">
        <f t="shared" si="1"/>
        <v>0.0004938290295</v>
      </c>
      <c r="E35" s="25">
        <f t="shared" si="2"/>
        <v>0.000002463736416</v>
      </c>
      <c r="G35" s="3"/>
      <c r="K35" s="5"/>
    </row>
    <row r="36" ht="15.75" customHeight="1">
      <c r="B36" s="107" t="s">
        <v>62</v>
      </c>
      <c r="C36" s="109">
        <f>SUM(C5,C12,C20,C25,C32,C35)</f>
        <v>200439067.4</v>
      </c>
      <c r="D36" s="111">
        <f t="shared" si="1"/>
        <v>200.4390674</v>
      </c>
      <c r="E36" s="112"/>
      <c r="G36" s="3"/>
      <c r="K36" s="5"/>
    </row>
    <row r="37" ht="15.75" customHeight="1">
      <c r="E37" s="2"/>
      <c r="G37" s="3"/>
      <c r="K37" s="5"/>
    </row>
    <row r="38" ht="15.75" customHeight="1">
      <c r="E38" s="2"/>
      <c r="G38" s="3"/>
      <c r="K38" s="5"/>
    </row>
    <row r="39" ht="15.75" customHeight="1">
      <c r="E39" s="2"/>
      <c r="G39" s="3"/>
      <c r="K39" s="5"/>
    </row>
    <row r="40" ht="15.75" customHeight="1">
      <c r="E40" s="2"/>
      <c r="G40" s="3"/>
      <c r="K40" s="5"/>
    </row>
    <row r="41" ht="15.75" customHeight="1">
      <c r="E41" s="2"/>
      <c r="G41" s="3"/>
      <c r="K41" s="5"/>
    </row>
    <row r="42" ht="15.75" customHeight="1">
      <c r="E42" s="2"/>
      <c r="G42" s="3"/>
      <c r="K42" s="5"/>
    </row>
    <row r="43" ht="15.75" customHeight="1">
      <c r="E43" s="2"/>
      <c r="G43" s="3"/>
      <c r="K43" s="5"/>
    </row>
    <row r="44" ht="15.75" customHeight="1">
      <c r="E44" s="2"/>
      <c r="G44" s="3"/>
      <c r="K44" s="5"/>
    </row>
    <row r="45" ht="15.75" customHeight="1">
      <c r="E45" s="2"/>
      <c r="G45" s="3"/>
      <c r="K45" s="5"/>
    </row>
    <row r="46" ht="15.75" customHeight="1">
      <c r="E46" s="2"/>
      <c r="G46" s="3"/>
      <c r="K46" s="5"/>
    </row>
    <row r="47" ht="15.75" customHeight="1">
      <c r="E47" s="2"/>
      <c r="G47" s="3"/>
      <c r="K47" s="5"/>
    </row>
    <row r="48" ht="15.75" customHeight="1">
      <c r="E48" s="2"/>
      <c r="G48" s="3"/>
      <c r="K48" s="5"/>
    </row>
    <row r="49" ht="15.75" customHeight="1">
      <c r="E49" s="2"/>
      <c r="G49" s="3"/>
      <c r="K49" s="5"/>
    </row>
    <row r="50" ht="15.75" customHeight="1">
      <c r="E50" s="2"/>
      <c r="G50" s="3"/>
      <c r="K50" s="5"/>
    </row>
    <row r="51" ht="15.75" customHeight="1">
      <c r="E51" s="2"/>
      <c r="J51" s="3"/>
      <c r="N51" s="5"/>
    </row>
    <row r="52" ht="15.75" customHeight="1">
      <c r="E52" s="2"/>
      <c r="J52" s="3"/>
      <c r="N52" s="5"/>
    </row>
    <row r="53" ht="15.75" customHeight="1">
      <c r="E53" s="2"/>
      <c r="J53" s="3"/>
      <c r="N53" s="5"/>
    </row>
    <row r="54" ht="15.75" customHeight="1">
      <c r="E54" s="2"/>
      <c r="J54" s="3"/>
      <c r="N54" s="5"/>
    </row>
    <row r="55" ht="15.75" customHeight="1">
      <c r="E55" s="2"/>
      <c r="J55" s="3"/>
      <c r="N55" s="5"/>
    </row>
    <row r="56" ht="15.75" customHeight="1">
      <c r="E56" s="2"/>
      <c r="J56" s="3"/>
      <c r="N56" s="5"/>
    </row>
    <row r="57" ht="15.75" customHeight="1">
      <c r="E57" s="2"/>
      <c r="J57" s="3"/>
      <c r="N57" s="5"/>
    </row>
    <row r="58" ht="15.75" customHeight="1">
      <c r="E58" s="2"/>
      <c r="J58" s="3"/>
      <c r="N58" s="5"/>
    </row>
    <row r="59" ht="15.75" customHeight="1">
      <c r="E59" s="2"/>
      <c r="J59" s="3"/>
      <c r="N59" s="5"/>
    </row>
    <row r="60" ht="15.75" customHeight="1">
      <c r="E60" s="2"/>
      <c r="J60" s="3"/>
      <c r="N60" s="5"/>
    </row>
    <row r="61" ht="15.75" customHeight="1">
      <c r="E61" s="2"/>
      <c r="J61" s="3"/>
      <c r="N61" s="5"/>
    </row>
    <row r="62" ht="15.75" customHeight="1">
      <c r="E62" s="2"/>
      <c r="J62" s="3"/>
      <c r="N62" s="5"/>
    </row>
    <row r="63" ht="15.75" customHeight="1">
      <c r="E63" s="2"/>
      <c r="J63" s="3"/>
      <c r="N63" s="5"/>
    </row>
    <row r="64" ht="15.75" customHeight="1">
      <c r="E64" s="2"/>
      <c r="J64" s="3"/>
      <c r="N64" s="5"/>
    </row>
    <row r="65" ht="15.75" customHeight="1">
      <c r="E65" s="2"/>
      <c r="J65" s="3"/>
      <c r="N65" s="5"/>
    </row>
    <row r="66" ht="15.75" customHeight="1">
      <c r="E66" s="2"/>
      <c r="J66" s="3"/>
      <c r="N66" s="5"/>
    </row>
    <row r="67" ht="15.75" customHeight="1">
      <c r="E67" s="2"/>
      <c r="J67" s="3"/>
      <c r="N67" s="5"/>
    </row>
    <row r="68" ht="15.75" customHeight="1">
      <c r="E68" s="2"/>
      <c r="J68" s="3"/>
      <c r="N68" s="5"/>
    </row>
    <row r="69" ht="15.75" customHeight="1">
      <c r="E69" s="2"/>
      <c r="J69" s="3"/>
      <c r="N69" s="5"/>
    </row>
    <row r="70" ht="15.75" customHeight="1">
      <c r="E70" s="2"/>
      <c r="J70" s="3"/>
      <c r="N70" s="5"/>
    </row>
    <row r="71" ht="15.75" customHeight="1">
      <c r="E71" s="2"/>
      <c r="J71" s="3"/>
      <c r="N71" s="5"/>
    </row>
    <row r="72" ht="15.75" customHeight="1">
      <c r="E72" s="2"/>
      <c r="J72" s="3"/>
      <c r="N72" s="5"/>
    </row>
    <row r="73" ht="15.75" customHeight="1">
      <c r="E73" s="2"/>
      <c r="J73" s="3"/>
      <c r="N73" s="5"/>
    </row>
    <row r="74" ht="15.75" customHeight="1">
      <c r="E74" s="2"/>
      <c r="J74" s="3"/>
      <c r="N74" s="5"/>
    </row>
    <row r="75" ht="15.75" customHeight="1">
      <c r="E75" s="2"/>
      <c r="J75" s="3"/>
      <c r="N75" s="5"/>
    </row>
    <row r="76" ht="15.75" customHeight="1">
      <c r="E76" s="2"/>
      <c r="J76" s="3"/>
      <c r="N76" s="5"/>
    </row>
    <row r="77" ht="15.75" customHeight="1">
      <c r="E77" s="2"/>
      <c r="J77" s="3"/>
      <c r="N77" s="5"/>
    </row>
    <row r="78" ht="15.75" customHeight="1">
      <c r="E78" s="2"/>
      <c r="J78" s="3"/>
      <c r="N78" s="5"/>
    </row>
    <row r="79" ht="15.75" customHeight="1">
      <c r="E79" s="2"/>
      <c r="J79" s="3"/>
      <c r="N79" s="5"/>
    </row>
    <row r="80" ht="15.75" customHeight="1">
      <c r="E80" s="2"/>
      <c r="J80" s="3"/>
      <c r="N80" s="5"/>
    </row>
    <row r="81" ht="15.75" customHeight="1">
      <c r="E81" s="2"/>
      <c r="J81" s="3"/>
      <c r="N81" s="5"/>
    </row>
    <row r="82" ht="15.75" customHeight="1">
      <c r="E82" s="2"/>
      <c r="J82" s="3"/>
      <c r="N82" s="5"/>
    </row>
    <row r="83" ht="15.75" customHeight="1">
      <c r="E83" s="2"/>
      <c r="J83" s="3"/>
      <c r="N83" s="5"/>
    </row>
    <row r="84" ht="15.75" customHeight="1">
      <c r="E84" s="2"/>
      <c r="J84" s="3"/>
      <c r="N84" s="5"/>
    </row>
    <row r="85" ht="15.75" customHeight="1">
      <c r="E85" s="2"/>
      <c r="J85" s="3"/>
      <c r="N85" s="5"/>
    </row>
    <row r="86" ht="15.75" customHeight="1">
      <c r="E86" s="2"/>
      <c r="J86" s="3"/>
      <c r="N86" s="5"/>
    </row>
    <row r="87" ht="15.75" customHeight="1">
      <c r="E87" s="2"/>
      <c r="J87" s="3"/>
      <c r="N87" s="5"/>
    </row>
    <row r="88" ht="15.75" customHeight="1">
      <c r="E88" s="2"/>
      <c r="J88" s="3"/>
      <c r="N88" s="5"/>
    </row>
    <row r="89" ht="15.75" customHeight="1">
      <c r="E89" s="2"/>
      <c r="J89" s="3"/>
      <c r="N89" s="5"/>
    </row>
    <row r="90" ht="15.75" customHeight="1">
      <c r="E90" s="2"/>
      <c r="J90" s="3"/>
      <c r="N90" s="5"/>
    </row>
    <row r="91" ht="15.75" customHeight="1">
      <c r="E91" s="2"/>
      <c r="J91" s="3"/>
      <c r="N91" s="5"/>
    </row>
    <row r="92" ht="15.75" customHeight="1">
      <c r="E92" s="2"/>
      <c r="J92" s="3"/>
      <c r="N92" s="5"/>
    </row>
    <row r="93" ht="15.75" customHeight="1">
      <c r="E93" s="2"/>
      <c r="J93" s="3"/>
      <c r="N93" s="5"/>
    </row>
    <row r="94" ht="15.75" customHeight="1">
      <c r="E94" s="2"/>
      <c r="J94" s="3"/>
      <c r="N94" s="5"/>
    </row>
    <row r="95" ht="15.75" customHeight="1">
      <c r="E95" s="2"/>
      <c r="J95" s="3"/>
      <c r="N95" s="5"/>
    </row>
    <row r="96" ht="15.75" customHeight="1">
      <c r="E96" s="2"/>
      <c r="J96" s="3"/>
      <c r="N96" s="5"/>
    </row>
    <row r="97" ht="15.75" customHeight="1">
      <c r="E97" s="2"/>
      <c r="J97" s="3"/>
      <c r="N97" s="5"/>
    </row>
    <row r="98" ht="15.75" customHeight="1">
      <c r="E98" s="2"/>
      <c r="J98" s="3"/>
      <c r="N98" s="5"/>
    </row>
    <row r="99" ht="15.75" customHeight="1">
      <c r="E99" s="2"/>
      <c r="J99" s="3"/>
      <c r="N99" s="5"/>
    </row>
    <row r="100" ht="15.75" customHeight="1">
      <c r="E100" s="2"/>
      <c r="J100" s="3"/>
      <c r="N100" s="5"/>
    </row>
    <row r="101" ht="15.75" customHeight="1">
      <c r="E101" s="2"/>
      <c r="J101" s="3"/>
      <c r="N101" s="5"/>
    </row>
    <row r="102" ht="15.75" customHeight="1">
      <c r="E102" s="2"/>
      <c r="J102" s="3"/>
      <c r="N102" s="5"/>
    </row>
    <row r="103" ht="15.75" customHeight="1">
      <c r="E103" s="2"/>
      <c r="J103" s="3"/>
      <c r="N103" s="5"/>
    </row>
    <row r="104" ht="15.75" customHeight="1">
      <c r="E104" s="2"/>
      <c r="J104" s="3"/>
      <c r="N104" s="5"/>
    </row>
    <row r="105" ht="15.75" customHeight="1">
      <c r="E105" s="2"/>
      <c r="J105" s="3"/>
      <c r="N105" s="5"/>
    </row>
    <row r="106" ht="15.75" customHeight="1">
      <c r="E106" s="2"/>
      <c r="J106" s="3"/>
      <c r="N106" s="5"/>
    </row>
    <row r="107" ht="15.75" customHeight="1">
      <c r="E107" s="2"/>
      <c r="J107" s="3"/>
      <c r="N107" s="5"/>
    </row>
    <row r="108" ht="15.75" customHeight="1">
      <c r="E108" s="2"/>
      <c r="J108" s="3"/>
      <c r="N108" s="5"/>
    </row>
    <row r="109" ht="15.75" customHeight="1">
      <c r="E109" s="2"/>
      <c r="J109" s="3"/>
      <c r="N109" s="5"/>
    </row>
    <row r="110" ht="15.75" customHeight="1">
      <c r="E110" s="2"/>
      <c r="J110" s="3"/>
      <c r="N110" s="5"/>
    </row>
    <row r="111" ht="15.75" customHeight="1">
      <c r="E111" s="2"/>
      <c r="J111" s="3"/>
      <c r="N111" s="5"/>
    </row>
    <row r="112" ht="15.75" customHeight="1">
      <c r="E112" s="2"/>
      <c r="J112" s="3"/>
      <c r="N112" s="5"/>
    </row>
    <row r="113" ht="15.75" customHeight="1">
      <c r="E113" s="2"/>
      <c r="J113" s="3"/>
      <c r="N113" s="5"/>
    </row>
    <row r="114" ht="15.75" customHeight="1">
      <c r="E114" s="2"/>
      <c r="J114" s="3"/>
      <c r="N114" s="5"/>
    </row>
    <row r="115" ht="15.75" customHeight="1">
      <c r="E115" s="2"/>
      <c r="J115" s="3"/>
      <c r="N115" s="5"/>
    </row>
    <row r="116" ht="15.75" customHeight="1">
      <c r="E116" s="2"/>
      <c r="J116" s="3"/>
      <c r="N116" s="5"/>
    </row>
    <row r="117" ht="15.75" customHeight="1">
      <c r="E117" s="2"/>
      <c r="J117" s="3"/>
      <c r="N117" s="5"/>
    </row>
    <row r="118" ht="15.75" customHeight="1">
      <c r="E118" s="2"/>
      <c r="J118" s="3"/>
      <c r="N118" s="5"/>
    </row>
    <row r="119" ht="15.75" customHeight="1">
      <c r="E119" s="2"/>
      <c r="J119" s="3"/>
      <c r="N119" s="5"/>
    </row>
    <row r="120" ht="15.75" customHeight="1">
      <c r="E120" s="2"/>
      <c r="J120" s="3"/>
      <c r="N120" s="5"/>
    </row>
    <row r="121" ht="15.75" customHeight="1">
      <c r="E121" s="2"/>
      <c r="J121" s="3"/>
      <c r="N121" s="5"/>
    </row>
    <row r="122" ht="15.75" customHeight="1">
      <c r="E122" s="2"/>
      <c r="J122" s="3"/>
      <c r="N122" s="5"/>
    </row>
    <row r="123" ht="15.75" customHeight="1">
      <c r="E123" s="2"/>
      <c r="J123" s="3"/>
      <c r="N123" s="5"/>
    </row>
    <row r="124" ht="15.75" customHeight="1">
      <c r="E124" s="2"/>
      <c r="J124" s="3"/>
      <c r="N124" s="5"/>
    </row>
    <row r="125" ht="15.75" customHeight="1">
      <c r="E125" s="2"/>
      <c r="J125" s="3"/>
      <c r="N125" s="5"/>
    </row>
    <row r="126" ht="15.75" customHeight="1">
      <c r="E126" s="2"/>
      <c r="J126" s="3"/>
      <c r="N126" s="5"/>
    </row>
    <row r="127" ht="15.75" customHeight="1">
      <c r="E127" s="2"/>
      <c r="J127" s="3"/>
      <c r="N127" s="5"/>
    </row>
    <row r="128" ht="15.75" customHeight="1">
      <c r="E128" s="2"/>
      <c r="J128" s="3"/>
      <c r="N128" s="5"/>
    </row>
    <row r="129" ht="15.75" customHeight="1">
      <c r="E129" s="2"/>
      <c r="J129" s="3"/>
      <c r="N129" s="5"/>
    </row>
    <row r="130" ht="15.75" customHeight="1">
      <c r="E130" s="2"/>
      <c r="J130" s="3"/>
      <c r="N130" s="5"/>
    </row>
    <row r="131" ht="15.75" customHeight="1">
      <c r="E131" s="2"/>
      <c r="J131" s="3"/>
      <c r="N131" s="5"/>
    </row>
    <row r="132" ht="15.75" customHeight="1">
      <c r="E132" s="2"/>
      <c r="J132" s="3"/>
      <c r="N132" s="5"/>
    </row>
    <row r="133" ht="15.75" customHeight="1">
      <c r="E133" s="2"/>
      <c r="J133" s="3"/>
      <c r="N133" s="5"/>
    </row>
    <row r="134" ht="15.75" customHeight="1">
      <c r="E134" s="2"/>
      <c r="J134" s="3"/>
      <c r="N134" s="5"/>
    </row>
    <row r="135" ht="15.75" customHeight="1">
      <c r="E135" s="2"/>
      <c r="J135" s="3"/>
      <c r="N135" s="5"/>
    </row>
    <row r="136" ht="15.75" customHeight="1">
      <c r="E136" s="2"/>
      <c r="J136" s="3"/>
      <c r="N136" s="5"/>
    </row>
    <row r="137" ht="15.75" customHeight="1">
      <c r="E137" s="2"/>
      <c r="J137" s="3"/>
      <c r="N137" s="5"/>
    </row>
    <row r="138" ht="15.75" customHeight="1">
      <c r="E138" s="2"/>
      <c r="J138" s="3"/>
      <c r="N138" s="5"/>
    </row>
    <row r="139" ht="15.75" customHeight="1">
      <c r="E139" s="2"/>
      <c r="J139" s="3"/>
      <c r="N139" s="5"/>
    </row>
    <row r="140" ht="15.75" customHeight="1">
      <c r="E140" s="2"/>
      <c r="J140" s="3"/>
      <c r="N140" s="5"/>
    </row>
    <row r="141" ht="15.75" customHeight="1">
      <c r="E141" s="2"/>
      <c r="J141" s="3"/>
      <c r="N141" s="5"/>
    </row>
    <row r="142" ht="15.75" customHeight="1">
      <c r="E142" s="2"/>
      <c r="J142" s="3"/>
      <c r="N142" s="5"/>
    </row>
    <row r="143" ht="15.75" customHeight="1">
      <c r="E143" s="2"/>
      <c r="J143" s="3"/>
      <c r="N143" s="5"/>
    </row>
    <row r="144" ht="15.75" customHeight="1">
      <c r="E144" s="2"/>
      <c r="J144" s="3"/>
      <c r="N144" s="5"/>
    </row>
    <row r="145" ht="15.75" customHeight="1">
      <c r="E145" s="2"/>
      <c r="J145" s="3"/>
      <c r="N145" s="5"/>
    </row>
    <row r="146" ht="15.75" customHeight="1">
      <c r="E146" s="2"/>
      <c r="J146" s="3"/>
      <c r="N146" s="5"/>
    </row>
    <row r="147" ht="15.75" customHeight="1">
      <c r="E147" s="2"/>
      <c r="J147" s="3"/>
      <c r="N147" s="5"/>
    </row>
    <row r="148" ht="15.75" customHeight="1">
      <c r="E148" s="2"/>
      <c r="J148" s="3"/>
      <c r="N148" s="5"/>
    </row>
    <row r="149" ht="15.75" customHeight="1">
      <c r="E149" s="2"/>
      <c r="J149" s="3"/>
      <c r="N149" s="5"/>
    </row>
    <row r="150" ht="15.75" customHeight="1">
      <c r="E150" s="2"/>
      <c r="J150" s="3"/>
      <c r="N150" s="5"/>
    </row>
    <row r="151" ht="15.75" customHeight="1">
      <c r="E151" s="2"/>
      <c r="J151" s="3"/>
      <c r="N151" s="5"/>
    </row>
    <row r="152" ht="15.75" customHeight="1">
      <c r="E152" s="2"/>
      <c r="J152" s="3"/>
      <c r="N152" s="5"/>
    </row>
    <row r="153" ht="15.75" customHeight="1">
      <c r="E153" s="2"/>
      <c r="J153" s="3"/>
      <c r="N153" s="5"/>
    </row>
    <row r="154" ht="15.75" customHeight="1">
      <c r="E154" s="2"/>
      <c r="J154" s="3"/>
      <c r="N154" s="5"/>
    </row>
    <row r="155" ht="15.75" customHeight="1">
      <c r="E155" s="2"/>
      <c r="J155" s="3"/>
      <c r="N155" s="5"/>
    </row>
    <row r="156" ht="15.75" customHeight="1">
      <c r="E156" s="2"/>
      <c r="J156" s="3"/>
      <c r="N156" s="5"/>
    </row>
    <row r="157" ht="15.75" customHeight="1">
      <c r="E157" s="2"/>
      <c r="J157" s="3"/>
      <c r="N157" s="5"/>
    </row>
    <row r="158" ht="15.75" customHeight="1">
      <c r="E158" s="2"/>
      <c r="J158" s="3"/>
      <c r="N158" s="5"/>
    </row>
    <row r="159" ht="15.75" customHeight="1">
      <c r="E159" s="2"/>
      <c r="J159" s="3"/>
      <c r="N159" s="5"/>
    </row>
    <row r="160" ht="15.75" customHeight="1">
      <c r="E160" s="2"/>
      <c r="J160" s="3"/>
      <c r="N160" s="5"/>
    </row>
    <row r="161" ht="15.75" customHeight="1">
      <c r="E161" s="2"/>
      <c r="J161" s="3"/>
      <c r="N161" s="5"/>
    </row>
    <row r="162" ht="15.75" customHeight="1">
      <c r="E162" s="2"/>
      <c r="J162" s="3"/>
      <c r="N162" s="5"/>
    </row>
    <row r="163" ht="15.75" customHeight="1">
      <c r="E163" s="2"/>
      <c r="J163" s="3"/>
      <c r="N163" s="5"/>
    </row>
    <row r="164" ht="15.75" customHeight="1">
      <c r="E164" s="2"/>
      <c r="J164" s="3"/>
      <c r="N164" s="5"/>
    </row>
    <row r="165" ht="15.75" customHeight="1">
      <c r="E165" s="2"/>
      <c r="J165" s="3"/>
      <c r="N165" s="5"/>
    </row>
    <row r="166" ht="15.75" customHeight="1">
      <c r="E166" s="2"/>
      <c r="J166" s="3"/>
      <c r="N166" s="5"/>
    </row>
    <row r="167" ht="15.75" customHeight="1">
      <c r="E167" s="2"/>
      <c r="J167" s="3"/>
      <c r="N167" s="5"/>
    </row>
    <row r="168" ht="15.75" customHeight="1">
      <c r="E168" s="2"/>
      <c r="J168" s="3"/>
      <c r="N168" s="5"/>
    </row>
    <row r="169" ht="15.75" customHeight="1">
      <c r="E169" s="2"/>
      <c r="J169" s="3"/>
      <c r="N169" s="5"/>
    </row>
    <row r="170" ht="15.75" customHeight="1">
      <c r="E170" s="2"/>
      <c r="J170" s="3"/>
      <c r="N170" s="5"/>
    </row>
    <row r="171" ht="15.75" customHeight="1">
      <c r="E171" s="2"/>
      <c r="J171" s="3"/>
      <c r="N171" s="5"/>
    </row>
    <row r="172" ht="15.75" customHeight="1">
      <c r="E172" s="2"/>
      <c r="J172" s="3"/>
      <c r="N172" s="5"/>
    </row>
    <row r="173" ht="15.75" customHeight="1">
      <c r="E173" s="2"/>
      <c r="J173" s="3"/>
      <c r="N173" s="5"/>
    </row>
    <row r="174" ht="15.75" customHeight="1">
      <c r="E174" s="2"/>
      <c r="J174" s="3"/>
      <c r="N174" s="5"/>
    </row>
    <row r="175" ht="15.75" customHeight="1">
      <c r="E175" s="2"/>
      <c r="J175" s="3"/>
      <c r="N175" s="5"/>
    </row>
    <row r="176" ht="15.75" customHeight="1">
      <c r="E176" s="2"/>
      <c r="J176" s="3"/>
      <c r="N176" s="5"/>
    </row>
    <row r="177" ht="15.75" customHeight="1">
      <c r="E177" s="2"/>
      <c r="J177" s="3"/>
      <c r="N177" s="5"/>
    </row>
    <row r="178" ht="15.75" customHeight="1">
      <c r="E178" s="2"/>
      <c r="J178" s="3"/>
      <c r="N178" s="5"/>
    </row>
    <row r="179" ht="15.75" customHeight="1">
      <c r="E179" s="2"/>
      <c r="J179" s="3"/>
      <c r="N179" s="5"/>
    </row>
    <row r="180" ht="15.75" customHeight="1">
      <c r="E180" s="2"/>
      <c r="J180" s="3"/>
      <c r="N180" s="5"/>
    </row>
    <row r="181" ht="15.75" customHeight="1">
      <c r="E181" s="2"/>
      <c r="J181" s="3"/>
      <c r="N181" s="5"/>
    </row>
    <row r="182" ht="15.75" customHeight="1">
      <c r="E182" s="2"/>
      <c r="J182" s="3"/>
      <c r="N182" s="5"/>
    </row>
    <row r="183" ht="15.75" customHeight="1">
      <c r="E183" s="2"/>
      <c r="J183" s="3"/>
      <c r="N183" s="5"/>
    </row>
    <row r="184" ht="15.75" customHeight="1">
      <c r="E184" s="2"/>
      <c r="J184" s="3"/>
      <c r="N184" s="5"/>
    </row>
    <row r="185" ht="15.75" customHeight="1">
      <c r="E185" s="2"/>
      <c r="J185" s="3"/>
      <c r="N185" s="5"/>
    </row>
    <row r="186" ht="15.75" customHeight="1">
      <c r="E186" s="2"/>
      <c r="J186" s="3"/>
      <c r="N186" s="5"/>
    </row>
    <row r="187" ht="15.75" customHeight="1">
      <c r="E187" s="2"/>
      <c r="J187" s="3"/>
      <c r="N187" s="5"/>
    </row>
    <row r="188" ht="15.75" customHeight="1">
      <c r="E188" s="2"/>
      <c r="J188" s="3"/>
      <c r="N188" s="5"/>
    </row>
    <row r="189" ht="15.75" customHeight="1">
      <c r="E189" s="2"/>
      <c r="J189" s="3"/>
      <c r="N189" s="5"/>
    </row>
    <row r="190" ht="15.75" customHeight="1">
      <c r="E190" s="2"/>
      <c r="J190" s="3"/>
      <c r="N190" s="5"/>
    </row>
    <row r="191" ht="15.75" customHeight="1">
      <c r="E191" s="2"/>
      <c r="J191" s="3"/>
      <c r="N191" s="5"/>
    </row>
    <row r="192" ht="15.75" customHeight="1">
      <c r="E192" s="2"/>
      <c r="J192" s="3"/>
      <c r="N192" s="5"/>
    </row>
    <row r="193" ht="15.75" customHeight="1">
      <c r="E193" s="2"/>
      <c r="J193" s="3"/>
      <c r="N193" s="5"/>
    </row>
    <row r="194" ht="15.75" customHeight="1">
      <c r="E194" s="2"/>
      <c r="J194" s="3"/>
      <c r="N194" s="5"/>
    </row>
    <row r="195" ht="15.75" customHeight="1">
      <c r="E195" s="2"/>
      <c r="J195" s="3"/>
      <c r="N195" s="5"/>
    </row>
    <row r="196" ht="15.75" customHeight="1">
      <c r="E196" s="2"/>
      <c r="J196" s="3"/>
      <c r="N196" s="5"/>
    </row>
    <row r="197" ht="15.75" customHeight="1">
      <c r="E197" s="2"/>
      <c r="J197" s="3"/>
      <c r="N197" s="5"/>
    </row>
    <row r="198" ht="15.75" customHeight="1">
      <c r="E198" s="2"/>
      <c r="J198" s="3"/>
      <c r="N198" s="5"/>
    </row>
    <row r="199" ht="15.75" customHeight="1">
      <c r="E199" s="2"/>
      <c r="J199" s="3"/>
      <c r="N199" s="5"/>
    </row>
    <row r="200" ht="15.75" customHeight="1">
      <c r="E200" s="2"/>
      <c r="J200" s="3"/>
      <c r="N200" s="5"/>
    </row>
    <row r="201" ht="15.75" customHeight="1">
      <c r="E201" s="2"/>
      <c r="J201" s="3"/>
      <c r="N201" s="5"/>
    </row>
    <row r="202" ht="15.75" customHeight="1">
      <c r="E202" s="2"/>
      <c r="J202" s="3"/>
      <c r="N202" s="5"/>
    </row>
    <row r="203" ht="15.75" customHeight="1">
      <c r="E203" s="2"/>
      <c r="J203" s="3"/>
      <c r="N203" s="5"/>
    </row>
    <row r="204" ht="15.75" customHeight="1">
      <c r="E204" s="2"/>
      <c r="J204" s="3"/>
      <c r="N204" s="5"/>
    </row>
    <row r="205" ht="15.75" customHeight="1">
      <c r="E205" s="2"/>
      <c r="J205" s="3"/>
      <c r="N205" s="5"/>
    </row>
    <row r="206" ht="15.75" customHeight="1">
      <c r="E206" s="2"/>
      <c r="J206" s="3"/>
      <c r="N206" s="5"/>
    </row>
    <row r="207" ht="15.75" customHeight="1">
      <c r="E207" s="2"/>
      <c r="J207" s="3"/>
      <c r="N207" s="5"/>
    </row>
    <row r="208" ht="15.75" customHeight="1">
      <c r="E208" s="2"/>
      <c r="J208" s="3"/>
      <c r="N208" s="5"/>
    </row>
    <row r="209" ht="15.75" customHeight="1">
      <c r="E209" s="2"/>
      <c r="J209" s="3"/>
      <c r="N209" s="5"/>
    </row>
    <row r="210" ht="15.75" customHeight="1">
      <c r="E210" s="2"/>
      <c r="J210" s="3"/>
      <c r="N210" s="5"/>
    </row>
    <row r="211" ht="15.75" customHeight="1">
      <c r="E211" s="2"/>
      <c r="J211" s="3"/>
      <c r="N211" s="5"/>
    </row>
    <row r="212" ht="15.75" customHeight="1">
      <c r="E212" s="2"/>
      <c r="J212" s="3"/>
      <c r="N212" s="5"/>
    </row>
    <row r="213" ht="15.75" customHeight="1">
      <c r="E213" s="2"/>
      <c r="J213" s="3"/>
      <c r="N213" s="5"/>
    </row>
    <row r="214" ht="15.75" customHeight="1">
      <c r="E214" s="2"/>
      <c r="J214" s="3"/>
      <c r="N214" s="5"/>
    </row>
    <row r="215" ht="15.75" customHeight="1">
      <c r="E215" s="2"/>
      <c r="J215" s="3"/>
      <c r="N215" s="5"/>
    </row>
    <row r="216" ht="15.75" customHeight="1">
      <c r="E216" s="2"/>
      <c r="J216" s="3"/>
      <c r="N216" s="5"/>
    </row>
    <row r="217" ht="15.75" customHeight="1">
      <c r="E217" s="2"/>
      <c r="J217" s="3"/>
      <c r="N217" s="5"/>
    </row>
    <row r="218" ht="15.75" customHeight="1">
      <c r="E218" s="2"/>
      <c r="J218" s="3"/>
      <c r="N218" s="5"/>
    </row>
    <row r="219" ht="15.75" customHeight="1">
      <c r="E219" s="2"/>
      <c r="J219" s="3"/>
      <c r="N219" s="5"/>
    </row>
    <row r="220" ht="15.75" customHeight="1">
      <c r="E220" s="2"/>
      <c r="J220" s="3"/>
      <c r="N220" s="5"/>
    </row>
    <row r="221" ht="15.75" customHeight="1">
      <c r="E221" s="2"/>
      <c r="J221" s="3"/>
      <c r="N221" s="5"/>
    </row>
    <row r="222" ht="15.75" customHeight="1">
      <c r="E222" s="2"/>
      <c r="J222" s="3"/>
      <c r="N222" s="5"/>
    </row>
    <row r="223" ht="15.75" customHeight="1">
      <c r="E223" s="2"/>
      <c r="J223" s="3"/>
      <c r="N223" s="5"/>
    </row>
    <row r="224" ht="15.75" customHeight="1">
      <c r="E224" s="2"/>
      <c r="J224" s="3"/>
      <c r="N224" s="5"/>
    </row>
    <row r="225" ht="15.75" customHeight="1">
      <c r="E225" s="2"/>
      <c r="J225" s="3"/>
      <c r="N225" s="5"/>
    </row>
    <row r="226" ht="15.75" customHeight="1">
      <c r="E226" s="2"/>
      <c r="J226" s="3"/>
      <c r="N226" s="5"/>
    </row>
    <row r="227" ht="15.75" customHeight="1">
      <c r="E227" s="2"/>
      <c r="J227" s="3"/>
      <c r="N227" s="5"/>
    </row>
    <row r="228" ht="15.75" customHeight="1">
      <c r="E228" s="2"/>
      <c r="J228" s="3"/>
      <c r="N228" s="5"/>
    </row>
    <row r="229" ht="15.75" customHeight="1">
      <c r="E229" s="2"/>
      <c r="J229" s="3"/>
      <c r="N229" s="5"/>
    </row>
    <row r="230" ht="15.75" customHeight="1">
      <c r="E230" s="2"/>
      <c r="J230" s="3"/>
      <c r="N230" s="5"/>
    </row>
    <row r="231" ht="15.75" customHeight="1">
      <c r="E231" s="2"/>
      <c r="J231" s="3"/>
      <c r="N231" s="5"/>
    </row>
    <row r="232" ht="15.75" customHeight="1">
      <c r="E232" s="2"/>
      <c r="J232" s="3"/>
      <c r="N232" s="5"/>
    </row>
    <row r="233" ht="15.75" customHeight="1">
      <c r="E233" s="2"/>
      <c r="J233" s="3"/>
      <c r="N233" s="5"/>
    </row>
    <row r="234" ht="15.75" customHeight="1">
      <c r="E234" s="2"/>
      <c r="J234" s="3"/>
      <c r="N234" s="5"/>
    </row>
    <row r="235" ht="15.75" customHeight="1">
      <c r="E235" s="2"/>
      <c r="J235" s="3"/>
      <c r="N235" s="5"/>
    </row>
    <row r="236" ht="15.75" customHeight="1">
      <c r="E236" s="2"/>
      <c r="J236" s="3"/>
      <c r="N236" s="5"/>
    </row>
    <row r="237" ht="15.75" customHeight="1">
      <c r="E237" s="2"/>
      <c r="J237" s="3"/>
      <c r="N237" s="5"/>
    </row>
    <row r="238" ht="15.75" customHeight="1">
      <c r="E238" s="2"/>
      <c r="J238" s="3"/>
      <c r="N238" s="5"/>
    </row>
    <row r="239" ht="15.75" customHeight="1">
      <c r="E239" s="2"/>
      <c r="J239" s="3"/>
      <c r="N239" s="5"/>
    </row>
    <row r="240" ht="15.75" customHeight="1">
      <c r="E240" s="2"/>
      <c r="J240" s="3"/>
      <c r="N240" s="5"/>
    </row>
    <row r="241" ht="15.75" customHeight="1">
      <c r="E241" s="2"/>
      <c r="J241" s="3"/>
      <c r="N241" s="5"/>
    </row>
    <row r="242" ht="15.75" customHeight="1">
      <c r="E242" s="2"/>
      <c r="J242" s="3"/>
      <c r="N242" s="5"/>
    </row>
    <row r="243" ht="15.75" customHeight="1">
      <c r="E243" s="2"/>
      <c r="J243" s="3"/>
      <c r="N243" s="5"/>
    </row>
    <row r="244" ht="15.75" customHeight="1">
      <c r="E244" s="2"/>
      <c r="J244" s="3"/>
      <c r="N244" s="5"/>
    </row>
    <row r="245" ht="15.75" customHeight="1">
      <c r="E245" s="2"/>
      <c r="J245" s="3"/>
      <c r="N245" s="5"/>
    </row>
    <row r="246" ht="15.75" customHeight="1">
      <c r="E246" s="2"/>
      <c r="J246" s="3"/>
      <c r="N246" s="5"/>
    </row>
    <row r="247" ht="15.75" customHeight="1">
      <c r="E247" s="2"/>
      <c r="J247" s="3"/>
      <c r="N247" s="5"/>
    </row>
    <row r="248" ht="15.75" customHeight="1">
      <c r="E248" s="2"/>
      <c r="J248" s="3"/>
      <c r="N248" s="5"/>
    </row>
    <row r="249" ht="15.75" customHeight="1">
      <c r="E249" s="2"/>
      <c r="J249" s="3"/>
      <c r="N249" s="5"/>
    </row>
    <row r="250" ht="15.75" customHeight="1">
      <c r="E250" s="2"/>
      <c r="J250" s="3"/>
      <c r="N250" s="5"/>
    </row>
    <row r="251" ht="15.75" customHeight="1">
      <c r="E251" s="2"/>
      <c r="J251" s="3"/>
      <c r="N251" s="5"/>
    </row>
    <row r="252" ht="15.75" customHeight="1">
      <c r="E252" s="2"/>
      <c r="J252" s="3"/>
      <c r="N252" s="5"/>
    </row>
    <row r="253" ht="15.75" customHeight="1">
      <c r="E253" s="2"/>
      <c r="J253" s="3"/>
      <c r="N253" s="5"/>
    </row>
    <row r="254" ht="15.75" customHeight="1">
      <c r="E254" s="2"/>
      <c r="J254" s="3"/>
      <c r="N254" s="5"/>
    </row>
    <row r="255" ht="15.75" customHeight="1">
      <c r="E255" s="2"/>
      <c r="J255" s="3"/>
      <c r="N255" s="5"/>
    </row>
    <row r="256" ht="15.75" customHeight="1">
      <c r="E256" s="2"/>
      <c r="J256" s="3"/>
      <c r="N256" s="5"/>
    </row>
    <row r="257" ht="15.75" customHeight="1">
      <c r="E257" s="2"/>
      <c r="J257" s="3"/>
      <c r="N257" s="5"/>
    </row>
    <row r="258" ht="15.75" customHeight="1">
      <c r="E258" s="2"/>
      <c r="J258" s="3"/>
      <c r="N258" s="5"/>
    </row>
    <row r="259" ht="15.75" customHeight="1">
      <c r="E259" s="2"/>
      <c r="J259" s="3"/>
      <c r="N259" s="5"/>
    </row>
    <row r="260" ht="15.75" customHeight="1">
      <c r="E260" s="2"/>
      <c r="J260" s="3"/>
      <c r="N260" s="5"/>
    </row>
    <row r="261" ht="15.75" customHeight="1">
      <c r="E261" s="2"/>
      <c r="J261" s="3"/>
      <c r="N261" s="5"/>
    </row>
    <row r="262" ht="15.75" customHeight="1">
      <c r="E262" s="2"/>
      <c r="J262" s="3"/>
      <c r="N262" s="5"/>
    </row>
    <row r="263" ht="15.75" customHeight="1">
      <c r="E263" s="2"/>
      <c r="J263" s="3"/>
      <c r="N263" s="5"/>
    </row>
    <row r="264" ht="15.75" customHeight="1">
      <c r="E264" s="2"/>
      <c r="J264" s="3"/>
      <c r="N264" s="5"/>
    </row>
    <row r="265" ht="15.75" customHeight="1">
      <c r="E265" s="2"/>
      <c r="J265" s="3"/>
      <c r="N265" s="5"/>
    </row>
    <row r="266" ht="15.75" customHeight="1">
      <c r="E266" s="2"/>
      <c r="J266" s="3"/>
      <c r="N266" s="5"/>
    </row>
    <row r="267" ht="15.75" customHeight="1">
      <c r="E267" s="2"/>
      <c r="J267" s="3"/>
      <c r="N267" s="5"/>
    </row>
    <row r="268" ht="15.75" customHeight="1">
      <c r="E268" s="2"/>
      <c r="J268" s="3"/>
      <c r="N268" s="5"/>
    </row>
    <row r="269" ht="15.75" customHeight="1">
      <c r="E269" s="2"/>
      <c r="J269" s="3"/>
      <c r="N269" s="5"/>
    </row>
    <row r="270" ht="15.75" customHeight="1">
      <c r="E270" s="2"/>
      <c r="J270" s="3"/>
      <c r="N270" s="5"/>
    </row>
    <row r="271" ht="15.75" customHeight="1">
      <c r="E271" s="2"/>
      <c r="J271" s="3"/>
      <c r="N271" s="5"/>
    </row>
    <row r="272" ht="15.75" customHeight="1">
      <c r="E272" s="2"/>
      <c r="J272" s="3"/>
      <c r="N272" s="5"/>
    </row>
    <row r="273" ht="15.75" customHeight="1">
      <c r="E273" s="2"/>
      <c r="J273" s="3"/>
      <c r="N273" s="5"/>
    </row>
    <row r="274" ht="15.75" customHeight="1">
      <c r="E274" s="2"/>
      <c r="J274" s="3"/>
      <c r="N274" s="5"/>
    </row>
    <row r="275" ht="15.75" customHeight="1">
      <c r="E275" s="2"/>
      <c r="J275" s="3"/>
      <c r="N275" s="5"/>
    </row>
    <row r="276" ht="15.75" customHeight="1">
      <c r="E276" s="2"/>
      <c r="J276" s="3"/>
      <c r="N276" s="5"/>
    </row>
    <row r="277" ht="15.75" customHeight="1">
      <c r="E277" s="2"/>
      <c r="J277" s="3"/>
      <c r="N277" s="5"/>
    </row>
    <row r="278" ht="15.75" customHeight="1">
      <c r="E278" s="2"/>
      <c r="J278" s="3"/>
      <c r="N278" s="5"/>
    </row>
    <row r="279" ht="15.75" customHeight="1">
      <c r="E279" s="2"/>
      <c r="J279" s="3"/>
      <c r="N279" s="5"/>
    </row>
    <row r="280" ht="15.75" customHeight="1">
      <c r="E280" s="2"/>
      <c r="J280" s="3"/>
      <c r="N280" s="5"/>
    </row>
    <row r="281" ht="15.75" customHeight="1">
      <c r="E281" s="2"/>
      <c r="J281" s="3"/>
      <c r="N281" s="5"/>
    </row>
    <row r="282" ht="15.75" customHeight="1">
      <c r="E282" s="2"/>
      <c r="J282" s="3"/>
      <c r="N282" s="5"/>
    </row>
    <row r="283" ht="15.75" customHeight="1">
      <c r="E283" s="2"/>
      <c r="J283" s="3"/>
      <c r="N283" s="5"/>
    </row>
    <row r="284" ht="15.75" customHeight="1">
      <c r="E284" s="2"/>
      <c r="J284" s="3"/>
      <c r="N284" s="5"/>
    </row>
    <row r="285" ht="15.75" customHeight="1">
      <c r="E285" s="2"/>
      <c r="J285" s="3"/>
      <c r="N285" s="5"/>
    </row>
    <row r="286" ht="15.75" customHeight="1">
      <c r="E286" s="2"/>
      <c r="J286" s="3"/>
      <c r="N286" s="5"/>
    </row>
    <row r="287" ht="15.75" customHeight="1">
      <c r="E287" s="2"/>
      <c r="J287" s="3"/>
      <c r="N287" s="5"/>
    </row>
    <row r="288" ht="15.75" customHeight="1">
      <c r="E288" s="2"/>
      <c r="J288" s="3"/>
      <c r="N288" s="5"/>
    </row>
    <row r="289" ht="15.75" customHeight="1">
      <c r="E289" s="2"/>
      <c r="J289" s="3"/>
      <c r="N289" s="5"/>
    </row>
    <row r="290" ht="15.75" customHeight="1">
      <c r="E290" s="2"/>
      <c r="J290" s="3"/>
      <c r="N290" s="5"/>
    </row>
    <row r="291" ht="15.75" customHeight="1">
      <c r="E291" s="2"/>
      <c r="J291" s="3"/>
      <c r="N291" s="5"/>
    </row>
    <row r="292" ht="15.75" customHeight="1">
      <c r="E292" s="2"/>
      <c r="J292" s="3"/>
      <c r="N292" s="5"/>
    </row>
    <row r="293" ht="15.75" customHeight="1">
      <c r="E293" s="2"/>
      <c r="J293" s="3"/>
      <c r="N293" s="5"/>
    </row>
    <row r="294" ht="15.75" customHeight="1">
      <c r="E294" s="2"/>
      <c r="J294" s="3"/>
      <c r="N294" s="5"/>
    </row>
    <row r="295" ht="15.75" customHeight="1">
      <c r="E295" s="2"/>
      <c r="J295" s="3"/>
      <c r="N295" s="5"/>
    </row>
    <row r="296" ht="15.75" customHeight="1">
      <c r="E296" s="2"/>
      <c r="J296" s="3"/>
      <c r="N296" s="5"/>
    </row>
    <row r="297" ht="15.75" customHeight="1">
      <c r="E297" s="2"/>
      <c r="J297" s="3"/>
      <c r="N297" s="5"/>
    </row>
    <row r="298" ht="15.75" customHeight="1">
      <c r="E298" s="2"/>
      <c r="J298" s="3"/>
      <c r="N298" s="5"/>
    </row>
    <row r="299" ht="15.75" customHeight="1">
      <c r="E299" s="2"/>
      <c r="J299" s="3"/>
      <c r="N299" s="5"/>
    </row>
    <row r="300" ht="15.75" customHeight="1">
      <c r="E300" s="2"/>
      <c r="J300" s="3"/>
      <c r="N300" s="5"/>
    </row>
    <row r="301" ht="15.75" customHeight="1">
      <c r="E301" s="2"/>
      <c r="J301" s="3"/>
      <c r="N301" s="5"/>
    </row>
    <row r="302" ht="15.75" customHeight="1">
      <c r="E302" s="2"/>
      <c r="J302" s="3"/>
      <c r="N302" s="5"/>
    </row>
    <row r="303" ht="15.75" customHeight="1">
      <c r="E303" s="2"/>
      <c r="J303" s="3"/>
      <c r="N303" s="5"/>
    </row>
    <row r="304" ht="15.75" customHeight="1">
      <c r="E304" s="2"/>
      <c r="J304" s="3"/>
      <c r="N304" s="5"/>
    </row>
    <row r="305" ht="15.75" customHeight="1">
      <c r="E305" s="2"/>
      <c r="J305" s="3"/>
      <c r="N305" s="5"/>
    </row>
    <row r="306" ht="15.75" customHeight="1">
      <c r="E306" s="2"/>
      <c r="J306" s="3"/>
      <c r="N306" s="5"/>
    </row>
    <row r="307" ht="15.75" customHeight="1">
      <c r="E307" s="2"/>
      <c r="J307" s="3"/>
      <c r="N307" s="5"/>
    </row>
    <row r="308" ht="15.75" customHeight="1">
      <c r="E308" s="2"/>
      <c r="J308" s="3"/>
      <c r="N308" s="5"/>
    </row>
    <row r="309" ht="15.75" customHeight="1">
      <c r="E309" s="2"/>
      <c r="J309" s="3"/>
      <c r="N309" s="5"/>
    </row>
    <row r="310" ht="15.75" customHeight="1">
      <c r="E310" s="2"/>
      <c r="J310" s="3"/>
      <c r="N310" s="5"/>
    </row>
    <row r="311" ht="15.75" customHeight="1">
      <c r="E311" s="2"/>
      <c r="J311" s="3"/>
      <c r="N311" s="5"/>
    </row>
    <row r="312" ht="15.75" customHeight="1">
      <c r="E312" s="2"/>
      <c r="J312" s="3"/>
      <c r="N312" s="5"/>
    </row>
    <row r="313" ht="15.75" customHeight="1">
      <c r="E313" s="2"/>
      <c r="J313" s="3"/>
      <c r="N313" s="5"/>
    </row>
    <row r="314" ht="15.75" customHeight="1">
      <c r="E314" s="2"/>
      <c r="J314" s="3"/>
      <c r="N314" s="5"/>
    </row>
    <row r="315" ht="15.75" customHeight="1">
      <c r="E315" s="2"/>
      <c r="J315" s="3"/>
      <c r="N315" s="5"/>
    </row>
    <row r="316" ht="15.75" customHeight="1">
      <c r="E316" s="2"/>
      <c r="J316" s="3"/>
      <c r="N316" s="5"/>
    </row>
    <row r="317" ht="15.75" customHeight="1">
      <c r="E317" s="2"/>
      <c r="J317" s="3"/>
      <c r="N317" s="5"/>
    </row>
    <row r="318" ht="15.75" customHeight="1">
      <c r="E318" s="2"/>
      <c r="J318" s="3"/>
      <c r="N318" s="5"/>
    </row>
    <row r="319" ht="15.75" customHeight="1">
      <c r="E319" s="2"/>
      <c r="J319" s="3"/>
      <c r="N319" s="5"/>
    </row>
    <row r="320" ht="15.75" customHeight="1">
      <c r="E320" s="2"/>
      <c r="J320" s="3"/>
      <c r="N320" s="5"/>
    </row>
    <row r="321" ht="15.75" customHeight="1">
      <c r="E321" s="2"/>
      <c r="J321" s="3"/>
      <c r="N321" s="5"/>
    </row>
    <row r="322" ht="15.75" customHeight="1">
      <c r="E322" s="2"/>
      <c r="J322" s="3"/>
      <c r="N322" s="5"/>
    </row>
    <row r="323" ht="15.75" customHeight="1">
      <c r="E323" s="2"/>
      <c r="J323" s="3"/>
      <c r="N323" s="5"/>
    </row>
    <row r="324" ht="15.75" customHeight="1">
      <c r="E324" s="2"/>
      <c r="J324" s="3"/>
      <c r="N324" s="5"/>
    </row>
    <row r="325" ht="15.75" customHeight="1">
      <c r="E325" s="2"/>
      <c r="J325" s="3"/>
      <c r="N325" s="5"/>
    </row>
    <row r="326" ht="15.75" customHeight="1">
      <c r="E326" s="2"/>
      <c r="J326" s="3"/>
      <c r="N326" s="5"/>
    </row>
    <row r="327" ht="15.75" customHeight="1">
      <c r="E327" s="2"/>
      <c r="J327" s="3"/>
      <c r="N327" s="5"/>
    </row>
    <row r="328" ht="15.75" customHeight="1">
      <c r="E328" s="2"/>
      <c r="J328" s="3"/>
      <c r="N328" s="5"/>
    </row>
    <row r="329" ht="15.75" customHeight="1">
      <c r="E329" s="2"/>
      <c r="J329" s="3"/>
      <c r="N329" s="5"/>
    </row>
    <row r="330" ht="15.75" customHeight="1">
      <c r="E330" s="2"/>
      <c r="J330" s="3"/>
      <c r="N330" s="5"/>
    </row>
    <row r="331" ht="15.75" customHeight="1">
      <c r="E331" s="2"/>
      <c r="J331" s="3"/>
      <c r="N331" s="5"/>
    </row>
    <row r="332" ht="15.75" customHeight="1">
      <c r="E332" s="2"/>
      <c r="J332" s="3"/>
      <c r="N332" s="5"/>
    </row>
    <row r="333" ht="15.75" customHeight="1">
      <c r="E333" s="2"/>
      <c r="J333" s="3"/>
      <c r="N333" s="5"/>
    </row>
    <row r="334" ht="15.75" customHeight="1">
      <c r="E334" s="2"/>
      <c r="J334" s="3"/>
      <c r="N334" s="5"/>
    </row>
    <row r="335" ht="15.75" customHeight="1">
      <c r="E335" s="2"/>
      <c r="J335" s="3"/>
      <c r="N335" s="5"/>
    </row>
    <row r="336" ht="15.75" customHeight="1">
      <c r="E336" s="2"/>
      <c r="J336" s="3"/>
      <c r="N336" s="5"/>
    </row>
    <row r="337" ht="15.75" customHeight="1">
      <c r="E337" s="2"/>
      <c r="J337" s="3"/>
      <c r="N337" s="5"/>
    </row>
    <row r="338" ht="15.75" customHeight="1">
      <c r="E338" s="2"/>
      <c r="J338" s="3"/>
      <c r="N338" s="5"/>
    </row>
    <row r="339" ht="15.75" customHeight="1">
      <c r="E339" s="2"/>
      <c r="J339" s="3"/>
      <c r="N339" s="5"/>
    </row>
    <row r="340" ht="15.75" customHeight="1">
      <c r="E340" s="2"/>
      <c r="J340" s="3"/>
      <c r="N340" s="5"/>
    </row>
    <row r="341" ht="15.75" customHeight="1">
      <c r="E341" s="2"/>
      <c r="J341" s="3"/>
      <c r="N341" s="5"/>
    </row>
    <row r="342" ht="15.75" customHeight="1">
      <c r="E342" s="2"/>
      <c r="J342" s="3"/>
      <c r="N342" s="5"/>
    </row>
    <row r="343" ht="15.75" customHeight="1">
      <c r="E343" s="2"/>
      <c r="J343" s="3"/>
      <c r="N343" s="5"/>
    </row>
    <row r="344" ht="15.75" customHeight="1">
      <c r="E344" s="2"/>
      <c r="J344" s="3"/>
      <c r="N344" s="5"/>
    </row>
    <row r="345" ht="15.75" customHeight="1">
      <c r="E345" s="2"/>
      <c r="J345" s="3"/>
      <c r="N345" s="5"/>
    </row>
    <row r="346" ht="15.75" customHeight="1">
      <c r="E346" s="2"/>
      <c r="J346" s="3"/>
      <c r="N346" s="5"/>
    </row>
    <row r="347" ht="15.75" customHeight="1">
      <c r="E347" s="2"/>
      <c r="J347" s="3"/>
      <c r="N347" s="5"/>
    </row>
    <row r="348" ht="15.75" customHeight="1">
      <c r="E348" s="2"/>
      <c r="J348" s="3"/>
      <c r="N348" s="5"/>
    </row>
    <row r="349" ht="15.75" customHeight="1">
      <c r="E349" s="2"/>
      <c r="J349" s="3"/>
      <c r="N349" s="5"/>
    </row>
    <row r="350" ht="15.75" customHeight="1">
      <c r="E350" s="2"/>
      <c r="J350" s="3"/>
      <c r="N350" s="5"/>
    </row>
    <row r="351" ht="15.75" customHeight="1">
      <c r="E351" s="2"/>
      <c r="J351" s="3"/>
      <c r="N351" s="5"/>
    </row>
    <row r="352" ht="15.75" customHeight="1">
      <c r="E352" s="2"/>
      <c r="J352" s="3"/>
      <c r="N352" s="5"/>
    </row>
    <row r="353" ht="15.75" customHeight="1">
      <c r="E353" s="2"/>
      <c r="J353" s="3"/>
      <c r="N353" s="5"/>
    </row>
    <row r="354" ht="15.75" customHeight="1">
      <c r="E354" s="2"/>
      <c r="J354" s="3"/>
      <c r="N354" s="5"/>
    </row>
    <row r="355" ht="15.75" customHeight="1">
      <c r="E355" s="2"/>
      <c r="J355" s="3"/>
      <c r="N355" s="5"/>
    </row>
    <row r="356" ht="15.75" customHeight="1">
      <c r="E356" s="2"/>
      <c r="J356" s="3"/>
      <c r="N356" s="5"/>
    </row>
    <row r="357" ht="15.75" customHeight="1">
      <c r="E357" s="2"/>
      <c r="J357" s="3"/>
      <c r="N357" s="5"/>
    </row>
    <row r="358" ht="15.75" customHeight="1">
      <c r="E358" s="2"/>
      <c r="J358" s="3"/>
      <c r="N358" s="5"/>
    </row>
    <row r="359" ht="15.75" customHeight="1">
      <c r="E359" s="2"/>
      <c r="J359" s="3"/>
      <c r="N359" s="5"/>
    </row>
    <row r="360" ht="15.75" customHeight="1">
      <c r="E360" s="2"/>
      <c r="J360" s="3"/>
      <c r="N360" s="5"/>
    </row>
    <row r="361" ht="15.75" customHeight="1">
      <c r="E361" s="2"/>
      <c r="J361" s="3"/>
      <c r="N361" s="5"/>
    </row>
    <row r="362" ht="15.75" customHeight="1">
      <c r="E362" s="2"/>
      <c r="J362" s="3"/>
      <c r="N362" s="5"/>
    </row>
    <row r="363" ht="15.75" customHeight="1">
      <c r="E363" s="2"/>
      <c r="J363" s="3"/>
      <c r="N363" s="5"/>
    </row>
    <row r="364" ht="15.75" customHeight="1">
      <c r="E364" s="2"/>
      <c r="J364" s="3"/>
      <c r="N364" s="5"/>
    </row>
    <row r="365" ht="15.75" customHeight="1">
      <c r="E365" s="2"/>
      <c r="J365" s="3"/>
      <c r="N365" s="5"/>
    </row>
    <row r="366" ht="15.75" customHeight="1">
      <c r="E366" s="2"/>
      <c r="J366" s="3"/>
      <c r="N366" s="5"/>
    </row>
    <row r="367" ht="15.75" customHeight="1">
      <c r="E367" s="2"/>
      <c r="J367" s="3"/>
      <c r="N367" s="5"/>
    </row>
    <row r="368" ht="15.75" customHeight="1">
      <c r="E368" s="2"/>
      <c r="J368" s="3"/>
      <c r="N368" s="5"/>
    </row>
    <row r="369" ht="15.75" customHeight="1">
      <c r="E369" s="2"/>
      <c r="J369" s="3"/>
      <c r="N369" s="5"/>
    </row>
    <row r="370" ht="15.75" customHeight="1">
      <c r="E370" s="2"/>
      <c r="J370" s="3"/>
      <c r="N370" s="5"/>
    </row>
    <row r="371" ht="15.75" customHeight="1">
      <c r="E371" s="2"/>
      <c r="J371" s="3"/>
      <c r="N371" s="5"/>
    </row>
    <row r="372" ht="15.75" customHeight="1">
      <c r="E372" s="2"/>
      <c r="J372" s="3"/>
      <c r="N372" s="5"/>
    </row>
    <row r="373" ht="15.75" customHeight="1">
      <c r="E373" s="2"/>
      <c r="J373" s="3"/>
      <c r="N373" s="5"/>
    </row>
    <row r="374" ht="15.75" customHeight="1">
      <c r="E374" s="2"/>
      <c r="J374" s="3"/>
      <c r="N374" s="5"/>
    </row>
    <row r="375" ht="15.75" customHeight="1">
      <c r="E375" s="2"/>
      <c r="J375" s="3"/>
      <c r="N375" s="5"/>
    </row>
    <row r="376" ht="15.75" customHeight="1">
      <c r="E376" s="2"/>
      <c r="J376" s="3"/>
      <c r="N376" s="5"/>
    </row>
    <row r="377" ht="15.75" customHeight="1">
      <c r="E377" s="2"/>
      <c r="J377" s="3"/>
      <c r="N377" s="5"/>
    </row>
    <row r="378" ht="15.75" customHeight="1">
      <c r="E378" s="2"/>
      <c r="J378" s="3"/>
      <c r="N378" s="5"/>
    </row>
    <row r="379" ht="15.75" customHeight="1">
      <c r="E379" s="2"/>
      <c r="J379" s="3"/>
      <c r="N379" s="5"/>
    </row>
    <row r="380" ht="15.75" customHeight="1">
      <c r="E380" s="2"/>
      <c r="J380" s="3"/>
      <c r="N380" s="5"/>
    </row>
    <row r="381" ht="15.75" customHeight="1">
      <c r="E381" s="2"/>
      <c r="J381" s="3"/>
      <c r="N381" s="5"/>
    </row>
    <row r="382" ht="15.75" customHeight="1">
      <c r="E382" s="2"/>
      <c r="J382" s="3"/>
      <c r="N382" s="5"/>
    </row>
    <row r="383" ht="15.75" customHeight="1">
      <c r="E383" s="2"/>
      <c r="J383" s="3"/>
      <c r="N383" s="5"/>
    </row>
    <row r="384" ht="15.75" customHeight="1">
      <c r="E384" s="2"/>
      <c r="J384" s="3"/>
      <c r="N384" s="5"/>
    </row>
    <row r="385" ht="15.75" customHeight="1">
      <c r="E385" s="2"/>
      <c r="J385" s="3"/>
      <c r="N385" s="5"/>
    </row>
    <row r="386" ht="15.75" customHeight="1">
      <c r="E386" s="2"/>
      <c r="J386" s="3"/>
      <c r="N386" s="5"/>
    </row>
    <row r="387" ht="15.75" customHeight="1">
      <c r="E387" s="2"/>
      <c r="J387" s="3"/>
      <c r="N387" s="5"/>
    </row>
    <row r="388" ht="15.75" customHeight="1">
      <c r="E388" s="2"/>
      <c r="J388" s="3"/>
      <c r="N388" s="5"/>
    </row>
    <row r="389" ht="15.75" customHeight="1">
      <c r="E389" s="2"/>
      <c r="J389" s="3"/>
      <c r="N389" s="5"/>
    </row>
    <row r="390" ht="15.75" customHeight="1">
      <c r="E390" s="2"/>
      <c r="J390" s="3"/>
      <c r="N390" s="5"/>
    </row>
    <row r="391" ht="15.75" customHeight="1">
      <c r="E391" s="2"/>
      <c r="J391" s="3"/>
      <c r="N391" s="5"/>
    </row>
    <row r="392" ht="15.75" customHeight="1">
      <c r="E392" s="2"/>
      <c r="J392" s="3"/>
      <c r="N392" s="5"/>
    </row>
    <row r="393" ht="15.75" customHeight="1">
      <c r="E393" s="2"/>
      <c r="J393" s="3"/>
      <c r="N393" s="5"/>
    </row>
    <row r="394" ht="15.75" customHeight="1">
      <c r="E394" s="2"/>
      <c r="J394" s="3"/>
      <c r="N394" s="5"/>
    </row>
    <row r="395" ht="15.75" customHeight="1">
      <c r="E395" s="2"/>
      <c r="J395" s="3"/>
      <c r="N395" s="5"/>
    </row>
    <row r="396" ht="15.75" customHeight="1">
      <c r="E396" s="2"/>
      <c r="J396" s="3"/>
      <c r="N396" s="5"/>
    </row>
    <row r="397" ht="15.75" customHeight="1">
      <c r="E397" s="2"/>
      <c r="J397" s="3"/>
      <c r="N397" s="5"/>
    </row>
    <row r="398" ht="15.75" customHeight="1">
      <c r="E398" s="2"/>
      <c r="J398" s="3"/>
      <c r="N398" s="5"/>
    </row>
    <row r="399" ht="15.75" customHeight="1">
      <c r="E399" s="2"/>
      <c r="J399" s="3"/>
      <c r="N399" s="5"/>
    </row>
    <row r="400" ht="15.75" customHeight="1">
      <c r="E400" s="2"/>
      <c r="J400" s="3"/>
      <c r="N400" s="5"/>
    </row>
    <row r="401" ht="15.75" customHeight="1">
      <c r="E401" s="2"/>
      <c r="J401" s="3"/>
      <c r="N401" s="5"/>
    </row>
    <row r="402" ht="15.75" customHeight="1">
      <c r="E402" s="2"/>
      <c r="J402" s="3"/>
      <c r="N402" s="5"/>
    </row>
    <row r="403" ht="15.75" customHeight="1">
      <c r="E403" s="2"/>
      <c r="J403" s="3"/>
      <c r="N403" s="5"/>
    </row>
    <row r="404" ht="15.75" customHeight="1">
      <c r="E404" s="2"/>
      <c r="J404" s="3"/>
      <c r="N404" s="5"/>
    </row>
    <row r="405" ht="15.75" customHeight="1">
      <c r="E405" s="2"/>
      <c r="J405" s="3"/>
      <c r="N405" s="5"/>
    </row>
    <row r="406" ht="15.75" customHeight="1">
      <c r="E406" s="2"/>
      <c r="J406" s="3"/>
      <c r="N406" s="5"/>
    </row>
    <row r="407" ht="15.75" customHeight="1">
      <c r="E407" s="2"/>
      <c r="J407" s="3"/>
      <c r="N407" s="5"/>
    </row>
    <row r="408" ht="15.75" customHeight="1">
      <c r="E408" s="2"/>
      <c r="J408" s="3"/>
      <c r="N408" s="5"/>
    </row>
    <row r="409" ht="15.75" customHeight="1">
      <c r="E409" s="2"/>
      <c r="J409" s="3"/>
      <c r="N409" s="5"/>
    </row>
    <row r="410" ht="15.75" customHeight="1">
      <c r="E410" s="2"/>
      <c r="J410" s="3"/>
      <c r="N410" s="5"/>
    </row>
    <row r="411" ht="15.75" customHeight="1">
      <c r="E411" s="2"/>
      <c r="J411" s="3"/>
      <c r="N411" s="5"/>
    </row>
    <row r="412" ht="15.75" customHeight="1">
      <c r="E412" s="2"/>
      <c r="J412" s="3"/>
      <c r="N412" s="5"/>
    </row>
    <row r="413" ht="15.75" customHeight="1">
      <c r="E413" s="2"/>
      <c r="J413" s="3"/>
      <c r="N413" s="5"/>
    </row>
    <row r="414" ht="15.75" customHeight="1">
      <c r="E414" s="2"/>
      <c r="J414" s="3"/>
      <c r="N414" s="5"/>
    </row>
    <row r="415" ht="15.75" customHeight="1">
      <c r="E415" s="2"/>
      <c r="J415" s="3"/>
      <c r="N415" s="5"/>
    </row>
    <row r="416" ht="15.75" customHeight="1">
      <c r="E416" s="2"/>
      <c r="J416" s="3"/>
      <c r="N416" s="5"/>
    </row>
    <row r="417" ht="15.75" customHeight="1">
      <c r="E417" s="2"/>
      <c r="J417" s="3"/>
      <c r="N417" s="5"/>
    </row>
    <row r="418" ht="15.75" customHeight="1">
      <c r="E418" s="2"/>
      <c r="J418" s="3"/>
      <c r="N418" s="5"/>
    </row>
    <row r="419" ht="15.75" customHeight="1">
      <c r="E419" s="2"/>
      <c r="J419" s="3"/>
      <c r="N419" s="5"/>
    </row>
    <row r="420" ht="15.75" customHeight="1">
      <c r="E420" s="2"/>
      <c r="J420" s="3"/>
      <c r="N420" s="5"/>
    </row>
    <row r="421" ht="15.75" customHeight="1">
      <c r="E421" s="2"/>
      <c r="J421" s="3"/>
      <c r="N421" s="5"/>
    </row>
    <row r="422" ht="15.75" customHeight="1">
      <c r="E422" s="2"/>
      <c r="J422" s="3"/>
      <c r="N422" s="5"/>
    </row>
    <row r="423" ht="15.75" customHeight="1">
      <c r="E423" s="2"/>
      <c r="J423" s="3"/>
      <c r="N423" s="5"/>
    </row>
    <row r="424" ht="15.75" customHeight="1">
      <c r="E424" s="2"/>
      <c r="J424" s="3"/>
      <c r="N424" s="5"/>
    </row>
    <row r="425" ht="15.75" customHeight="1">
      <c r="E425" s="2"/>
      <c r="J425" s="3"/>
      <c r="N425" s="5"/>
    </row>
    <row r="426" ht="15.75" customHeight="1">
      <c r="E426" s="2"/>
      <c r="J426" s="3"/>
      <c r="N426" s="5"/>
    </row>
    <row r="427" ht="15.75" customHeight="1">
      <c r="E427" s="2"/>
      <c r="J427" s="3"/>
      <c r="N427" s="5"/>
    </row>
    <row r="428" ht="15.75" customHeight="1">
      <c r="E428" s="2"/>
      <c r="J428" s="3"/>
      <c r="N428" s="5"/>
    </row>
    <row r="429" ht="15.75" customHeight="1">
      <c r="E429" s="2"/>
      <c r="J429" s="3"/>
      <c r="N429" s="5"/>
    </row>
    <row r="430" ht="15.75" customHeight="1">
      <c r="E430" s="2"/>
      <c r="J430" s="3"/>
      <c r="N430" s="5"/>
    </row>
    <row r="431" ht="15.75" customHeight="1">
      <c r="E431" s="2"/>
      <c r="J431" s="3"/>
      <c r="N431" s="5"/>
    </row>
    <row r="432" ht="15.75" customHeight="1">
      <c r="E432" s="2"/>
      <c r="J432" s="3"/>
      <c r="N432" s="5"/>
    </row>
    <row r="433" ht="15.75" customHeight="1">
      <c r="E433" s="2"/>
      <c r="J433" s="3"/>
      <c r="N433" s="5"/>
    </row>
    <row r="434" ht="15.75" customHeight="1">
      <c r="E434" s="2"/>
      <c r="J434" s="3"/>
      <c r="N434" s="5"/>
    </row>
    <row r="435" ht="15.75" customHeight="1">
      <c r="E435" s="2"/>
      <c r="J435" s="3"/>
      <c r="N435" s="5"/>
    </row>
    <row r="436" ht="15.75" customHeight="1">
      <c r="E436" s="2"/>
      <c r="J436" s="3"/>
      <c r="N436" s="5"/>
    </row>
    <row r="437" ht="15.75" customHeight="1">
      <c r="E437" s="2"/>
      <c r="J437" s="3"/>
      <c r="N437" s="5"/>
    </row>
    <row r="438" ht="15.75" customHeight="1">
      <c r="E438" s="2"/>
      <c r="J438" s="3"/>
      <c r="N438" s="5"/>
    </row>
    <row r="439" ht="15.75" customHeight="1">
      <c r="E439" s="2"/>
      <c r="J439" s="3"/>
      <c r="N439" s="5"/>
    </row>
    <row r="440" ht="15.75" customHeight="1">
      <c r="E440" s="2"/>
      <c r="J440" s="3"/>
      <c r="N440" s="5"/>
    </row>
    <row r="441" ht="15.75" customHeight="1">
      <c r="E441" s="2"/>
      <c r="J441" s="3"/>
      <c r="N441" s="5"/>
    </row>
    <row r="442" ht="15.75" customHeight="1">
      <c r="E442" s="2"/>
      <c r="J442" s="3"/>
      <c r="N442" s="5"/>
    </row>
    <row r="443" ht="15.75" customHeight="1">
      <c r="E443" s="2"/>
      <c r="J443" s="3"/>
      <c r="N443" s="5"/>
    </row>
    <row r="444" ht="15.75" customHeight="1">
      <c r="E444" s="2"/>
      <c r="J444" s="3"/>
      <c r="N444" s="5"/>
    </row>
    <row r="445" ht="15.75" customHeight="1">
      <c r="E445" s="2"/>
      <c r="J445" s="3"/>
      <c r="N445" s="5"/>
    </row>
    <row r="446" ht="15.75" customHeight="1">
      <c r="E446" s="2"/>
      <c r="J446" s="3"/>
      <c r="N446" s="5"/>
    </row>
    <row r="447" ht="15.75" customHeight="1">
      <c r="E447" s="2"/>
      <c r="J447" s="3"/>
      <c r="N447" s="5"/>
    </row>
    <row r="448" ht="15.75" customHeight="1">
      <c r="E448" s="2"/>
      <c r="J448" s="3"/>
      <c r="N448" s="5"/>
    </row>
    <row r="449" ht="15.75" customHeight="1">
      <c r="E449" s="2"/>
      <c r="J449" s="3"/>
      <c r="N449" s="5"/>
    </row>
    <row r="450" ht="15.75" customHeight="1">
      <c r="E450" s="2"/>
      <c r="J450" s="3"/>
      <c r="N450" s="5"/>
    </row>
    <row r="451" ht="15.75" customHeight="1">
      <c r="E451" s="2"/>
      <c r="J451" s="3"/>
      <c r="N451" s="5"/>
    </row>
    <row r="452" ht="15.75" customHeight="1">
      <c r="E452" s="2"/>
      <c r="J452" s="3"/>
      <c r="N452" s="5"/>
    </row>
    <row r="453" ht="15.75" customHeight="1">
      <c r="E453" s="2"/>
      <c r="J453" s="3"/>
      <c r="N453" s="5"/>
    </row>
    <row r="454" ht="15.75" customHeight="1">
      <c r="E454" s="2"/>
      <c r="J454" s="3"/>
      <c r="N454" s="5"/>
    </row>
    <row r="455" ht="15.75" customHeight="1">
      <c r="E455" s="2"/>
      <c r="J455" s="3"/>
      <c r="N455" s="5"/>
    </row>
    <row r="456" ht="15.75" customHeight="1">
      <c r="E456" s="2"/>
      <c r="J456" s="3"/>
      <c r="N456" s="5"/>
    </row>
    <row r="457" ht="15.75" customHeight="1">
      <c r="E457" s="2"/>
      <c r="J457" s="3"/>
      <c r="N457" s="5"/>
    </row>
    <row r="458" ht="15.75" customHeight="1">
      <c r="E458" s="2"/>
      <c r="J458" s="3"/>
      <c r="N458" s="5"/>
    </row>
    <row r="459" ht="15.75" customHeight="1">
      <c r="E459" s="2"/>
      <c r="J459" s="3"/>
      <c r="N459" s="5"/>
    </row>
    <row r="460" ht="15.75" customHeight="1">
      <c r="E460" s="2"/>
      <c r="J460" s="3"/>
      <c r="N460" s="5"/>
    </row>
    <row r="461" ht="15.75" customHeight="1">
      <c r="E461" s="2"/>
      <c r="J461" s="3"/>
      <c r="N461" s="5"/>
    </row>
    <row r="462" ht="15.75" customHeight="1">
      <c r="E462" s="2"/>
      <c r="J462" s="3"/>
      <c r="N462" s="5"/>
    </row>
    <row r="463" ht="15.75" customHeight="1">
      <c r="E463" s="2"/>
      <c r="J463" s="3"/>
      <c r="N463" s="5"/>
    </row>
    <row r="464" ht="15.75" customHeight="1">
      <c r="E464" s="2"/>
      <c r="J464" s="3"/>
      <c r="N464" s="5"/>
    </row>
    <row r="465" ht="15.75" customHeight="1">
      <c r="E465" s="2"/>
      <c r="J465" s="3"/>
      <c r="N465" s="5"/>
    </row>
    <row r="466" ht="15.75" customHeight="1">
      <c r="E466" s="2"/>
      <c r="J466" s="3"/>
      <c r="N466" s="5"/>
    </row>
    <row r="467" ht="15.75" customHeight="1">
      <c r="E467" s="2"/>
      <c r="J467" s="3"/>
      <c r="N467" s="5"/>
    </row>
    <row r="468" ht="15.75" customHeight="1">
      <c r="E468" s="2"/>
      <c r="J468" s="3"/>
      <c r="N468" s="5"/>
    </row>
    <row r="469" ht="15.75" customHeight="1">
      <c r="E469" s="2"/>
      <c r="J469" s="3"/>
      <c r="N469" s="5"/>
    </row>
    <row r="470" ht="15.75" customHeight="1">
      <c r="E470" s="2"/>
      <c r="J470" s="3"/>
      <c r="N470" s="5"/>
    </row>
    <row r="471" ht="15.75" customHeight="1">
      <c r="E471" s="2"/>
      <c r="J471" s="3"/>
      <c r="N471" s="5"/>
    </row>
    <row r="472" ht="15.75" customHeight="1">
      <c r="E472" s="2"/>
      <c r="J472" s="3"/>
      <c r="N472" s="5"/>
    </row>
    <row r="473" ht="15.75" customHeight="1">
      <c r="E473" s="2"/>
      <c r="J473" s="3"/>
      <c r="N473" s="5"/>
    </row>
    <row r="474" ht="15.75" customHeight="1">
      <c r="E474" s="2"/>
      <c r="J474" s="3"/>
      <c r="N474" s="5"/>
    </row>
    <row r="475" ht="15.75" customHeight="1">
      <c r="E475" s="2"/>
      <c r="J475" s="3"/>
      <c r="N475" s="5"/>
    </row>
    <row r="476" ht="15.75" customHeight="1">
      <c r="E476" s="2"/>
      <c r="J476" s="3"/>
      <c r="N476" s="5"/>
    </row>
    <row r="477" ht="15.75" customHeight="1">
      <c r="E477" s="2"/>
      <c r="J477" s="3"/>
      <c r="N477" s="5"/>
    </row>
    <row r="478" ht="15.75" customHeight="1">
      <c r="E478" s="2"/>
      <c r="J478" s="3"/>
      <c r="N478" s="5"/>
    </row>
    <row r="479" ht="15.75" customHeight="1">
      <c r="E479" s="2"/>
      <c r="J479" s="3"/>
      <c r="N479" s="5"/>
    </row>
    <row r="480" ht="15.75" customHeight="1">
      <c r="E480" s="2"/>
      <c r="J480" s="3"/>
      <c r="N480" s="5"/>
    </row>
    <row r="481" ht="15.75" customHeight="1">
      <c r="E481" s="2"/>
      <c r="J481" s="3"/>
      <c r="N481" s="5"/>
    </row>
    <row r="482" ht="15.75" customHeight="1">
      <c r="E482" s="2"/>
      <c r="J482" s="3"/>
      <c r="N482" s="5"/>
    </row>
    <row r="483" ht="15.75" customHeight="1">
      <c r="E483" s="2"/>
      <c r="J483" s="3"/>
      <c r="N483" s="5"/>
    </row>
    <row r="484" ht="15.75" customHeight="1">
      <c r="E484" s="2"/>
      <c r="J484" s="3"/>
      <c r="N484" s="5"/>
    </row>
    <row r="485" ht="15.75" customHeight="1">
      <c r="E485" s="2"/>
      <c r="J485" s="3"/>
      <c r="N485" s="5"/>
    </row>
    <row r="486" ht="15.75" customHeight="1">
      <c r="E486" s="2"/>
      <c r="J486" s="3"/>
      <c r="N486" s="5"/>
    </row>
    <row r="487" ht="15.75" customHeight="1">
      <c r="E487" s="2"/>
      <c r="J487" s="3"/>
      <c r="N487" s="5"/>
    </row>
    <row r="488" ht="15.75" customHeight="1">
      <c r="E488" s="2"/>
      <c r="J488" s="3"/>
      <c r="N488" s="5"/>
    </row>
    <row r="489" ht="15.75" customHeight="1">
      <c r="E489" s="2"/>
      <c r="J489" s="3"/>
      <c r="N489" s="5"/>
    </row>
    <row r="490" ht="15.75" customHeight="1">
      <c r="E490" s="2"/>
      <c r="J490" s="3"/>
      <c r="N490" s="5"/>
    </row>
    <row r="491" ht="15.75" customHeight="1">
      <c r="E491" s="2"/>
      <c r="J491" s="3"/>
      <c r="N491" s="5"/>
    </row>
    <row r="492" ht="15.75" customHeight="1">
      <c r="E492" s="2"/>
      <c r="J492" s="3"/>
      <c r="N492" s="5"/>
    </row>
    <row r="493" ht="15.75" customHeight="1">
      <c r="E493" s="2"/>
      <c r="J493" s="3"/>
      <c r="N493" s="5"/>
    </row>
    <row r="494" ht="15.75" customHeight="1">
      <c r="E494" s="2"/>
      <c r="J494" s="3"/>
      <c r="N494" s="5"/>
    </row>
    <row r="495" ht="15.75" customHeight="1">
      <c r="E495" s="2"/>
      <c r="J495" s="3"/>
      <c r="N495" s="5"/>
    </row>
    <row r="496" ht="15.75" customHeight="1">
      <c r="E496" s="2"/>
      <c r="J496" s="3"/>
      <c r="N496" s="5"/>
    </row>
    <row r="497" ht="15.75" customHeight="1">
      <c r="E497" s="2"/>
      <c r="J497" s="3"/>
      <c r="N497" s="5"/>
    </row>
    <row r="498" ht="15.75" customHeight="1">
      <c r="E498" s="2"/>
      <c r="J498" s="3"/>
      <c r="N498" s="5"/>
    </row>
    <row r="499" ht="15.75" customHeight="1">
      <c r="E499" s="2"/>
      <c r="J499" s="3"/>
      <c r="N499" s="5"/>
    </row>
    <row r="500" ht="15.75" customHeight="1">
      <c r="E500" s="2"/>
      <c r="J500" s="3"/>
      <c r="N500" s="5"/>
    </row>
    <row r="501" ht="15.75" customHeight="1">
      <c r="E501" s="2"/>
      <c r="J501" s="3"/>
      <c r="N501" s="5"/>
    </row>
    <row r="502" ht="15.75" customHeight="1">
      <c r="E502" s="2"/>
      <c r="J502" s="3"/>
      <c r="N502" s="5"/>
    </row>
    <row r="503" ht="15.75" customHeight="1">
      <c r="E503" s="2"/>
      <c r="J503" s="3"/>
      <c r="N503" s="5"/>
    </row>
    <row r="504" ht="15.75" customHeight="1">
      <c r="E504" s="2"/>
      <c r="J504" s="3"/>
      <c r="N504" s="5"/>
    </row>
    <row r="505" ht="15.75" customHeight="1">
      <c r="E505" s="2"/>
      <c r="J505" s="3"/>
      <c r="N505" s="5"/>
    </row>
    <row r="506" ht="15.75" customHeight="1">
      <c r="E506" s="2"/>
      <c r="J506" s="3"/>
      <c r="N506" s="5"/>
    </row>
    <row r="507" ht="15.75" customHeight="1">
      <c r="E507" s="2"/>
      <c r="J507" s="3"/>
      <c r="N507" s="5"/>
    </row>
    <row r="508" ht="15.75" customHeight="1">
      <c r="E508" s="2"/>
      <c r="J508" s="3"/>
      <c r="N508" s="5"/>
    </row>
    <row r="509" ht="15.75" customHeight="1">
      <c r="E509" s="2"/>
      <c r="J509" s="3"/>
      <c r="N509" s="5"/>
    </row>
    <row r="510" ht="15.75" customHeight="1">
      <c r="E510" s="2"/>
      <c r="J510" s="3"/>
      <c r="N510" s="5"/>
    </row>
    <row r="511" ht="15.75" customHeight="1">
      <c r="E511" s="2"/>
      <c r="J511" s="3"/>
      <c r="N511" s="5"/>
    </row>
    <row r="512" ht="15.75" customHeight="1">
      <c r="E512" s="2"/>
      <c r="J512" s="3"/>
      <c r="N512" s="5"/>
    </row>
    <row r="513" ht="15.75" customHeight="1">
      <c r="E513" s="2"/>
      <c r="J513" s="3"/>
      <c r="N513" s="5"/>
    </row>
    <row r="514" ht="15.75" customHeight="1">
      <c r="E514" s="2"/>
      <c r="J514" s="3"/>
      <c r="N514" s="5"/>
    </row>
    <row r="515" ht="15.75" customHeight="1">
      <c r="E515" s="2"/>
      <c r="J515" s="3"/>
      <c r="N515" s="5"/>
    </row>
    <row r="516" ht="15.75" customHeight="1">
      <c r="E516" s="2"/>
      <c r="J516" s="3"/>
      <c r="N516" s="5"/>
    </row>
    <row r="517" ht="15.75" customHeight="1">
      <c r="E517" s="2"/>
      <c r="J517" s="3"/>
      <c r="N517" s="5"/>
    </row>
    <row r="518" ht="15.75" customHeight="1">
      <c r="E518" s="2"/>
      <c r="J518" s="3"/>
      <c r="N518" s="5"/>
    </row>
    <row r="519" ht="15.75" customHeight="1">
      <c r="E519" s="2"/>
      <c r="J519" s="3"/>
      <c r="N519" s="5"/>
    </row>
    <row r="520" ht="15.75" customHeight="1">
      <c r="E520" s="2"/>
      <c r="J520" s="3"/>
      <c r="N520" s="5"/>
    </row>
    <row r="521" ht="15.75" customHeight="1">
      <c r="E521" s="2"/>
      <c r="J521" s="3"/>
      <c r="N521" s="5"/>
    </row>
    <row r="522" ht="15.75" customHeight="1">
      <c r="E522" s="2"/>
      <c r="J522" s="3"/>
      <c r="N522" s="5"/>
    </row>
    <row r="523" ht="15.75" customHeight="1">
      <c r="E523" s="2"/>
      <c r="J523" s="3"/>
      <c r="N523" s="5"/>
    </row>
    <row r="524" ht="15.75" customHeight="1">
      <c r="E524" s="2"/>
      <c r="J524" s="3"/>
      <c r="N524" s="5"/>
    </row>
    <row r="525" ht="15.75" customHeight="1">
      <c r="E525" s="2"/>
      <c r="J525" s="3"/>
      <c r="N525" s="5"/>
    </row>
    <row r="526" ht="15.75" customHeight="1">
      <c r="E526" s="2"/>
      <c r="J526" s="3"/>
      <c r="N526" s="5"/>
    </row>
    <row r="527" ht="15.75" customHeight="1">
      <c r="E527" s="2"/>
      <c r="J527" s="3"/>
      <c r="N527" s="5"/>
    </row>
    <row r="528" ht="15.75" customHeight="1">
      <c r="E528" s="2"/>
      <c r="J528" s="3"/>
      <c r="N528" s="5"/>
    </row>
    <row r="529" ht="15.75" customHeight="1">
      <c r="E529" s="2"/>
      <c r="J529" s="3"/>
      <c r="N529" s="5"/>
    </row>
    <row r="530" ht="15.75" customHeight="1">
      <c r="E530" s="2"/>
      <c r="J530" s="3"/>
      <c r="N530" s="5"/>
    </row>
    <row r="531" ht="15.75" customHeight="1">
      <c r="E531" s="2"/>
      <c r="J531" s="3"/>
      <c r="N531" s="5"/>
    </row>
    <row r="532" ht="15.75" customHeight="1">
      <c r="E532" s="2"/>
      <c r="J532" s="3"/>
      <c r="N532" s="5"/>
    </row>
    <row r="533" ht="15.75" customHeight="1">
      <c r="E533" s="2"/>
      <c r="J533" s="3"/>
      <c r="N533" s="5"/>
    </row>
    <row r="534" ht="15.75" customHeight="1">
      <c r="E534" s="2"/>
      <c r="J534" s="3"/>
      <c r="N534" s="5"/>
    </row>
    <row r="535" ht="15.75" customHeight="1">
      <c r="E535" s="2"/>
      <c r="J535" s="3"/>
      <c r="N535" s="5"/>
    </row>
    <row r="536" ht="15.75" customHeight="1">
      <c r="E536" s="2"/>
      <c r="J536" s="3"/>
      <c r="N536" s="5"/>
    </row>
    <row r="537" ht="15.75" customHeight="1">
      <c r="E537" s="2"/>
      <c r="J537" s="3"/>
      <c r="N537" s="5"/>
    </row>
    <row r="538" ht="15.75" customHeight="1">
      <c r="E538" s="2"/>
      <c r="J538" s="3"/>
      <c r="N538" s="5"/>
    </row>
    <row r="539" ht="15.75" customHeight="1">
      <c r="E539" s="2"/>
      <c r="J539" s="3"/>
      <c r="N539" s="5"/>
    </row>
    <row r="540" ht="15.75" customHeight="1">
      <c r="E540" s="2"/>
      <c r="J540" s="3"/>
      <c r="N540" s="5"/>
    </row>
    <row r="541" ht="15.75" customHeight="1">
      <c r="E541" s="2"/>
      <c r="J541" s="3"/>
      <c r="N541" s="5"/>
    </row>
    <row r="542" ht="15.75" customHeight="1">
      <c r="E542" s="2"/>
      <c r="J542" s="3"/>
      <c r="N542" s="5"/>
    </row>
    <row r="543" ht="15.75" customHeight="1">
      <c r="E543" s="2"/>
      <c r="J543" s="3"/>
      <c r="N543" s="5"/>
    </row>
    <row r="544" ht="15.75" customHeight="1">
      <c r="E544" s="2"/>
      <c r="J544" s="3"/>
      <c r="N544" s="5"/>
    </row>
    <row r="545" ht="15.75" customHeight="1">
      <c r="E545" s="2"/>
      <c r="J545" s="3"/>
      <c r="N545" s="5"/>
    </row>
    <row r="546" ht="15.75" customHeight="1">
      <c r="E546" s="2"/>
      <c r="J546" s="3"/>
      <c r="N546" s="5"/>
    </row>
    <row r="547" ht="15.75" customHeight="1">
      <c r="E547" s="2"/>
      <c r="J547" s="3"/>
      <c r="N547" s="5"/>
    </row>
    <row r="548" ht="15.75" customHeight="1">
      <c r="E548" s="2"/>
      <c r="J548" s="3"/>
      <c r="N548" s="5"/>
    </row>
    <row r="549" ht="15.75" customHeight="1">
      <c r="E549" s="2"/>
      <c r="J549" s="3"/>
      <c r="N549" s="5"/>
    </row>
    <row r="550" ht="15.75" customHeight="1">
      <c r="E550" s="2"/>
      <c r="J550" s="3"/>
      <c r="N550" s="5"/>
    </row>
    <row r="551" ht="15.75" customHeight="1">
      <c r="E551" s="2"/>
      <c r="J551" s="3"/>
      <c r="N551" s="5"/>
    </row>
    <row r="552" ht="15.75" customHeight="1">
      <c r="E552" s="2"/>
      <c r="J552" s="3"/>
      <c r="N552" s="5"/>
    </row>
    <row r="553" ht="15.75" customHeight="1">
      <c r="E553" s="2"/>
      <c r="J553" s="3"/>
      <c r="N553" s="5"/>
    </row>
    <row r="554" ht="15.75" customHeight="1">
      <c r="E554" s="2"/>
      <c r="J554" s="3"/>
      <c r="N554" s="5"/>
    </row>
    <row r="555" ht="15.75" customHeight="1">
      <c r="E555" s="2"/>
      <c r="J555" s="3"/>
      <c r="N555" s="5"/>
    </row>
    <row r="556" ht="15.75" customHeight="1">
      <c r="E556" s="2"/>
      <c r="J556" s="3"/>
      <c r="N556" s="5"/>
    </row>
    <row r="557" ht="15.75" customHeight="1">
      <c r="E557" s="2"/>
      <c r="J557" s="3"/>
      <c r="N557" s="5"/>
    </row>
    <row r="558" ht="15.75" customHeight="1">
      <c r="E558" s="2"/>
      <c r="J558" s="3"/>
      <c r="N558" s="5"/>
    </row>
    <row r="559" ht="15.75" customHeight="1">
      <c r="E559" s="2"/>
      <c r="J559" s="3"/>
      <c r="N559" s="5"/>
    </row>
    <row r="560" ht="15.75" customHeight="1">
      <c r="E560" s="2"/>
      <c r="J560" s="3"/>
      <c r="N560" s="5"/>
    </row>
    <row r="561" ht="15.75" customHeight="1">
      <c r="E561" s="2"/>
      <c r="J561" s="3"/>
      <c r="N561" s="5"/>
    </row>
    <row r="562" ht="15.75" customHeight="1">
      <c r="E562" s="2"/>
      <c r="J562" s="3"/>
      <c r="N562" s="5"/>
    </row>
    <row r="563" ht="15.75" customHeight="1">
      <c r="E563" s="2"/>
      <c r="J563" s="3"/>
      <c r="N563" s="5"/>
    </row>
    <row r="564" ht="15.75" customHeight="1">
      <c r="E564" s="2"/>
      <c r="J564" s="3"/>
      <c r="N564" s="5"/>
    </row>
    <row r="565" ht="15.75" customHeight="1">
      <c r="E565" s="2"/>
      <c r="J565" s="3"/>
      <c r="N565" s="5"/>
    </row>
    <row r="566" ht="15.75" customHeight="1">
      <c r="E566" s="2"/>
      <c r="J566" s="3"/>
      <c r="N566" s="5"/>
    </row>
    <row r="567" ht="15.75" customHeight="1">
      <c r="E567" s="2"/>
      <c r="J567" s="3"/>
      <c r="N567" s="5"/>
    </row>
    <row r="568" ht="15.75" customHeight="1">
      <c r="E568" s="2"/>
      <c r="J568" s="3"/>
      <c r="N568" s="5"/>
    </row>
    <row r="569" ht="15.75" customHeight="1">
      <c r="E569" s="2"/>
      <c r="J569" s="3"/>
      <c r="N569" s="5"/>
    </row>
    <row r="570" ht="15.75" customHeight="1">
      <c r="E570" s="2"/>
      <c r="J570" s="3"/>
      <c r="N570" s="5"/>
    </row>
    <row r="571" ht="15.75" customHeight="1">
      <c r="E571" s="2"/>
      <c r="J571" s="3"/>
      <c r="N571" s="5"/>
    </row>
    <row r="572" ht="15.75" customHeight="1">
      <c r="E572" s="2"/>
      <c r="J572" s="3"/>
      <c r="N572" s="5"/>
    </row>
    <row r="573" ht="15.75" customHeight="1">
      <c r="E573" s="2"/>
      <c r="J573" s="3"/>
      <c r="N573" s="5"/>
    </row>
    <row r="574" ht="15.75" customHeight="1">
      <c r="E574" s="2"/>
      <c r="J574" s="3"/>
      <c r="N574" s="5"/>
    </row>
    <row r="575" ht="15.75" customHeight="1">
      <c r="E575" s="2"/>
      <c r="J575" s="3"/>
      <c r="N575" s="5"/>
    </row>
    <row r="576" ht="15.75" customHeight="1">
      <c r="E576" s="2"/>
      <c r="J576" s="3"/>
      <c r="N576" s="5"/>
    </row>
    <row r="577" ht="15.75" customHeight="1">
      <c r="E577" s="2"/>
      <c r="J577" s="3"/>
      <c r="N577" s="5"/>
    </row>
    <row r="578" ht="15.75" customHeight="1">
      <c r="E578" s="2"/>
      <c r="J578" s="3"/>
      <c r="N578" s="5"/>
    </row>
    <row r="579" ht="15.75" customHeight="1">
      <c r="E579" s="2"/>
      <c r="J579" s="3"/>
      <c r="N579" s="5"/>
    </row>
    <row r="580" ht="15.75" customHeight="1">
      <c r="E580" s="2"/>
      <c r="J580" s="3"/>
      <c r="N580" s="5"/>
    </row>
    <row r="581" ht="15.75" customHeight="1">
      <c r="E581" s="2"/>
      <c r="J581" s="3"/>
      <c r="N581" s="5"/>
    </row>
    <row r="582" ht="15.75" customHeight="1">
      <c r="E582" s="2"/>
      <c r="J582" s="3"/>
      <c r="N582" s="5"/>
    </row>
    <row r="583" ht="15.75" customHeight="1">
      <c r="E583" s="2"/>
      <c r="J583" s="3"/>
      <c r="N583" s="5"/>
    </row>
    <row r="584" ht="15.75" customHeight="1">
      <c r="E584" s="2"/>
      <c r="J584" s="3"/>
      <c r="N584" s="5"/>
    </row>
    <row r="585" ht="15.75" customHeight="1">
      <c r="E585" s="2"/>
      <c r="J585" s="3"/>
      <c r="N585" s="5"/>
    </row>
    <row r="586" ht="15.75" customHeight="1">
      <c r="E586" s="2"/>
      <c r="J586" s="3"/>
      <c r="N586" s="5"/>
    </row>
    <row r="587" ht="15.75" customHeight="1">
      <c r="E587" s="2"/>
      <c r="J587" s="3"/>
      <c r="N587" s="5"/>
    </row>
    <row r="588" ht="15.75" customHeight="1">
      <c r="E588" s="2"/>
      <c r="J588" s="3"/>
      <c r="N588" s="5"/>
    </row>
    <row r="589" ht="15.75" customHeight="1">
      <c r="E589" s="2"/>
      <c r="J589" s="3"/>
      <c r="N589" s="5"/>
    </row>
    <row r="590" ht="15.75" customHeight="1">
      <c r="E590" s="2"/>
      <c r="J590" s="3"/>
      <c r="N590" s="5"/>
    </row>
    <row r="591" ht="15.75" customHeight="1">
      <c r="E591" s="2"/>
      <c r="J591" s="3"/>
      <c r="N591" s="5"/>
    </row>
    <row r="592" ht="15.75" customHeight="1">
      <c r="E592" s="2"/>
      <c r="J592" s="3"/>
      <c r="N592" s="5"/>
    </row>
    <row r="593" ht="15.75" customHeight="1">
      <c r="E593" s="2"/>
      <c r="J593" s="3"/>
      <c r="N593" s="5"/>
    </row>
    <row r="594" ht="15.75" customHeight="1">
      <c r="E594" s="2"/>
      <c r="J594" s="3"/>
      <c r="N594" s="5"/>
    </row>
    <row r="595" ht="15.75" customHeight="1">
      <c r="E595" s="2"/>
      <c r="J595" s="3"/>
      <c r="N595" s="5"/>
    </row>
    <row r="596" ht="15.75" customHeight="1">
      <c r="E596" s="2"/>
      <c r="J596" s="3"/>
      <c r="N596" s="5"/>
    </row>
    <row r="597" ht="15.75" customHeight="1">
      <c r="E597" s="2"/>
      <c r="J597" s="3"/>
      <c r="N597" s="5"/>
    </row>
    <row r="598" ht="15.75" customHeight="1">
      <c r="E598" s="2"/>
      <c r="J598" s="3"/>
      <c r="N598" s="5"/>
    </row>
    <row r="599" ht="15.75" customHeight="1">
      <c r="E599" s="2"/>
      <c r="J599" s="3"/>
      <c r="N599" s="5"/>
    </row>
    <row r="600" ht="15.75" customHeight="1">
      <c r="E600" s="2"/>
      <c r="J600" s="3"/>
      <c r="N600" s="5"/>
    </row>
    <row r="601" ht="15.75" customHeight="1">
      <c r="E601" s="2"/>
      <c r="J601" s="3"/>
      <c r="N601" s="5"/>
    </row>
    <row r="602" ht="15.75" customHeight="1">
      <c r="E602" s="2"/>
      <c r="J602" s="3"/>
      <c r="N602" s="5"/>
    </row>
    <row r="603" ht="15.75" customHeight="1">
      <c r="E603" s="2"/>
      <c r="J603" s="3"/>
      <c r="N603" s="5"/>
    </row>
    <row r="604" ht="15.75" customHeight="1">
      <c r="E604" s="2"/>
      <c r="J604" s="3"/>
      <c r="N604" s="5"/>
    </row>
    <row r="605" ht="15.75" customHeight="1">
      <c r="E605" s="2"/>
      <c r="J605" s="3"/>
      <c r="N605" s="5"/>
    </row>
    <row r="606" ht="15.75" customHeight="1">
      <c r="E606" s="2"/>
      <c r="J606" s="3"/>
      <c r="N606" s="5"/>
    </row>
    <row r="607" ht="15.75" customHeight="1">
      <c r="E607" s="2"/>
      <c r="J607" s="3"/>
      <c r="N607" s="5"/>
    </row>
    <row r="608" ht="15.75" customHeight="1">
      <c r="E608" s="2"/>
      <c r="J608" s="3"/>
      <c r="N608" s="5"/>
    </row>
    <row r="609" ht="15.75" customHeight="1">
      <c r="E609" s="2"/>
      <c r="J609" s="3"/>
      <c r="N609" s="5"/>
    </row>
    <row r="610" ht="15.75" customHeight="1">
      <c r="E610" s="2"/>
      <c r="J610" s="3"/>
      <c r="N610" s="5"/>
    </row>
    <row r="611" ht="15.75" customHeight="1">
      <c r="E611" s="2"/>
      <c r="J611" s="3"/>
      <c r="N611" s="5"/>
    </row>
    <row r="612" ht="15.75" customHeight="1">
      <c r="E612" s="2"/>
      <c r="J612" s="3"/>
      <c r="N612" s="5"/>
    </row>
    <row r="613" ht="15.75" customHeight="1">
      <c r="E613" s="2"/>
      <c r="J613" s="3"/>
      <c r="N613" s="5"/>
    </row>
    <row r="614" ht="15.75" customHeight="1">
      <c r="E614" s="2"/>
      <c r="J614" s="3"/>
      <c r="N614" s="5"/>
    </row>
    <row r="615" ht="15.75" customHeight="1">
      <c r="E615" s="2"/>
      <c r="J615" s="3"/>
      <c r="N615" s="5"/>
    </row>
    <row r="616" ht="15.75" customHeight="1">
      <c r="E616" s="2"/>
      <c r="J616" s="3"/>
      <c r="N616" s="5"/>
    </row>
    <row r="617" ht="15.75" customHeight="1">
      <c r="E617" s="2"/>
      <c r="J617" s="3"/>
      <c r="N617" s="5"/>
    </row>
    <row r="618" ht="15.75" customHeight="1">
      <c r="E618" s="2"/>
      <c r="J618" s="3"/>
      <c r="N618" s="5"/>
    </row>
    <row r="619" ht="15.75" customHeight="1">
      <c r="E619" s="2"/>
      <c r="J619" s="3"/>
      <c r="N619" s="5"/>
    </row>
    <row r="620" ht="15.75" customHeight="1">
      <c r="E620" s="2"/>
      <c r="J620" s="3"/>
      <c r="N620" s="5"/>
    </row>
    <row r="621" ht="15.75" customHeight="1">
      <c r="E621" s="2"/>
      <c r="J621" s="3"/>
      <c r="N621" s="5"/>
    </row>
    <row r="622" ht="15.75" customHeight="1">
      <c r="E622" s="2"/>
      <c r="J622" s="3"/>
      <c r="N622" s="5"/>
    </row>
    <row r="623" ht="15.75" customHeight="1">
      <c r="E623" s="2"/>
      <c r="J623" s="3"/>
      <c r="N623" s="5"/>
    </row>
    <row r="624" ht="15.75" customHeight="1">
      <c r="E624" s="2"/>
      <c r="J624" s="3"/>
      <c r="N624" s="5"/>
    </row>
    <row r="625" ht="15.75" customHeight="1">
      <c r="E625" s="2"/>
      <c r="J625" s="3"/>
      <c r="N625" s="5"/>
    </row>
    <row r="626" ht="15.75" customHeight="1">
      <c r="E626" s="2"/>
      <c r="J626" s="3"/>
      <c r="N626" s="5"/>
    </row>
    <row r="627" ht="15.75" customHeight="1">
      <c r="E627" s="2"/>
      <c r="J627" s="3"/>
      <c r="N627" s="5"/>
    </row>
    <row r="628" ht="15.75" customHeight="1">
      <c r="E628" s="2"/>
      <c r="J628" s="3"/>
      <c r="N628" s="5"/>
    </row>
    <row r="629" ht="15.75" customHeight="1">
      <c r="E629" s="2"/>
      <c r="J629" s="3"/>
      <c r="N629" s="5"/>
    </row>
    <row r="630" ht="15.75" customHeight="1">
      <c r="E630" s="2"/>
      <c r="J630" s="3"/>
      <c r="N630" s="5"/>
    </row>
    <row r="631" ht="15.75" customHeight="1">
      <c r="E631" s="2"/>
      <c r="J631" s="3"/>
      <c r="N631" s="5"/>
    </row>
    <row r="632" ht="15.75" customHeight="1">
      <c r="E632" s="2"/>
      <c r="J632" s="3"/>
      <c r="N632" s="5"/>
    </row>
    <row r="633" ht="15.75" customHeight="1">
      <c r="E633" s="2"/>
      <c r="J633" s="3"/>
      <c r="N633" s="5"/>
    </row>
    <row r="634" ht="15.75" customHeight="1">
      <c r="E634" s="2"/>
      <c r="J634" s="3"/>
      <c r="N634" s="5"/>
    </row>
    <row r="635" ht="15.75" customHeight="1">
      <c r="E635" s="2"/>
      <c r="J635" s="3"/>
      <c r="N635" s="5"/>
    </row>
    <row r="636" ht="15.75" customHeight="1">
      <c r="E636" s="2"/>
      <c r="J636" s="3"/>
      <c r="N636" s="5"/>
    </row>
    <row r="637" ht="15.75" customHeight="1">
      <c r="E637" s="2"/>
      <c r="J637" s="3"/>
      <c r="N637" s="5"/>
    </row>
    <row r="638" ht="15.75" customHeight="1">
      <c r="E638" s="2"/>
      <c r="J638" s="3"/>
      <c r="N638" s="5"/>
    </row>
    <row r="639" ht="15.75" customHeight="1">
      <c r="E639" s="2"/>
      <c r="J639" s="3"/>
      <c r="N639" s="5"/>
    </row>
    <row r="640" ht="15.75" customHeight="1">
      <c r="E640" s="2"/>
      <c r="J640" s="3"/>
      <c r="N640" s="5"/>
    </row>
    <row r="641" ht="15.75" customHeight="1">
      <c r="E641" s="2"/>
      <c r="J641" s="3"/>
      <c r="N641" s="5"/>
    </row>
    <row r="642" ht="15.75" customHeight="1">
      <c r="E642" s="2"/>
      <c r="J642" s="3"/>
      <c r="N642" s="5"/>
    </row>
    <row r="643" ht="15.75" customHeight="1">
      <c r="E643" s="2"/>
      <c r="J643" s="3"/>
      <c r="N643" s="5"/>
    </row>
    <row r="644" ht="15.75" customHeight="1">
      <c r="E644" s="2"/>
      <c r="J644" s="3"/>
      <c r="N644" s="5"/>
    </row>
    <row r="645" ht="15.75" customHeight="1">
      <c r="E645" s="2"/>
      <c r="J645" s="3"/>
      <c r="N645" s="5"/>
    </row>
    <row r="646" ht="15.75" customHeight="1">
      <c r="E646" s="2"/>
      <c r="J646" s="3"/>
      <c r="N646" s="5"/>
    </row>
    <row r="647" ht="15.75" customHeight="1">
      <c r="E647" s="2"/>
      <c r="J647" s="3"/>
      <c r="N647" s="5"/>
    </row>
    <row r="648" ht="15.75" customHeight="1">
      <c r="E648" s="2"/>
      <c r="J648" s="3"/>
      <c r="N648" s="5"/>
    </row>
    <row r="649" ht="15.75" customHeight="1">
      <c r="E649" s="2"/>
      <c r="J649" s="3"/>
      <c r="N649" s="5"/>
    </row>
    <row r="650" ht="15.75" customHeight="1">
      <c r="E650" s="2"/>
      <c r="J650" s="3"/>
      <c r="N650" s="5"/>
    </row>
    <row r="651" ht="15.75" customHeight="1">
      <c r="E651" s="2"/>
      <c r="J651" s="3"/>
      <c r="N651" s="5"/>
    </row>
    <row r="652" ht="15.75" customHeight="1">
      <c r="E652" s="2"/>
      <c r="J652" s="3"/>
      <c r="N652" s="5"/>
    </row>
    <row r="653" ht="15.75" customHeight="1">
      <c r="E653" s="2"/>
      <c r="J653" s="3"/>
      <c r="N653" s="5"/>
    </row>
    <row r="654" ht="15.75" customHeight="1">
      <c r="E654" s="2"/>
      <c r="J654" s="3"/>
      <c r="N654" s="5"/>
    </row>
    <row r="655" ht="15.75" customHeight="1">
      <c r="E655" s="2"/>
      <c r="J655" s="3"/>
      <c r="N655" s="5"/>
    </row>
    <row r="656" ht="15.75" customHeight="1">
      <c r="E656" s="2"/>
      <c r="J656" s="3"/>
      <c r="N656" s="5"/>
    </row>
    <row r="657" ht="15.75" customHeight="1">
      <c r="E657" s="2"/>
      <c r="J657" s="3"/>
      <c r="N657" s="5"/>
    </row>
    <row r="658" ht="15.75" customHeight="1">
      <c r="E658" s="2"/>
      <c r="J658" s="3"/>
      <c r="N658" s="5"/>
    </row>
    <row r="659" ht="15.75" customHeight="1">
      <c r="E659" s="2"/>
      <c r="J659" s="3"/>
      <c r="N659" s="5"/>
    </row>
    <row r="660" ht="15.75" customHeight="1">
      <c r="E660" s="2"/>
      <c r="J660" s="3"/>
      <c r="N660" s="5"/>
    </row>
    <row r="661" ht="15.75" customHeight="1">
      <c r="E661" s="2"/>
      <c r="J661" s="3"/>
      <c r="N661" s="5"/>
    </row>
    <row r="662" ht="15.75" customHeight="1">
      <c r="E662" s="2"/>
      <c r="J662" s="3"/>
      <c r="N662" s="5"/>
    </row>
    <row r="663" ht="15.75" customHeight="1">
      <c r="E663" s="2"/>
      <c r="J663" s="3"/>
      <c r="N663" s="5"/>
    </row>
    <row r="664" ht="15.75" customHeight="1">
      <c r="E664" s="2"/>
      <c r="J664" s="3"/>
      <c r="N664" s="5"/>
    </row>
    <row r="665" ht="15.75" customHeight="1">
      <c r="E665" s="2"/>
      <c r="J665" s="3"/>
      <c r="N665" s="5"/>
    </row>
    <row r="666" ht="15.75" customHeight="1">
      <c r="E666" s="2"/>
      <c r="J666" s="3"/>
      <c r="N666" s="5"/>
    </row>
    <row r="667" ht="15.75" customHeight="1">
      <c r="E667" s="2"/>
      <c r="J667" s="3"/>
      <c r="N667" s="5"/>
    </row>
    <row r="668" ht="15.75" customHeight="1">
      <c r="E668" s="2"/>
      <c r="J668" s="3"/>
      <c r="N668" s="5"/>
    </row>
    <row r="669" ht="15.75" customHeight="1">
      <c r="E669" s="2"/>
      <c r="J669" s="3"/>
      <c r="N669" s="5"/>
    </row>
    <row r="670" ht="15.75" customHeight="1">
      <c r="E670" s="2"/>
      <c r="J670" s="3"/>
      <c r="N670" s="5"/>
    </row>
    <row r="671" ht="15.75" customHeight="1">
      <c r="E671" s="2"/>
      <c r="J671" s="3"/>
      <c r="N671" s="5"/>
    </row>
    <row r="672" ht="15.75" customHeight="1">
      <c r="E672" s="2"/>
      <c r="J672" s="3"/>
      <c r="N672" s="5"/>
    </row>
    <row r="673" ht="15.75" customHeight="1">
      <c r="E673" s="2"/>
      <c r="J673" s="3"/>
      <c r="N673" s="5"/>
    </row>
    <row r="674" ht="15.75" customHeight="1">
      <c r="E674" s="2"/>
      <c r="J674" s="3"/>
      <c r="N674" s="5"/>
    </row>
    <row r="675" ht="15.75" customHeight="1">
      <c r="E675" s="2"/>
      <c r="J675" s="3"/>
      <c r="N675" s="5"/>
    </row>
    <row r="676" ht="15.75" customHeight="1">
      <c r="E676" s="2"/>
      <c r="J676" s="3"/>
      <c r="N676" s="5"/>
    </row>
    <row r="677" ht="15.75" customHeight="1">
      <c r="E677" s="2"/>
      <c r="J677" s="3"/>
      <c r="N677" s="5"/>
    </row>
    <row r="678" ht="15.75" customHeight="1">
      <c r="E678" s="2"/>
      <c r="J678" s="3"/>
      <c r="N678" s="5"/>
    </row>
    <row r="679" ht="15.75" customHeight="1">
      <c r="E679" s="2"/>
      <c r="J679" s="3"/>
      <c r="N679" s="5"/>
    </row>
    <row r="680" ht="15.75" customHeight="1">
      <c r="E680" s="2"/>
      <c r="J680" s="3"/>
      <c r="N680" s="5"/>
    </row>
    <row r="681" ht="15.75" customHeight="1">
      <c r="E681" s="2"/>
      <c r="J681" s="3"/>
      <c r="N681" s="5"/>
    </row>
    <row r="682" ht="15.75" customHeight="1">
      <c r="E682" s="2"/>
      <c r="J682" s="3"/>
      <c r="N682" s="5"/>
    </row>
    <row r="683" ht="15.75" customHeight="1">
      <c r="E683" s="2"/>
      <c r="J683" s="3"/>
      <c r="N683" s="5"/>
    </row>
    <row r="684" ht="15.75" customHeight="1">
      <c r="E684" s="2"/>
      <c r="J684" s="3"/>
      <c r="N684" s="5"/>
    </row>
    <row r="685" ht="15.75" customHeight="1">
      <c r="E685" s="2"/>
      <c r="J685" s="3"/>
      <c r="N685" s="5"/>
    </row>
    <row r="686" ht="15.75" customHeight="1">
      <c r="E686" s="2"/>
      <c r="J686" s="3"/>
      <c r="N686" s="5"/>
    </row>
    <row r="687" ht="15.75" customHeight="1">
      <c r="E687" s="2"/>
      <c r="J687" s="3"/>
      <c r="N687" s="5"/>
    </row>
    <row r="688" ht="15.75" customHeight="1">
      <c r="E688" s="2"/>
      <c r="J688" s="3"/>
      <c r="N688" s="5"/>
    </row>
    <row r="689" ht="15.75" customHeight="1">
      <c r="E689" s="2"/>
      <c r="J689" s="3"/>
      <c r="N689" s="5"/>
    </row>
    <row r="690" ht="15.75" customHeight="1">
      <c r="E690" s="2"/>
      <c r="J690" s="3"/>
      <c r="N690" s="5"/>
    </row>
    <row r="691" ht="15.75" customHeight="1">
      <c r="E691" s="2"/>
      <c r="J691" s="3"/>
      <c r="N691" s="5"/>
    </row>
    <row r="692" ht="15.75" customHeight="1">
      <c r="E692" s="2"/>
      <c r="J692" s="3"/>
      <c r="N692" s="5"/>
    </row>
    <row r="693" ht="15.75" customHeight="1">
      <c r="E693" s="2"/>
      <c r="J693" s="3"/>
      <c r="N693" s="5"/>
    </row>
    <row r="694" ht="15.75" customHeight="1">
      <c r="E694" s="2"/>
      <c r="J694" s="3"/>
      <c r="N694" s="5"/>
    </row>
    <row r="695" ht="15.75" customHeight="1">
      <c r="E695" s="2"/>
      <c r="J695" s="3"/>
      <c r="N695" s="5"/>
    </row>
    <row r="696" ht="15.75" customHeight="1">
      <c r="E696" s="2"/>
      <c r="J696" s="3"/>
      <c r="N696" s="5"/>
    </row>
    <row r="697" ht="15.75" customHeight="1">
      <c r="E697" s="2"/>
      <c r="J697" s="3"/>
      <c r="N697" s="5"/>
    </row>
    <row r="698" ht="15.75" customHeight="1">
      <c r="E698" s="2"/>
      <c r="J698" s="3"/>
      <c r="N698" s="5"/>
    </row>
    <row r="699" ht="15.75" customHeight="1">
      <c r="E699" s="2"/>
      <c r="J699" s="3"/>
      <c r="N699" s="5"/>
    </row>
    <row r="700" ht="15.75" customHeight="1">
      <c r="E700" s="2"/>
      <c r="J700" s="3"/>
      <c r="N700" s="5"/>
    </row>
    <row r="701" ht="15.75" customHeight="1">
      <c r="E701" s="2"/>
      <c r="J701" s="3"/>
      <c r="N701" s="5"/>
    </row>
    <row r="702" ht="15.75" customHeight="1">
      <c r="E702" s="2"/>
      <c r="J702" s="3"/>
      <c r="N702" s="5"/>
    </row>
    <row r="703" ht="15.75" customHeight="1">
      <c r="E703" s="2"/>
      <c r="J703" s="3"/>
      <c r="N703" s="5"/>
    </row>
    <row r="704" ht="15.75" customHeight="1">
      <c r="E704" s="2"/>
      <c r="J704" s="3"/>
      <c r="N704" s="5"/>
    </row>
    <row r="705" ht="15.75" customHeight="1">
      <c r="E705" s="2"/>
      <c r="J705" s="3"/>
      <c r="N705" s="5"/>
    </row>
    <row r="706" ht="15.75" customHeight="1">
      <c r="E706" s="2"/>
      <c r="J706" s="3"/>
      <c r="N706" s="5"/>
    </row>
    <row r="707" ht="15.75" customHeight="1">
      <c r="E707" s="2"/>
      <c r="J707" s="3"/>
      <c r="N707" s="5"/>
    </row>
    <row r="708" ht="15.75" customHeight="1">
      <c r="E708" s="2"/>
      <c r="J708" s="3"/>
      <c r="N708" s="5"/>
    </row>
    <row r="709" ht="15.75" customHeight="1">
      <c r="E709" s="2"/>
      <c r="J709" s="3"/>
      <c r="N709" s="5"/>
    </row>
    <row r="710" ht="15.75" customHeight="1">
      <c r="E710" s="2"/>
      <c r="J710" s="3"/>
      <c r="N710" s="5"/>
    </row>
    <row r="711" ht="15.75" customHeight="1">
      <c r="E711" s="2"/>
      <c r="J711" s="3"/>
      <c r="N711" s="5"/>
    </row>
    <row r="712" ht="15.75" customHeight="1">
      <c r="E712" s="2"/>
      <c r="J712" s="3"/>
      <c r="N712" s="5"/>
    </row>
    <row r="713" ht="15.75" customHeight="1">
      <c r="E713" s="2"/>
      <c r="J713" s="3"/>
      <c r="N713" s="5"/>
    </row>
    <row r="714" ht="15.75" customHeight="1">
      <c r="E714" s="2"/>
      <c r="J714" s="3"/>
      <c r="N714" s="5"/>
    </row>
    <row r="715" ht="15.75" customHeight="1">
      <c r="E715" s="2"/>
      <c r="J715" s="3"/>
      <c r="N715" s="5"/>
    </row>
    <row r="716" ht="15.75" customHeight="1">
      <c r="E716" s="2"/>
      <c r="J716" s="3"/>
      <c r="N716" s="5"/>
    </row>
    <row r="717" ht="15.75" customHeight="1">
      <c r="E717" s="2"/>
      <c r="J717" s="3"/>
      <c r="N717" s="5"/>
    </row>
    <row r="718" ht="15.75" customHeight="1">
      <c r="E718" s="2"/>
      <c r="J718" s="3"/>
      <c r="N718" s="5"/>
    </row>
    <row r="719" ht="15.75" customHeight="1">
      <c r="E719" s="2"/>
      <c r="J719" s="3"/>
      <c r="N719" s="5"/>
    </row>
    <row r="720" ht="15.75" customHeight="1">
      <c r="E720" s="2"/>
      <c r="J720" s="3"/>
      <c r="N720" s="5"/>
    </row>
    <row r="721" ht="15.75" customHeight="1">
      <c r="E721" s="2"/>
      <c r="J721" s="3"/>
      <c r="N721" s="5"/>
    </row>
    <row r="722" ht="15.75" customHeight="1">
      <c r="E722" s="2"/>
      <c r="J722" s="3"/>
      <c r="N722" s="5"/>
    </row>
    <row r="723" ht="15.75" customHeight="1">
      <c r="E723" s="2"/>
      <c r="J723" s="3"/>
      <c r="N723" s="5"/>
    </row>
    <row r="724" ht="15.75" customHeight="1">
      <c r="E724" s="2"/>
      <c r="J724" s="3"/>
      <c r="N724" s="5"/>
    </row>
    <row r="725" ht="15.75" customHeight="1">
      <c r="E725" s="2"/>
      <c r="J725" s="3"/>
      <c r="N725" s="5"/>
    </row>
    <row r="726" ht="15.75" customHeight="1">
      <c r="E726" s="2"/>
      <c r="J726" s="3"/>
      <c r="N726" s="5"/>
    </row>
    <row r="727" ht="15.75" customHeight="1">
      <c r="E727" s="2"/>
      <c r="J727" s="3"/>
      <c r="N727" s="5"/>
    </row>
    <row r="728" ht="15.75" customHeight="1">
      <c r="E728" s="2"/>
      <c r="J728" s="3"/>
      <c r="N728" s="5"/>
    </row>
    <row r="729" ht="15.75" customHeight="1">
      <c r="E729" s="2"/>
      <c r="J729" s="3"/>
      <c r="N729" s="5"/>
    </row>
    <row r="730" ht="15.75" customHeight="1">
      <c r="E730" s="2"/>
      <c r="J730" s="3"/>
      <c r="N730" s="5"/>
    </row>
    <row r="731" ht="15.75" customHeight="1">
      <c r="E731" s="2"/>
      <c r="J731" s="3"/>
      <c r="N731" s="5"/>
    </row>
    <row r="732" ht="15.75" customHeight="1">
      <c r="E732" s="2"/>
      <c r="J732" s="3"/>
      <c r="N732" s="5"/>
    </row>
    <row r="733" ht="15.75" customHeight="1">
      <c r="E733" s="2"/>
      <c r="J733" s="3"/>
      <c r="N733" s="5"/>
    </row>
    <row r="734" ht="15.75" customHeight="1">
      <c r="E734" s="2"/>
      <c r="J734" s="3"/>
      <c r="N734" s="5"/>
    </row>
    <row r="735" ht="15.75" customHeight="1">
      <c r="E735" s="2"/>
      <c r="J735" s="3"/>
      <c r="N735" s="5"/>
    </row>
    <row r="736" ht="15.75" customHeight="1">
      <c r="E736" s="2"/>
      <c r="J736" s="3"/>
      <c r="N736" s="5"/>
    </row>
    <row r="737" ht="15.75" customHeight="1">
      <c r="E737" s="2"/>
      <c r="J737" s="3"/>
      <c r="N737" s="5"/>
    </row>
    <row r="738" ht="15.75" customHeight="1">
      <c r="E738" s="2"/>
      <c r="J738" s="3"/>
      <c r="N738" s="5"/>
    </row>
    <row r="739" ht="15.75" customHeight="1">
      <c r="E739" s="2"/>
      <c r="J739" s="3"/>
      <c r="N739" s="5"/>
    </row>
    <row r="740" ht="15.75" customHeight="1">
      <c r="E740" s="2"/>
      <c r="J740" s="3"/>
      <c r="N740" s="5"/>
    </row>
    <row r="741" ht="15.75" customHeight="1">
      <c r="E741" s="2"/>
      <c r="J741" s="3"/>
      <c r="N741" s="5"/>
    </row>
    <row r="742" ht="15.75" customHeight="1">
      <c r="E742" s="2"/>
      <c r="J742" s="3"/>
      <c r="N742" s="5"/>
    </row>
    <row r="743" ht="15.75" customHeight="1">
      <c r="E743" s="2"/>
      <c r="J743" s="3"/>
      <c r="N743" s="5"/>
    </row>
    <row r="744" ht="15.75" customHeight="1">
      <c r="E744" s="2"/>
      <c r="J744" s="3"/>
      <c r="N744" s="5"/>
    </row>
    <row r="745" ht="15.75" customHeight="1">
      <c r="E745" s="2"/>
      <c r="J745" s="3"/>
      <c r="N745" s="5"/>
    </row>
    <row r="746" ht="15.75" customHeight="1">
      <c r="E746" s="2"/>
      <c r="J746" s="3"/>
      <c r="N746" s="5"/>
    </row>
    <row r="747" ht="15.75" customHeight="1">
      <c r="E747" s="2"/>
      <c r="J747" s="3"/>
      <c r="N747" s="5"/>
    </row>
    <row r="748" ht="15.75" customHeight="1">
      <c r="E748" s="2"/>
      <c r="J748" s="3"/>
      <c r="N748" s="5"/>
    </row>
    <row r="749" ht="15.75" customHeight="1">
      <c r="E749" s="2"/>
      <c r="J749" s="3"/>
      <c r="N749" s="5"/>
    </row>
    <row r="750" ht="15.75" customHeight="1">
      <c r="E750" s="2"/>
      <c r="J750" s="3"/>
      <c r="N750" s="5"/>
    </row>
    <row r="751" ht="15.75" customHeight="1">
      <c r="E751" s="2"/>
      <c r="J751" s="3"/>
      <c r="N751" s="5"/>
    </row>
    <row r="752" ht="15.75" customHeight="1">
      <c r="E752" s="2"/>
      <c r="J752" s="3"/>
      <c r="N752" s="5"/>
    </row>
    <row r="753" ht="15.75" customHeight="1">
      <c r="E753" s="2"/>
      <c r="J753" s="3"/>
      <c r="N753" s="5"/>
    </row>
    <row r="754" ht="15.75" customHeight="1">
      <c r="E754" s="2"/>
      <c r="J754" s="3"/>
      <c r="N754" s="5"/>
    </row>
    <row r="755" ht="15.75" customHeight="1">
      <c r="E755" s="2"/>
      <c r="J755" s="3"/>
      <c r="N755" s="5"/>
    </row>
    <row r="756" ht="15.75" customHeight="1">
      <c r="E756" s="2"/>
      <c r="J756" s="3"/>
      <c r="N756" s="5"/>
    </row>
    <row r="757" ht="15.75" customHeight="1">
      <c r="E757" s="2"/>
      <c r="J757" s="3"/>
      <c r="N757" s="5"/>
    </row>
    <row r="758" ht="15.75" customHeight="1">
      <c r="E758" s="2"/>
      <c r="J758" s="3"/>
      <c r="N758" s="5"/>
    </row>
    <row r="759" ht="15.75" customHeight="1">
      <c r="E759" s="2"/>
      <c r="J759" s="3"/>
      <c r="N759" s="5"/>
    </row>
    <row r="760" ht="15.75" customHeight="1">
      <c r="E760" s="2"/>
      <c r="J760" s="3"/>
      <c r="N760" s="5"/>
    </row>
    <row r="761" ht="15.75" customHeight="1">
      <c r="E761" s="2"/>
      <c r="J761" s="3"/>
      <c r="N761" s="5"/>
    </row>
    <row r="762" ht="15.75" customHeight="1">
      <c r="E762" s="2"/>
      <c r="J762" s="3"/>
      <c r="N762" s="5"/>
    </row>
    <row r="763" ht="15.75" customHeight="1">
      <c r="E763" s="2"/>
      <c r="J763" s="3"/>
      <c r="N763" s="5"/>
    </row>
    <row r="764" ht="15.75" customHeight="1">
      <c r="E764" s="2"/>
      <c r="J764" s="3"/>
      <c r="N764" s="5"/>
    </row>
    <row r="765" ht="15.75" customHeight="1">
      <c r="E765" s="2"/>
      <c r="J765" s="3"/>
      <c r="N765" s="5"/>
    </row>
    <row r="766" ht="15.75" customHeight="1">
      <c r="E766" s="2"/>
      <c r="J766" s="3"/>
      <c r="N766" s="5"/>
    </row>
    <row r="767" ht="15.75" customHeight="1">
      <c r="E767" s="2"/>
      <c r="J767" s="3"/>
      <c r="N767" s="5"/>
    </row>
    <row r="768" ht="15.75" customHeight="1">
      <c r="E768" s="2"/>
      <c r="J768" s="3"/>
      <c r="N768" s="5"/>
    </row>
    <row r="769" ht="15.75" customHeight="1">
      <c r="E769" s="2"/>
      <c r="J769" s="3"/>
      <c r="N769" s="5"/>
    </row>
    <row r="770" ht="15.75" customHeight="1">
      <c r="E770" s="2"/>
      <c r="J770" s="3"/>
      <c r="N770" s="5"/>
    </row>
    <row r="771" ht="15.75" customHeight="1">
      <c r="E771" s="2"/>
      <c r="J771" s="3"/>
      <c r="N771" s="5"/>
    </row>
    <row r="772" ht="15.75" customHeight="1">
      <c r="E772" s="2"/>
      <c r="J772" s="3"/>
      <c r="N772" s="5"/>
    </row>
    <row r="773" ht="15.75" customHeight="1">
      <c r="E773" s="2"/>
      <c r="J773" s="3"/>
      <c r="N773" s="5"/>
    </row>
    <row r="774" ht="15.75" customHeight="1">
      <c r="E774" s="2"/>
      <c r="J774" s="3"/>
      <c r="N774" s="5"/>
    </row>
    <row r="775" ht="15.75" customHeight="1">
      <c r="E775" s="2"/>
      <c r="J775" s="3"/>
      <c r="N775" s="5"/>
    </row>
    <row r="776" ht="15.75" customHeight="1">
      <c r="E776" s="2"/>
      <c r="J776" s="3"/>
      <c r="N776" s="5"/>
    </row>
    <row r="777" ht="15.75" customHeight="1">
      <c r="E777" s="2"/>
      <c r="J777" s="3"/>
      <c r="N777" s="5"/>
    </row>
    <row r="778" ht="15.75" customHeight="1">
      <c r="E778" s="2"/>
      <c r="J778" s="3"/>
      <c r="N778" s="5"/>
    </row>
    <row r="779" ht="15.75" customHeight="1">
      <c r="E779" s="2"/>
      <c r="J779" s="3"/>
      <c r="N779" s="5"/>
    </row>
    <row r="780" ht="15.75" customHeight="1">
      <c r="E780" s="2"/>
      <c r="J780" s="3"/>
      <c r="N780" s="5"/>
    </row>
    <row r="781" ht="15.75" customHeight="1">
      <c r="E781" s="2"/>
      <c r="J781" s="3"/>
      <c r="N781" s="5"/>
    </row>
    <row r="782" ht="15.75" customHeight="1">
      <c r="E782" s="2"/>
      <c r="J782" s="3"/>
      <c r="N782" s="5"/>
    </row>
    <row r="783" ht="15.75" customHeight="1">
      <c r="E783" s="2"/>
      <c r="J783" s="3"/>
      <c r="N783" s="5"/>
    </row>
    <row r="784" ht="15.75" customHeight="1">
      <c r="E784" s="2"/>
      <c r="J784" s="3"/>
      <c r="N784" s="5"/>
    </row>
    <row r="785" ht="15.75" customHeight="1">
      <c r="E785" s="2"/>
      <c r="J785" s="3"/>
      <c r="N785" s="5"/>
    </row>
    <row r="786" ht="15.75" customHeight="1">
      <c r="E786" s="2"/>
      <c r="J786" s="3"/>
      <c r="N786" s="5"/>
    </row>
    <row r="787" ht="15.75" customHeight="1">
      <c r="E787" s="2"/>
      <c r="J787" s="3"/>
      <c r="N787" s="5"/>
    </row>
    <row r="788" ht="15.75" customHeight="1">
      <c r="E788" s="2"/>
      <c r="J788" s="3"/>
      <c r="N788" s="5"/>
    </row>
    <row r="789" ht="15.75" customHeight="1">
      <c r="E789" s="2"/>
      <c r="J789" s="3"/>
      <c r="N789" s="5"/>
    </row>
    <row r="790" ht="15.75" customHeight="1">
      <c r="E790" s="2"/>
      <c r="J790" s="3"/>
      <c r="N790" s="5"/>
    </row>
    <row r="791" ht="15.75" customHeight="1">
      <c r="E791" s="2"/>
      <c r="J791" s="3"/>
      <c r="N791" s="5"/>
    </row>
    <row r="792" ht="15.75" customHeight="1">
      <c r="E792" s="2"/>
      <c r="J792" s="3"/>
      <c r="N792" s="5"/>
    </row>
    <row r="793" ht="15.75" customHeight="1">
      <c r="E793" s="2"/>
      <c r="J793" s="3"/>
      <c r="N793" s="5"/>
    </row>
    <row r="794" ht="15.75" customHeight="1">
      <c r="E794" s="2"/>
      <c r="J794" s="3"/>
      <c r="N794" s="5"/>
    </row>
    <row r="795" ht="15.75" customHeight="1">
      <c r="E795" s="2"/>
      <c r="J795" s="3"/>
      <c r="N795" s="5"/>
    </row>
    <row r="796" ht="15.75" customHeight="1">
      <c r="E796" s="2"/>
      <c r="J796" s="3"/>
      <c r="N796" s="5"/>
    </row>
    <row r="797" ht="15.75" customHeight="1">
      <c r="E797" s="2"/>
      <c r="J797" s="3"/>
      <c r="N797" s="5"/>
    </row>
    <row r="798" ht="15.75" customHeight="1">
      <c r="E798" s="2"/>
      <c r="J798" s="3"/>
      <c r="N798" s="5"/>
    </row>
    <row r="799" ht="15.75" customHeight="1">
      <c r="E799" s="2"/>
      <c r="J799" s="3"/>
      <c r="N799" s="5"/>
    </row>
    <row r="800" ht="15.75" customHeight="1">
      <c r="E800" s="2"/>
      <c r="J800" s="3"/>
      <c r="N800" s="5"/>
    </row>
    <row r="801" ht="15.75" customHeight="1">
      <c r="E801" s="2"/>
      <c r="J801" s="3"/>
      <c r="N801" s="5"/>
    </row>
    <row r="802" ht="15.75" customHeight="1">
      <c r="E802" s="2"/>
      <c r="J802" s="3"/>
      <c r="N802" s="5"/>
    </row>
    <row r="803" ht="15.75" customHeight="1">
      <c r="E803" s="2"/>
      <c r="J803" s="3"/>
      <c r="N803" s="5"/>
    </row>
    <row r="804" ht="15.75" customHeight="1">
      <c r="E804" s="2"/>
      <c r="J804" s="3"/>
      <c r="N804" s="5"/>
    </row>
    <row r="805" ht="15.75" customHeight="1">
      <c r="E805" s="2"/>
      <c r="J805" s="3"/>
      <c r="N805" s="5"/>
    </row>
    <row r="806" ht="15.75" customHeight="1">
      <c r="E806" s="2"/>
      <c r="J806" s="3"/>
      <c r="N806" s="5"/>
    </row>
    <row r="807" ht="15.75" customHeight="1">
      <c r="E807" s="2"/>
      <c r="J807" s="3"/>
      <c r="N807" s="5"/>
    </row>
    <row r="808" ht="15.75" customHeight="1">
      <c r="E808" s="2"/>
      <c r="J808" s="3"/>
      <c r="N808" s="5"/>
    </row>
    <row r="809" ht="15.75" customHeight="1">
      <c r="E809" s="2"/>
      <c r="J809" s="3"/>
      <c r="N809" s="5"/>
    </row>
    <row r="810" ht="15.75" customHeight="1">
      <c r="E810" s="2"/>
      <c r="J810" s="3"/>
      <c r="N810" s="5"/>
    </row>
    <row r="811" ht="15.75" customHeight="1">
      <c r="E811" s="2"/>
      <c r="J811" s="3"/>
      <c r="N811" s="5"/>
    </row>
    <row r="812" ht="15.75" customHeight="1">
      <c r="E812" s="2"/>
      <c r="J812" s="3"/>
      <c r="N812" s="5"/>
    </row>
    <row r="813" ht="15.75" customHeight="1">
      <c r="E813" s="2"/>
      <c r="J813" s="3"/>
      <c r="N813" s="5"/>
    </row>
    <row r="814" ht="15.75" customHeight="1">
      <c r="E814" s="2"/>
      <c r="J814" s="3"/>
      <c r="N814" s="5"/>
    </row>
    <row r="815" ht="15.75" customHeight="1">
      <c r="E815" s="2"/>
      <c r="J815" s="3"/>
      <c r="N815" s="5"/>
    </row>
    <row r="816" ht="15.75" customHeight="1">
      <c r="E816" s="2"/>
      <c r="J816" s="3"/>
      <c r="N816" s="5"/>
    </row>
    <row r="817" ht="15.75" customHeight="1">
      <c r="E817" s="2"/>
      <c r="J817" s="3"/>
      <c r="N817" s="5"/>
    </row>
    <row r="818" ht="15.75" customHeight="1">
      <c r="E818" s="2"/>
      <c r="J818" s="3"/>
      <c r="N818" s="5"/>
    </row>
    <row r="819" ht="15.75" customHeight="1">
      <c r="E819" s="2"/>
      <c r="J819" s="3"/>
      <c r="N819" s="5"/>
    </row>
    <row r="820" ht="15.75" customHeight="1">
      <c r="E820" s="2"/>
      <c r="J820" s="3"/>
      <c r="N820" s="5"/>
    </row>
    <row r="821" ht="15.75" customHeight="1">
      <c r="E821" s="2"/>
      <c r="J821" s="3"/>
      <c r="N821" s="5"/>
    </row>
    <row r="822" ht="15.75" customHeight="1">
      <c r="E822" s="2"/>
      <c r="J822" s="3"/>
      <c r="N822" s="5"/>
    </row>
    <row r="823" ht="15.75" customHeight="1">
      <c r="E823" s="2"/>
      <c r="J823" s="3"/>
      <c r="N823" s="5"/>
    </row>
    <row r="824" ht="15.75" customHeight="1">
      <c r="E824" s="2"/>
      <c r="J824" s="3"/>
      <c r="N824" s="5"/>
    </row>
    <row r="825" ht="15.75" customHeight="1">
      <c r="E825" s="2"/>
      <c r="J825" s="3"/>
      <c r="N825" s="5"/>
    </row>
    <row r="826" ht="15.75" customHeight="1">
      <c r="E826" s="2"/>
      <c r="J826" s="3"/>
      <c r="N826" s="5"/>
    </row>
    <row r="827" ht="15.75" customHeight="1">
      <c r="E827" s="2"/>
      <c r="J827" s="3"/>
      <c r="N827" s="5"/>
    </row>
    <row r="828" ht="15.75" customHeight="1">
      <c r="E828" s="2"/>
      <c r="J828" s="3"/>
      <c r="N828" s="5"/>
    </row>
    <row r="829" ht="15.75" customHeight="1">
      <c r="E829" s="2"/>
      <c r="J829" s="3"/>
      <c r="N829" s="5"/>
    </row>
    <row r="830" ht="15.75" customHeight="1">
      <c r="E830" s="2"/>
      <c r="J830" s="3"/>
      <c r="N830" s="5"/>
    </row>
    <row r="831" ht="15.75" customHeight="1">
      <c r="E831" s="2"/>
      <c r="J831" s="3"/>
      <c r="N831" s="5"/>
    </row>
    <row r="832" ht="15.75" customHeight="1">
      <c r="E832" s="2"/>
      <c r="J832" s="3"/>
      <c r="N832" s="5"/>
    </row>
    <row r="833" ht="15.75" customHeight="1">
      <c r="E833" s="2"/>
      <c r="J833" s="3"/>
      <c r="N833" s="5"/>
    </row>
    <row r="834" ht="15.75" customHeight="1">
      <c r="E834" s="2"/>
      <c r="J834" s="3"/>
      <c r="N834" s="5"/>
    </row>
    <row r="835" ht="15.75" customHeight="1">
      <c r="E835" s="2"/>
      <c r="J835" s="3"/>
      <c r="N835" s="5"/>
    </row>
    <row r="836" ht="15.75" customHeight="1">
      <c r="E836" s="2"/>
      <c r="J836" s="3"/>
      <c r="N836" s="5"/>
    </row>
    <row r="837" ht="15.75" customHeight="1">
      <c r="E837" s="2"/>
      <c r="J837" s="3"/>
      <c r="N837" s="5"/>
    </row>
    <row r="838" ht="15.75" customHeight="1">
      <c r="E838" s="2"/>
      <c r="J838" s="3"/>
      <c r="N838" s="5"/>
    </row>
    <row r="839" ht="15.75" customHeight="1">
      <c r="E839" s="2"/>
      <c r="J839" s="3"/>
      <c r="N839" s="5"/>
    </row>
    <row r="840" ht="15.75" customHeight="1">
      <c r="E840" s="2"/>
      <c r="J840" s="3"/>
      <c r="N840" s="5"/>
    </row>
    <row r="841" ht="15.75" customHeight="1">
      <c r="E841" s="2"/>
      <c r="J841" s="3"/>
      <c r="N841" s="5"/>
    </row>
    <row r="842" ht="15.75" customHeight="1">
      <c r="E842" s="2"/>
      <c r="J842" s="3"/>
      <c r="N842" s="5"/>
    </row>
    <row r="843" ht="15.75" customHeight="1">
      <c r="E843" s="2"/>
      <c r="J843" s="3"/>
      <c r="N843" s="5"/>
    </row>
    <row r="844" ht="15.75" customHeight="1">
      <c r="E844" s="2"/>
      <c r="J844" s="3"/>
      <c r="N844" s="5"/>
    </row>
    <row r="845" ht="15.75" customHeight="1">
      <c r="E845" s="2"/>
      <c r="J845" s="3"/>
      <c r="N845" s="5"/>
    </row>
    <row r="846" ht="15.75" customHeight="1">
      <c r="E846" s="2"/>
      <c r="J846" s="3"/>
      <c r="N846" s="5"/>
    </row>
    <row r="847" ht="15.75" customHeight="1">
      <c r="E847" s="2"/>
      <c r="J847" s="3"/>
      <c r="N847" s="5"/>
    </row>
    <row r="848" ht="15.75" customHeight="1">
      <c r="E848" s="2"/>
      <c r="J848" s="3"/>
      <c r="N848" s="5"/>
    </row>
    <row r="849" ht="15.75" customHeight="1">
      <c r="E849" s="2"/>
      <c r="J849" s="3"/>
      <c r="N849" s="5"/>
    </row>
    <row r="850" ht="15.75" customHeight="1">
      <c r="E850" s="2"/>
      <c r="J850" s="3"/>
      <c r="N850" s="5"/>
    </row>
    <row r="851" ht="15.75" customHeight="1">
      <c r="E851" s="2"/>
      <c r="J851" s="3"/>
      <c r="N851" s="5"/>
    </row>
    <row r="852" ht="15.75" customHeight="1">
      <c r="E852" s="2"/>
      <c r="J852" s="3"/>
      <c r="N852" s="5"/>
    </row>
    <row r="853" ht="15.75" customHeight="1">
      <c r="E853" s="2"/>
      <c r="J853" s="3"/>
      <c r="N853" s="5"/>
    </row>
    <row r="854" ht="15.75" customHeight="1">
      <c r="E854" s="2"/>
      <c r="J854" s="3"/>
      <c r="N854" s="5"/>
    </row>
    <row r="855" ht="15.75" customHeight="1">
      <c r="E855" s="2"/>
      <c r="J855" s="3"/>
      <c r="N855" s="5"/>
    </row>
    <row r="856" ht="15.75" customHeight="1">
      <c r="E856" s="2"/>
      <c r="J856" s="3"/>
      <c r="N856" s="5"/>
    </row>
    <row r="857" ht="15.75" customHeight="1">
      <c r="E857" s="2"/>
      <c r="J857" s="3"/>
      <c r="N857" s="5"/>
    </row>
    <row r="858" ht="15.75" customHeight="1">
      <c r="E858" s="2"/>
      <c r="J858" s="3"/>
      <c r="N858" s="5"/>
    </row>
    <row r="859" ht="15.75" customHeight="1">
      <c r="E859" s="2"/>
      <c r="J859" s="3"/>
      <c r="N859" s="5"/>
    </row>
    <row r="860" ht="15.75" customHeight="1">
      <c r="E860" s="2"/>
      <c r="J860" s="3"/>
      <c r="N860" s="5"/>
    </row>
    <row r="861" ht="15.75" customHeight="1">
      <c r="E861" s="2"/>
      <c r="J861" s="3"/>
      <c r="N861" s="5"/>
    </row>
    <row r="862" ht="15.75" customHeight="1">
      <c r="E862" s="2"/>
      <c r="J862" s="3"/>
      <c r="N862" s="5"/>
    </row>
    <row r="863" ht="15.75" customHeight="1">
      <c r="E863" s="2"/>
      <c r="J863" s="3"/>
      <c r="N863" s="5"/>
    </row>
    <row r="864" ht="15.75" customHeight="1">
      <c r="E864" s="2"/>
      <c r="J864" s="3"/>
      <c r="N864" s="5"/>
    </row>
    <row r="865" ht="15.75" customHeight="1">
      <c r="E865" s="2"/>
      <c r="J865" s="3"/>
      <c r="N865" s="5"/>
    </row>
    <row r="866" ht="15.75" customHeight="1">
      <c r="E866" s="2"/>
      <c r="J866" s="3"/>
      <c r="N866" s="5"/>
    </row>
    <row r="867" ht="15.75" customHeight="1">
      <c r="E867" s="2"/>
      <c r="J867" s="3"/>
      <c r="N867" s="5"/>
    </row>
    <row r="868" ht="15.75" customHeight="1">
      <c r="E868" s="2"/>
      <c r="J868" s="3"/>
      <c r="N868" s="5"/>
    </row>
    <row r="869" ht="15.75" customHeight="1">
      <c r="E869" s="2"/>
      <c r="J869" s="3"/>
      <c r="N869" s="5"/>
    </row>
    <row r="870" ht="15.75" customHeight="1">
      <c r="E870" s="2"/>
      <c r="J870" s="3"/>
      <c r="N870" s="5"/>
    </row>
    <row r="871" ht="15.75" customHeight="1">
      <c r="E871" s="2"/>
      <c r="J871" s="3"/>
      <c r="N871" s="5"/>
    </row>
    <row r="872" ht="15.75" customHeight="1">
      <c r="E872" s="2"/>
      <c r="J872" s="3"/>
      <c r="N872" s="5"/>
    </row>
    <row r="873" ht="15.75" customHeight="1">
      <c r="E873" s="2"/>
      <c r="J873" s="3"/>
      <c r="N873" s="5"/>
    </row>
    <row r="874" ht="15.75" customHeight="1">
      <c r="E874" s="2"/>
      <c r="J874" s="3"/>
      <c r="N874" s="5"/>
    </row>
    <row r="875" ht="15.75" customHeight="1">
      <c r="E875" s="2"/>
      <c r="J875" s="3"/>
      <c r="N875" s="5"/>
    </row>
    <row r="876" ht="15.75" customHeight="1">
      <c r="E876" s="2"/>
      <c r="J876" s="3"/>
      <c r="N876" s="5"/>
    </row>
    <row r="877" ht="15.75" customHeight="1">
      <c r="E877" s="2"/>
      <c r="J877" s="3"/>
      <c r="N877" s="5"/>
    </row>
    <row r="878" ht="15.75" customHeight="1">
      <c r="E878" s="2"/>
      <c r="J878" s="3"/>
      <c r="N878" s="5"/>
    </row>
    <row r="879" ht="15.75" customHeight="1">
      <c r="E879" s="2"/>
      <c r="J879" s="3"/>
      <c r="N879" s="5"/>
    </row>
    <row r="880" ht="15.75" customHeight="1">
      <c r="E880" s="2"/>
      <c r="J880" s="3"/>
      <c r="N880" s="5"/>
    </row>
    <row r="881" ht="15.75" customHeight="1">
      <c r="E881" s="2"/>
      <c r="J881" s="3"/>
      <c r="N881" s="5"/>
    </row>
    <row r="882" ht="15.75" customHeight="1">
      <c r="E882" s="2"/>
      <c r="J882" s="3"/>
      <c r="N882" s="5"/>
    </row>
    <row r="883" ht="15.75" customHeight="1">
      <c r="E883" s="2"/>
      <c r="J883" s="3"/>
      <c r="N883" s="5"/>
    </row>
    <row r="884" ht="15.75" customHeight="1">
      <c r="E884" s="2"/>
      <c r="J884" s="3"/>
      <c r="N884" s="5"/>
    </row>
    <row r="885" ht="15.75" customHeight="1">
      <c r="E885" s="2"/>
      <c r="J885" s="3"/>
      <c r="N885" s="5"/>
    </row>
    <row r="886" ht="15.75" customHeight="1">
      <c r="E886" s="2"/>
      <c r="J886" s="3"/>
      <c r="N886" s="5"/>
    </row>
    <row r="887" ht="15.75" customHeight="1">
      <c r="E887" s="2"/>
      <c r="J887" s="3"/>
      <c r="N887" s="5"/>
    </row>
    <row r="888" ht="15.75" customHeight="1">
      <c r="E888" s="2"/>
      <c r="J888" s="3"/>
      <c r="N888" s="5"/>
    </row>
    <row r="889" ht="15.75" customHeight="1">
      <c r="E889" s="2"/>
      <c r="J889" s="3"/>
      <c r="N889" s="5"/>
    </row>
    <row r="890" ht="15.75" customHeight="1">
      <c r="E890" s="2"/>
      <c r="J890" s="3"/>
      <c r="N890" s="5"/>
    </row>
    <row r="891" ht="15.75" customHeight="1">
      <c r="E891" s="2"/>
      <c r="J891" s="3"/>
      <c r="N891" s="5"/>
    </row>
    <row r="892" ht="15.75" customHeight="1">
      <c r="E892" s="2"/>
      <c r="J892" s="3"/>
      <c r="N892" s="5"/>
    </row>
    <row r="893" ht="15.75" customHeight="1">
      <c r="E893" s="2"/>
      <c r="J893" s="3"/>
      <c r="N893" s="5"/>
    </row>
    <row r="894" ht="15.75" customHeight="1">
      <c r="E894" s="2"/>
      <c r="J894" s="3"/>
      <c r="N894" s="5"/>
    </row>
    <row r="895" ht="15.75" customHeight="1">
      <c r="E895" s="2"/>
      <c r="J895" s="3"/>
      <c r="N895" s="5"/>
    </row>
    <row r="896" ht="15.75" customHeight="1">
      <c r="E896" s="2"/>
      <c r="J896" s="3"/>
      <c r="N896" s="5"/>
    </row>
    <row r="897" ht="15.75" customHeight="1">
      <c r="E897" s="2"/>
      <c r="J897" s="3"/>
      <c r="N897" s="5"/>
    </row>
    <row r="898" ht="15.75" customHeight="1">
      <c r="E898" s="2"/>
      <c r="J898" s="3"/>
      <c r="N898" s="5"/>
    </row>
    <row r="899" ht="15.75" customHeight="1">
      <c r="E899" s="2"/>
      <c r="J899" s="3"/>
      <c r="N899" s="5"/>
    </row>
    <row r="900" ht="15.75" customHeight="1">
      <c r="E900" s="2"/>
      <c r="J900" s="3"/>
      <c r="N900" s="5"/>
    </row>
    <row r="901" ht="15.75" customHeight="1">
      <c r="E901" s="2"/>
      <c r="J901" s="3"/>
      <c r="N901" s="5"/>
    </row>
    <row r="902" ht="15.75" customHeight="1">
      <c r="E902" s="2"/>
      <c r="J902" s="3"/>
      <c r="N902" s="5"/>
    </row>
    <row r="903" ht="15.75" customHeight="1">
      <c r="E903" s="2"/>
      <c r="J903" s="3"/>
      <c r="N903" s="5"/>
    </row>
    <row r="904" ht="15.75" customHeight="1">
      <c r="E904" s="2"/>
      <c r="J904" s="3"/>
      <c r="N904" s="5"/>
    </row>
    <row r="905" ht="15.75" customHeight="1">
      <c r="E905" s="2"/>
      <c r="J905" s="3"/>
      <c r="N905" s="5"/>
    </row>
    <row r="906" ht="15.75" customHeight="1">
      <c r="E906" s="2"/>
      <c r="J906" s="3"/>
      <c r="N906" s="5"/>
    </row>
    <row r="907" ht="15.75" customHeight="1">
      <c r="E907" s="2"/>
      <c r="J907" s="3"/>
      <c r="N907" s="5"/>
    </row>
    <row r="908" ht="15.75" customHeight="1">
      <c r="E908" s="2"/>
      <c r="J908" s="3"/>
      <c r="N908" s="5"/>
    </row>
    <row r="909" ht="15.75" customHeight="1">
      <c r="E909" s="2"/>
      <c r="J909" s="3"/>
      <c r="N909" s="5"/>
    </row>
    <row r="910" ht="15.75" customHeight="1">
      <c r="E910" s="2"/>
      <c r="J910" s="3"/>
      <c r="N910" s="5"/>
    </row>
    <row r="911" ht="15.75" customHeight="1">
      <c r="E911" s="2"/>
      <c r="J911" s="3"/>
      <c r="N911" s="5"/>
    </row>
    <row r="912" ht="15.75" customHeight="1">
      <c r="E912" s="2"/>
      <c r="J912" s="3"/>
      <c r="N912" s="5"/>
    </row>
    <row r="913" ht="15.75" customHeight="1">
      <c r="E913" s="2"/>
      <c r="J913" s="3"/>
      <c r="N913" s="5"/>
    </row>
    <row r="914" ht="15.75" customHeight="1">
      <c r="E914" s="2"/>
      <c r="J914" s="3"/>
      <c r="N914" s="5"/>
    </row>
    <row r="915" ht="15.75" customHeight="1">
      <c r="E915" s="2"/>
      <c r="J915" s="3"/>
      <c r="N915" s="5"/>
    </row>
    <row r="916" ht="15.75" customHeight="1">
      <c r="E916" s="2"/>
      <c r="J916" s="3"/>
      <c r="N916" s="5"/>
    </row>
    <row r="917" ht="15.75" customHeight="1">
      <c r="E917" s="2"/>
      <c r="J917" s="3"/>
      <c r="N917" s="5"/>
    </row>
    <row r="918" ht="15.75" customHeight="1">
      <c r="E918" s="2"/>
      <c r="J918" s="3"/>
      <c r="N918" s="5"/>
    </row>
    <row r="919" ht="15.75" customHeight="1">
      <c r="E919" s="2"/>
      <c r="J919" s="3"/>
      <c r="N919" s="5"/>
    </row>
    <row r="920" ht="15.75" customHeight="1">
      <c r="E920" s="2"/>
      <c r="J920" s="3"/>
      <c r="N920" s="5"/>
    </row>
    <row r="921" ht="15.75" customHeight="1">
      <c r="E921" s="2"/>
      <c r="J921" s="3"/>
      <c r="N921" s="5"/>
    </row>
    <row r="922" ht="15.75" customHeight="1">
      <c r="E922" s="2"/>
      <c r="J922" s="3"/>
      <c r="N922" s="5"/>
    </row>
    <row r="923" ht="15.75" customHeight="1">
      <c r="E923" s="2"/>
      <c r="J923" s="3"/>
      <c r="N923" s="5"/>
    </row>
    <row r="924" ht="15.75" customHeight="1">
      <c r="E924" s="2"/>
      <c r="J924" s="3"/>
      <c r="N924" s="5"/>
    </row>
    <row r="925" ht="15.75" customHeight="1">
      <c r="E925" s="2"/>
      <c r="J925" s="3"/>
      <c r="N925" s="5"/>
    </row>
    <row r="926" ht="15.75" customHeight="1">
      <c r="E926" s="2"/>
      <c r="J926" s="3"/>
      <c r="N926" s="5"/>
    </row>
    <row r="927" ht="15.75" customHeight="1">
      <c r="E927" s="2"/>
      <c r="J927" s="3"/>
      <c r="N927" s="5"/>
    </row>
    <row r="928" ht="15.75" customHeight="1">
      <c r="E928" s="2"/>
      <c r="J928" s="3"/>
      <c r="N928" s="5"/>
    </row>
    <row r="929" ht="15.75" customHeight="1">
      <c r="E929" s="2"/>
      <c r="J929" s="3"/>
      <c r="N929" s="5"/>
    </row>
    <row r="930" ht="15.75" customHeight="1">
      <c r="E930" s="2"/>
      <c r="J930" s="3"/>
      <c r="N930" s="5"/>
    </row>
    <row r="931" ht="15.75" customHeight="1">
      <c r="E931" s="2"/>
      <c r="J931" s="3"/>
      <c r="N931" s="5"/>
    </row>
    <row r="932" ht="15.75" customHeight="1">
      <c r="E932" s="2"/>
      <c r="J932" s="3"/>
      <c r="N932" s="5"/>
    </row>
    <row r="933" ht="15.75" customHeight="1">
      <c r="E933" s="2"/>
      <c r="J933" s="3"/>
      <c r="N933" s="5"/>
    </row>
    <row r="934" ht="15.75" customHeight="1">
      <c r="E934" s="2"/>
      <c r="J934" s="3"/>
      <c r="N934" s="5"/>
    </row>
    <row r="935" ht="15.75" customHeight="1">
      <c r="E935" s="2"/>
      <c r="J935" s="3"/>
      <c r="N935" s="5"/>
    </row>
    <row r="936" ht="15.75" customHeight="1">
      <c r="E936" s="2"/>
      <c r="J936" s="3"/>
      <c r="N936" s="5"/>
    </row>
    <row r="937" ht="15.75" customHeight="1">
      <c r="E937" s="2"/>
      <c r="J937" s="3"/>
      <c r="N937" s="5"/>
    </row>
    <row r="938" ht="15.75" customHeight="1">
      <c r="E938" s="2"/>
      <c r="J938" s="3"/>
      <c r="N938" s="5"/>
    </row>
    <row r="939" ht="15.75" customHeight="1">
      <c r="E939" s="2"/>
      <c r="J939" s="3"/>
      <c r="N939" s="5"/>
    </row>
    <row r="940" ht="15.75" customHeight="1">
      <c r="E940" s="2"/>
      <c r="J940" s="3"/>
      <c r="N940" s="5"/>
    </row>
    <row r="941" ht="15.75" customHeight="1">
      <c r="E941" s="2"/>
      <c r="J941" s="3"/>
      <c r="N941" s="5"/>
    </row>
    <row r="942" ht="15.75" customHeight="1">
      <c r="E942" s="2"/>
      <c r="J942" s="3"/>
      <c r="N942" s="5"/>
    </row>
    <row r="943" ht="15.75" customHeight="1">
      <c r="E943" s="2"/>
      <c r="J943" s="3"/>
      <c r="N943" s="5"/>
    </row>
    <row r="944" ht="15.75" customHeight="1">
      <c r="E944" s="2"/>
      <c r="J944" s="3"/>
      <c r="N944" s="5"/>
    </row>
    <row r="945" ht="15.75" customHeight="1">
      <c r="E945" s="2"/>
      <c r="J945" s="3"/>
      <c r="N945" s="5"/>
    </row>
    <row r="946" ht="15.75" customHeight="1">
      <c r="E946" s="2"/>
      <c r="J946" s="3"/>
      <c r="N946" s="5"/>
    </row>
    <row r="947" ht="15.75" customHeight="1">
      <c r="E947" s="2"/>
      <c r="J947" s="3"/>
      <c r="N947" s="5"/>
    </row>
    <row r="948" ht="15.75" customHeight="1">
      <c r="E948" s="2"/>
      <c r="J948" s="3"/>
      <c r="N948" s="5"/>
    </row>
    <row r="949" ht="15.75" customHeight="1">
      <c r="E949" s="2"/>
      <c r="J949" s="3"/>
      <c r="N949" s="5"/>
    </row>
    <row r="950" ht="15.75" customHeight="1">
      <c r="E950" s="2"/>
      <c r="J950" s="3"/>
      <c r="N950" s="5"/>
    </row>
    <row r="951" ht="15.75" customHeight="1">
      <c r="E951" s="2"/>
      <c r="J951" s="3"/>
      <c r="N951" s="5"/>
    </row>
    <row r="952" ht="15.75" customHeight="1">
      <c r="E952" s="2"/>
      <c r="J952" s="3"/>
      <c r="N952" s="5"/>
    </row>
    <row r="953" ht="15.75" customHeight="1">
      <c r="E953" s="2"/>
      <c r="J953" s="3"/>
      <c r="N953" s="5"/>
    </row>
    <row r="954" ht="15.75" customHeight="1">
      <c r="E954" s="2"/>
      <c r="J954" s="3"/>
      <c r="N954" s="5"/>
    </row>
    <row r="955" ht="15.75" customHeight="1">
      <c r="E955" s="2"/>
      <c r="J955" s="3"/>
      <c r="N955" s="5"/>
    </row>
    <row r="956" ht="15.75" customHeight="1">
      <c r="E956" s="2"/>
      <c r="J956" s="3"/>
      <c r="N956" s="5"/>
    </row>
    <row r="957" ht="15.75" customHeight="1">
      <c r="E957" s="2"/>
      <c r="J957" s="3"/>
      <c r="N957" s="5"/>
    </row>
    <row r="958" ht="15.75" customHeight="1">
      <c r="E958" s="2"/>
      <c r="J958" s="3"/>
      <c r="N958" s="5"/>
    </row>
    <row r="959" ht="15.75" customHeight="1">
      <c r="E959" s="2"/>
      <c r="J959" s="3"/>
      <c r="N959" s="5"/>
    </row>
    <row r="960" ht="15.75" customHeight="1">
      <c r="E960" s="2"/>
      <c r="J960" s="3"/>
      <c r="N960" s="5"/>
    </row>
    <row r="961" ht="15.75" customHeight="1">
      <c r="E961" s="2"/>
      <c r="J961" s="3"/>
      <c r="N961" s="5"/>
    </row>
    <row r="962" ht="15.75" customHeight="1">
      <c r="E962" s="2"/>
      <c r="J962" s="3"/>
      <c r="N962" s="5"/>
    </row>
    <row r="963" ht="15.75" customHeight="1">
      <c r="E963" s="2"/>
      <c r="J963" s="3"/>
      <c r="N963" s="5"/>
    </row>
    <row r="964" ht="15.75" customHeight="1">
      <c r="E964" s="2"/>
      <c r="J964" s="3"/>
      <c r="N964" s="5"/>
    </row>
    <row r="965" ht="15.75" customHeight="1">
      <c r="E965" s="2"/>
      <c r="J965" s="3"/>
      <c r="N965" s="5"/>
    </row>
    <row r="966" ht="15.75" customHeight="1">
      <c r="E966" s="2"/>
      <c r="J966" s="3"/>
      <c r="N966" s="5"/>
    </row>
    <row r="967" ht="15.75" customHeight="1">
      <c r="E967" s="2"/>
      <c r="J967" s="3"/>
      <c r="N967" s="5"/>
    </row>
    <row r="968" ht="15.75" customHeight="1">
      <c r="E968" s="2"/>
      <c r="J968" s="3"/>
      <c r="N968" s="5"/>
    </row>
    <row r="969" ht="15.75" customHeight="1">
      <c r="E969" s="2"/>
      <c r="J969" s="3"/>
      <c r="N969" s="5"/>
    </row>
    <row r="970" ht="15.75" customHeight="1">
      <c r="E970" s="2"/>
      <c r="J970" s="3"/>
      <c r="N970" s="5"/>
    </row>
    <row r="971" ht="15.75" customHeight="1">
      <c r="E971" s="2"/>
      <c r="J971" s="3"/>
      <c r="N971" s="5"/>
    </row>
    <row r="972" ht="15.75" customHeight="1">
      <c r="E972" s="2"/>
      <c r="J972" s="3"/>
      <c r="N972" s="5"/>
    </row>
    <row r="973" ht="15.75" customHeight="1">
      <c r="E973" s="2"/>
      <c r="J973" s="3"/>
      <c r="N973" s="5"/>
    </row>
    <row r="974" ht="15.75" customHeight="1">
      <c r="E974" s="2"/>
      <c r="J974" s="3"/>
      <c r="N974" s="5"/>
    </row>
    <row r="975" ht="15.75" customHeight="1">
      <c r="E975" s="2"/>
      <c r="J975" s="3"/>
      <c r="N975" s="5"/>
    </row>
    <row r="976" ht="15.75" customHeight="1">
      <c r="E976" s="2"/>
      <c r="J976" s="3"/>
      <c r="N976" s="5"/>
    </row>
    <row r="977" ht="15.75" customHeight="1">
      <c r="E977" s="2"/>
      <c r="J977" s="3"/>
      <c r="N977" s="5"/>
    </row>
    <row r="978" ht="15.75" customHeight="1">
      <c r="E978" s="2"/>
      <c r="J978" s="3"/>
      <c r="N978" s="5"/>
    </row>
    <row r="979" ht="15.75" customHeight="1">
      <c r="E979" s="2"/>
      <c r="J979" s="3"/>
      <c r="N979" s="5"/>
    </row>
    <row r="980" ht="15.75" customHeight="1">
      <c r="E980" s="2"/>
      <c r="J980" s="3"/>
      <c r="N980" s="5"/>
    </row>
    <row r="981" ht="15.75" customHeight="1">
      <c r="E981" s="2"/>
      <c r="J981" s="3"/>
      <c r="N981" s="5"/>
    </row>
    <row r="982" ht="15.75" customHeight="1">
      <c r="E982" s="2"/>
      <c r="J982" s="3"/>
      <c r="N982" s="5"/>
    </row>
    <row r="983" ht="15.75" customHeight="1">
      <c r="E983" s="2"/>
      <c r="J983" s="3"/>
      <c r="N983" s="5"/>
    </row>
    <row r="984" ht="15.75" customHeight="1">
      <c r="E984" s="2"/>
      <c r="J984" s="3"/>
      <c r="N984" s="5"/>
    </row>
    <row r="985" ht="15.75" customHeight="1">
      <c r="E985" s="2"/>
      <c r="J985" s="3"/>
      <c r="N985" s="5"/>
    </row>
    <row r="986" ht="15.75" customHeight="1">
      <c r="E986" s="2"/>
      <c r="J986" s="3"/>
      <c r="N986" s="5"/>
    </row>
    <row r="987" ht="15.75" customHeight="1">
      <c r="E987" s="2"/>
      <c r="J987" s="3"/>
      <c r="N987" s="5"/>
    </row>
    <row r="988" ht="15.75" customHeight="1">
      <c r="E988" s="2"/>
      <c r="J988" s="3"/>
      <c r="N988" s="5"/>
    </row>
    <row r="989" ht="15.75" customHeight="1">
      <c r="E989" s="2"/>
      <c r="J989" s="3"/>
      <c r="N989" s="5"/>
    </row>
    <row r="990" ht="15.75" customHeight="1">
      <c r="E990" s="2"/>
      <c r="J990" s="3"/>
      <c r="N990" s="5"/>
    </row>
    <row r="991" ht="15.75" customHeight="1">
      <c r="E991" s="2"/>
      <c r="J991" s="3"/>
      <c r="N991" s="5"/>
    </row>
    <row r="992" ht="15.75" customHeight="1">
      <c r="E992" s="2"/>
      <c r="J992" s="3"/>
      <c r="N992" s="5"/>
    </row>
    <row r="993" ht="15.75" customHeight="1">
      <c r="E993" s="2"/>
      <c r="J993" s="3"/>
      <c r="N993" s="5"/>
    </row>
    <row r="994" ht="15.75" customHeight="1">
      <c r="E994" s="2"/>
      <c r="J994" s="3"/>
      <c r="N994" s="5"/>
    </row>
    <row r="995" ht="15.75" customHeight="1">
      <c r="E995" s="2"/>
      <c r="J995" s="3"/>
      <c r="N995" s="5"/>
    </row>
    <row r="996" ht="15.75" customHeight="1">
      <c r="E996" s="2"/>
      <c r="J996" s="3"/>
      <c r="N996" s="5"/>
    </row>
    <row r="997" ht="15.75" customHeight="1">
      <c r="E997" s="2"/>
    </row>
    <row r="998">
      <c r="E998" s="2"/>
    </row>
    <row r="999">
      <c r="E999" s="2"/>
    </row>
    <row r="1000">
      <c r="E1000" s="2"/>
    </row>
    <row r="1001">
      <c r="E1001" s="2"/>
    </row>
  </sheetData>
  <mergeCells count="16">
    <mergeCell ref="G6:G8"/>
    <mergeCell ref="H6:H8"/>
    <mergeCell ref="I6:I8"/>
    <mergeCell ref="J6:J8"/>
    <mergeCell ref="H10:H13"/>
    <mergeCell ref="I10:I13"/>
    <mergeCell ref="J10:J13"/>
    <mergeCell ref="I20:I25"/>
    <mergeCell ref="J20:J25"/>
    <mergeCell ref="G10:G13"/>
    <mergeCell ref="G15:G18"/>
    <mergeCell ref="H15:H18"/>
    <mergeCell ref="I15:I18"/>
    <mergeCell ref="J15:J18"/>
    <mergeCell ref="G20:G25"/>
    <mergeCell ref="H20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6.11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>
      <c r="A2" s="108" t="s">
        <v>10</v>
      </c>
      <c r="B2" s="13"/>
      <c r="C2" s="13"/>
      <c r="D2" s="110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ht="15.75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ht="15.75" customHeight="1">
      <c r="B4" s="113">
        <v>1985.0</v>
      </c>
      <c r="C4" s="113">
        <v>1986.0</v>
      </c>
      <c r="D4" s="113">
        <v>1987.0</v>
      </c>
      <c r="E4" s="113">
        <v>1988.0</v>
      </c>
      <c r="F4" s="113">
        <v>1989.0</v>
      </c>
      <c r="G4" s="113">
        <v>1990.0</v>
      </c>
      <c r="H4" s="113">
        <v>1991.0</v>
      </c>
      <c r="I4" s="113">
        <v>1992.0</v>
      </c>
      <c r="J4" s="113">
        <v>1993.0</v>
      </c>
      <c r="K4" s="113">
        <v>1994.0</v>
      </c>
      <c r="L4" s="113">
        <v>1995.0</v>
      </c>
      <c r="M4" s="113">
        <v>1996.0</v>
      </c>
      <c r="N4" s="113">
        <v>1997.0</v>
      </c>
      <c r="O4" s="113">
        <v>1998.0</v>
      </c>
      <c r="P4" s="113">
        <v>1999.0</v>
      </c>
      <c r="Q4" s="113">
        <v>2000.0</v>
      </c>
      <c r="R4" s="113">
        <v>2001.0</v>
      </c>
      <c r="S4" s="113">
        <v>2002.0</v>
      </c>
      <c r="T4" s="113">
        <v>2003.0</v>
      </c>
      <c r="U4" s="113">
        <v>2004.0</v>
      </c>
      <c r="V4" s="113">
        <v>2005.0</v>
      </c>
      <c r="W4" s="113">
        <v>2006.0</v>
      </c>
      <c r="X4" s="113">
        <v>2007.0</v>
      </c>
      <c r="Y4" s="113">
        <v>2008.0</v>
      </c>
      <c r="Z4" s="113">
        <v>2009.0</v>
      </c>
      <c r="AA4" s="113">
        <v>2010.0</v>
      </c>
      <c r="AB4" s="113">
        <v>2011.0</v>
      </c>
      <c r="AC4" s="113">
        <v>2012.0</v>
      </c>
      <c r="AD4" s="113">
        <v>2013.0</v>
      </c>
      <c r="AE4" s="113">
        <v>2014.0</v>
      </c>
      <c r="AF4" s="113">
        <v>2015.0</v>
      </c>
      <c r="AG4" s="113">
        <v>2016.0</v>
      </c>
      <c r="AH4" s="113">
        <v>2017.0</v>
      </c>
      <c r="AI4" s="113">
        <v>2018.0</v>
      </c>
      <c r="AJ4" s="113">
        <v>2019.0</v>
      </c>
      <c r="AK4" s="113">
        <v>2020.0</v>
      </c>
      <c r="AL4" s="113">
        <v>2021.0</v>
      </c>
      <c r="AM4" s="113">
        <v>2022.0</v>
      </c>
      <c r="AN4" s="113">
        <v>2023.0</v>
      </c>
      <c r="AO4" s="113">
        <v>2024.0</v>
      </c>
      <c r="AP4" s="113">
        <v>2025.0</v>
      </c>
      <c r="AQ4" s="114"/>
    </row>
    <row r="5" ht="15.75" customHeight="1">
      <c r="A5" s="115" t="s">
        <v>9</v>
      </c>
      <c r="B5" s="115">
        <v>1.3292289322123426E8</v>
      </c>
      <c r="C5" s="115">
        <v>1.2976185972178835E8</v>
      </c>
      <c r="D5" s="115">
        <v>1.279901830601634E8</v>
      </c>
      <c r="E5" s="115">
        <v>1.2600168096807697E8</v>
      </c>
      <c r="F5" s="115">
        <v>1.2415300349505542E8</v>
      </c>
      <c r="G5" s="115">
        <v>1.2254912744289914E8</v>
      </c>
      <c r="H5" s="115">
        <v>1.210638389729247E8</v>
      </c>
      <c r="I5" s="115">
        <v>1.1952040134913963E8</v>
      </c>
      <c r="J5" s="115">
        <v>1.1802979821328951E8</v>
      </c>
      <c r="K5" s="115">
        <v>1.159242113426138E8</v>
      </c>
      <c r="L5" s="115">
        <v>1.1415662074228781E8</v>
      </c>
      <c r="M5" s="115">
        <v>1.1282682501350567E8</v>
      </c>
      <c r="N5" s="115">
        <v>1.1161589413701779E8</v>
      </c>
      <c r="O5" s="115">
        <v>1.1053962237377365E8</v>
      </c>
      <c r="P5" s="115">
        <v>1.0950183197008313E8</v>
      </c>
      <c r="Q5" s="115">
        <v>1.0841328240435024E8</v>
      </c>
      <c r="R5" s="115">
        <v>1.0717367110012367E8</v>
      </c>
      <c r="S5" s="115">
        <v>1.0600331524744552E8</v>
      </c>
      <c r="T5" s="115">
        <v>1.045821967685439E8</v>
      </c>
      <c r="U5" s="115">
        <v>1.0311323220808475E8</v>
      </c>
      <c r="V5" s="115">
        <v>1.0203436320386028E8</v>
      </c>
      <c r="W5" s="115">
        <v>1.0127421404867363E8</v>
      </c>
      <c r="X5" s="115">
        <v>1.0067964831731829E8</v>
      </c>
      <c r="Y5" s="115">
        <v>1.0000539260526377E8</v>
      </c>
      <c r="Z5" s="115">
        <v>9.941716079583727E7</v>
      </c>
      <c r="AA5" s="115">
        <v>9.879910592032166E7</v>
      </c>
      <c r="AB5" s="115">
        <v>9.82499804254814E7</v>
      </c>
      <c r="AC5" s="115">
        <v>9.74022893377463E7</v>
      </c>
      <c r="AD5" s="115">
        <v>9.649815853513482E7</v>
      </c>
      <c r="AE5" s="115">
        <v>9.570686453647164E7</v>
      </c>
      <c r="AF5" s="115">
        <v>9.501200699075973E7</v>
      </c>
      <c r="AG5" s="115">
        <v>9.445838661235185E7</v>
      </c>
      <c r="AH5" s="115">
        <v>9.395803458955078E7</v>
      </c>
      <c r="AI5" s="115">
        <v>9.34571515855988E7</v>
      </c>
      <c r="AJ5" s="115">
        <v>9.276189746205424E7</v>
      </c>
      <c r="AK5" s="115">
        <v>9.1863080816304E7</v>
      </c>
      <c r="AL5" s="115">
        <v>9.114349684961519E7</v>
      </c>
      <c r="AM5" s="116">
        <v>9.004242906487976E7</v>
      </c>
      <c r="AN5" s="116">
        <v>8.876939268915871E7</v>
      </c>
      <c r="AO5" s="116">
        <v>8.807639881488015E7</v>
      </c>
      <c r="AP5" s="116">
        <v>8.619777853351429E7</v>
      </c>
      <c r="AQ5" s="33"/>
      <c r="AR5" s="117">
        <f t="shared" ref="AR5:AR36" si="1">AP5-B5</f>
        <v>-46725114.69</v>
      </c>
      <c r="AS5" s="118">
        <f t="shared" ref="AS5:AS10" si="2">AR5/B5</f>
        <v>-0.3515204458</v>
      </c>
      <c r="AT5" s="3" t="s">
        <v>103</v>
      </c>
      <c r="AU5" s="119">
        <f>(AP5+AP12)/AP36</f>
        <v>0.4961271186</v>
      </c>
    </row>
    <row r="6" ht="15.75" customHeight="1">
      <c r="A6" s="120" t="s">
        <v>21</v>
      </c>
      <c r="B6" s="121">
        <v>5.0802250464662775E7</v>
      </c>
      <c r="C6" s="121">
        <v>4.960146228569605E7</v>
      </c>
      <c r="D6" s="121">
        <v>4.867810939672518E7</v>
      </c>
      <c r="E6" s="121">
        <v>4.773006796274342E7</v>
      </c>
      <c r="F6" s="121">
        <v>4.704491040665943E7</v>
      </c>
      <c r="G6" s="121">
        <v>4.658589674427732E7</v>
      </c>
      <c r="H6" s="121">
        <v>4.620843974367001E7</v>
      </c>
      <c r="I6" s="121">
        <v>4.5893048244923055E7</v>
      </c>
      <c r="J6" s="121">
        <v>4.557231175460053E7</v>
      </c>
      <c r="K6" s="121">
        <v>4.5047644359674744E7</v>
      </c>
      <c r="L6" s="121">
        <v>4.4501961018603645E7</v>
      </c>
      <c r="M6" s="121">
        <v>4.4027019891901426E7</v>
      </c>
      <c r="N6" s="121">
        <v>4.343211304379812E7</v>
      </c>
      <c r="O6" s="121">
        <v>4.304945678369385E7</v>
      </c>
      <c r="P6" s="121">
        <v>4.265551317829962E7</v>
      </c>
      <c r="Q6" s="121">
        <v>4.236879193867734E7</v>
      </c>
      <c r="R6" s="121">
        <v>4.202407812138781E7</v>
      </c>
      <c r="S6" s="121">
        <v>4.168634311452999E7</v>
      </c>
      <c r="T6" s="121">
        <v>4.128167264709186E7</v>
      </c>
      <c r="U6" s="121">
        <v>4.090701914679823E7</v>
      </c>
      <c r="V6" s="121">
        <v>4.0600107579526596E7</v>
      </c>
      <c r="W6" s="121">
        <v>4.040617058999205E7</v>
      </c>
      <c r="X6" s="121">
        <v>4.031200721000839E7</v>
      </c>
      <c r="Y6" s="121">
        <v>4.019391981503169E7</v>
      </c>
      <c r="Z6" s="121">
        <v>4.00707754164318E7</v>
      </c>
      <c r="AA6" s="121">
        <v>4.0147261734247886E7</v>
      </c>
      <c r="AB6" s="121">
        <v>4.0084717457792655E7</v>
      </c>
      <c r="AC6" s="121">
        <v>4.01319319814733E7</v>
      </c>
      <c r="AD6" s="121">
        <v>4.0125667945630744E7</v>
      </c>
      <c r="AE6" s="121">
        <v>4.010231590144506E7</v>
      </c>
      <c r="AF6" s="121">
        <v>4.0074707722533405E7</v>
      </c>
      <c r="AG6" s="121">
        <v>4.0071497721502E7</v>
      </c>
      <c r="AH6" s="121">
        <v>4.0040975655998304E7</v>
      </c>
      <c r="AI6" s="121">
        <v>4.002239905854303E7</v>
      </c>
      <c r="AJ6" s="121">
        <v>3.985076291047402E7</v>
      </c>
      <c r="AK6" s="121">
        <v>3.962633752988878E7</v>
      </c>
      <c r="AL6" s="121">
        <v>3.942431882273734E7</v>
      </c>
      <c r="AM6" s="121">
        <v>3.918253757734725E7</v>
      </c>
      <c r="AN6" s="121">
        <v>3.882985462535812E7</v>
      </c>
      <c r="AO6" s="121">
        <v>3.847355701103997E7</v>
      </c>
      <c r="AP6" s="121">
        <v>3.8032756779316425E7</v>
      </c>
      <c r="AQ6" s="121"/>
      <c r="AR6" s="117">
        <f t="shared" si="1"/>
        <v>-12769493.69</v>
      </c>
      <c r="AS6" s="118">
        <f t="shared" si="2"/>
        <v>-0.2513568507</v>
      </c>
      <c r="AT6" s="13" t="s">
        <v>104</v>
      </c>
      <c r="AU6" s="122">
        <f>AR5+AR12</f>
        <v>-51734155.42</v>
      </c>
    </row>
    <row r="7" ht="15.75" customHeight="1">
      <c r="A7" s="123" t="s">
        <v>28</v>
      </c>
      <c r="B7" s="121">
        <v>8.205818678159341E7</v>
      </c>
      <c r="C7" s="121">
        <v>8.009792255271475E7</v>
      </c>
      <c r="D7" s="121">
        <v>7.924973963221529E7</v>
      </c>
      <c r="E7" s="121">
        <v>7.820894998931122E7</v>
      </c>
      <c r="F7" s="121">
        <v>7.704538094521318E7</v>
      </c>
      <c r="G7" s="121">
        <v>7.590019402817926E7</v>
      </c>
      <c r="H7" s="121">
        <v>7.479235078887385E7</v>
      </c>
      <c r="I7" s="121">
        <v>7.356482562414637E7</v>
      </c>
      <c r="J7" s="121">
        <v>7.239504684493367E7</v>
      </c>
      <c r="K7" s="121">
        <v>7.081327460664122E7</v>
      </c>
      <c r="L7" s="121">
        <v>6.959095273674749E7</v>
      </c>
      <c r="M7" s="121">
        <v>6.87353201786445E7</v>
      </c>
      <c r="N7" s="121">
        <v>6.81190594256355E7</v>
      </c>
      <c r="O7" s="121">
        <v>6.742506259905392E7</v>
      </c>
      <c r="P7" s="121">
        <v>6.678109939250317E7</v>
      </c>
      <c r="Q7" s="121">
        <v>6.597863648892914E7</v>
      </c>
      <c r="R7" s="121">
        <v>6.508368223430024E7</v>
      </c>
      <c r="S7" s="121">
        <v>6.425101787627773E7</v>
      </c>
      <c r="T7" s="121">
        <v>6.3234317505410336E7</v>
      </c>
      <c r="U7" s="121">
        <v>6.213992794050215E7</v>
      </c>
      <c r="V7" s="121">
        <v>6.136797746608683E7</v>
      </c>
      <c r="W7" s="121">
        <v>6.080162819341762E7</v>
      </c>
      <c r="X7" s="121">
        <v>6.030100998101983E7</v>
      </c>
      <c r="Y7" s="121">
        <v>5.974475616574213E7</v>
      </c>
      <c r="Z7" s="121">
        <v>5.927965344857814E7</v>
      </c>
      <c r="AA7" s="121">
        <v>5.858524215041017E7</v>
      </c>
      <c r="AB7" s="121">
        <v>5.809843163012571E7</v>
      </c>
      <c r="AC7" s="121">
        <v>5.7203168380475566E7</v>
      </c>
      <c r="AD7" s="121">
        <v>5.630477094569389E7</v>
      </c>
      <c r="AE7" s="121">
        <v>5.553676623046216E7</v>
      </c>
      <c r="AF7" s="121">
        <v>5.486958082459476E7</v>
      </c>
      <c r="AG7" s="121">
        <v>5.431916243335619E7</v>
      </c>
      <c r="AH7" s="121">
        <v>5.3849328888719745E7</v>
      </c>
      <c r="AI7" s="121">
        <v>5.3366968690739654E7</v>
      </c>
      <c r="AJ7" s="121">
        <v>5.284315805116777E7</v>
      </c>
      <c r="AK7" s="121">
        <v>5.21685294841336E7</v>
      </c>
      <c r="AL7" s="121">
        <v>5.1650608116087064E7</v>
      </c>
      <c r="AM7" s="121">
        <v>5.0791351399277896E7</v>
      </c>
      <c r="AN7" s="121">
        <v>4.987042591802394E7</v>
      </c>
      <c r="AO7" s="121">
        <v>4.953394585521315E7</v>
      </c>
      <c r="AP7" s="121">
        <v>4.809562153123801E7</v>
      </c>
      <c r="AQ7" s="121"/>
      <c r="AR7" s="117">
        <f t="shared" si="1"/>
        <v>-33962565.25</v>
      </c>
      <c r="AS7" s="118">
        <f t="shared" si="2"/>
        <v>-0.4138839351</v>
      </c>
      <c r="AT7" s="13" t="s">
        <v>105</v>
      </c>
      <c r="AU7" s="3">
        <f>AU6/(B5+B12)</f>
        <v>-0.3422082347</v>
      </c>
    </row>
    <row r="8" ht="15.75" customHeight="1">
      <c r="A8" s="124" t="s">
        <v>30</v>
      </c>
      <c r="B8" s="121">
        <v>0.7640630798339845</v>
      </c>
      <c r="C8" s="121">
        <v>1.2670236450195311</v>
      </c>
      <c r="D8" s="121">
        <v>3.125976940917969</v>
      </c>
      <c r="E8" s="121">
        <v>1.5185890502929684</v>
      </c>
      <c r="F8" s="121">
        <v>4.035852331542968</v>
      </c>
      <c r="G8" s="121">
        <v>1.4314436828613277</v>
      </c>
      <c r="H8" s="121">
        <v>1.176981604003906</v>
      </c>
      <c r="I8" s="121">
        <v>3.868101312255859</v>
      </c>
      <c r="J8" s="121">
        <v>2.1259099548339853</v>
      </c>
      <c r="K8" s="121">
        <v>1.6034886413574225</v>
      </c>
      <c r="L8" s="121">
        <v>1.1079168518066407</v>
      </c>
      <c r="M8" s="121">
        <v>0.8516454345703125</v>
      </c>
      <c r="N8" s="121">
        <v>1.344818103027344</v>
      </c>
      <c r="O8" s="121">
        <v>2.6947261169433596</v>
      </c>
      <c r="P8" s="121">
        <v>0.5137797912597656</v>
      </c>
      <c r="Q8" s="121">
        <v>0.5903623168945313</v>
      </c>
      <c r="R8" s="121">
        <v>0.5918948547363282</v>
      </c>
      <c r="S8" s="121">
        <v>1.2640756103515625</v>
      </c>
      <c r="T8" s="121">
        <v>0.4258779235839843</v>
      </c>
      <c r="U8" s="121">
        <v>0.2524239685058594</v>
      </c>
      <c r="V8" s="121">
        <v>0.08400767211914062</v>
      </c>
      <c r="W8" s="121">
        <v>0.5121742736816406</v>
      </c>
      <c r="X8" s="121">
        <v>0.0</v>
      </c>
      <c r="Y8" s="121">
        <v>1.9358127990722656</v>
      </c>
      <c r="Z8" s="121">
        <v>1.3491343383789065</v>
      </c>
      <c r="AA8" s="121">
        <v>0.767916552734375</v>
      </c>
      <c r="AB8" s="121">
        <v>1.109951318359375</v>
      </c>
      <c r="AC8" s="121">
        <v>0.08399927368164063</v>
      </c>
      <c r="AD8" s="121">
        <v>2.021817303466796</v>
      </c>
      <c r="AE8" s="121">
        <v>0.5888735656738281</v>
      </c>
      <c r="AF8" s="121">
        <v>0.0</v>
      </c>
      <c r="AG8" s="121">
        <v>0.3361061950683594</v>
      </c>
      <c r="AH8" s="121">
        <v>0.0</v>
      </c>
      <c r="AI8" s="121">
        <v>0.4298015625</v>
      </c>
      <c r="AJ8" s="121">
        <v>0.08404432983398438</v>
      </c>
      <c r="AK8" s="121">
        <v>0.0</v>
      </c>
      <c r="AL8" s="121">
        <v>0.0</v>
      </c>
      <c r="AM8" s="121">
        <v>0.08594152221679688</v>
      </c>
      <c r="AN8" s="121">
        <v>1.433473870849609</v>
      </c>
      <c r="AO8" s="121">
        <v>0.1681225280761719</v>
      </c>
      <c r="AP8" s="121">
        <v>1.1805290405273436</v>
      </c>
      <c r="AQ8" s="121"/>
      <c r="AR8" s="117">
        <f t="shared" si="1"/>
        <v>0.4164659607</v>
      </c>
      <c r="AS8" s="118">
        <f t="shared" si="2"/>
        <v>0.5450675104</v>
      </c>
      <c r="AT8" s="13" t="s">
        <v>106</v>
      </c>
      <c r="AU8" s="125">
        <f>AR22/B22</f>
        <v>4.898289725</v>
      </c>
    </row>
    <row r="9" ht="15.75" customHeight="1">
      <c r="A9" s="124" t="s">
        <v>32</v>
      </c>
      <c r="B9" s="121">
        <v>62053.30791583213</v>
      </c>
      <c r="C9" s="121">
        <v>62070.87296169355</v>
      </c>
      <c r="D9" s="121">
        <v>61927.710686998646</v>
      </c>
      <c r="E9" s="121">
        <v>62264.48009747825</v>
      </c>
      <c r="F9" s="121">
        <v>62311.630784960245</v>
      </c>
      <c r="G9" s="121">
        <v>62641.14148349553</v>
      </c>
      <c r="H9" s="121">
        <v>62660.59182581102</v>
      </c>
      <c r="I9" s="121">
        <v>62141.629890234624</v>
      </c>
      <c r="J9" s="121">
        <v>62060.70230202043</v>
      </c>
      <c r="K9" s="121">
        <v>62922.647058801645</v>
      </c>
      <c r="L9" s="121">
        <v>63348.18113362333</v>
      </c>
      <c r="M9" s="121">
        <v>64135.85382633</v>
      </c>
      <c r="N9" s="121">
        <v>64377.03193051696</v>
      </c>
      <c r="O9" s="121">
        <v>64762.459806091974</v>
      </c>
      <c r="P9" s="121">
        <v>64887.84504805354</v>
      </c>
      <c r="Q9" s="121">
        <v>65522.46819752876</v>
      </c>
      <c r="R9" s="121">
        <v>65584.07999644837</v>
      </c>
      <c r="S9" s="121">
        <v>65625.06484747396</v>
      </c>
      <c r="T9" s="121">
        <v>65872.16241983672</v>
      </c>
      <c r="U9" s="121">
        <v>65949.94864037512</v>
      </c>
      <c r="V9" s="121">
        <v>65940.81947418267</v>
      </c>
      <c r="W9" s="121">
        <v>66077.31992650853</v>
      </c>
      <c r="X9" s="121">
        <v>66297.96903031103</v>
      </c>
      <c r="Y9" s="121">
        <v>66386.7145473827</v>
      </c>
      <c r="Z9" s="121">
        <v>66406.16757371348</v>
      </c>
      <c r="AA9" s="121">
        <v>66280.26467844353</v>
      </c>
      <c r="AB9" s="121">
        <v>66507.21512454987</v>
      </c>
      <c r="AC9" s="121">
        <v>66867.38280604368</v>
      </c>
      <c r="AD9" s="121">
        <v>67397.02522088852</v>
      </c>
      <c r="AE9" s="121">
        <v>67466.2421603601</v>
      </c>
      <c r="AF9" s="121">
        <v>67401.42694301951</v>
      </c>
      <c r="AG9" s="121">
        <v>67404.19774968445</v>
      </c>
      <c r="AH9" s="121">
        <v>67407.48710741758</v>
      </c>
      <c r="AI9" s="121">
        <v>67459.47062113852</v>
      </c>
      <c r="AJ9" s="121">
        <v>67654.33469361765</v>
      </c>
      <c r="AK9" s="121">
        <v>67889.48382582556</v>
      </c>
      <c r="AL9" s="121">
        <v>68252.31828952831</v>
      </c>
      <c r="AM9" s="121">
        <v>68233.48567969525</v>
      </c>
      <c r="AN9" s="121">
        <v>68815.6972439288</v>
      </c>
      <c r="AO9" s="121">
        <v>68599.67069884182</v>
      </c>
      <c r="AP9" s="121">
        <v>69099.86507564224</v>
      </c>
      <c r="AQ9" s="121"/>
      <c r="AR9" s="117">
        <f t="shared" si="1"/>
        <v>7046.55716</v>
      </c>
      <c r="AS9" s="118">
        <f t="shared" si="2"/>
        <v>0.1135565113</v>
      </c>
      <c r="AT9" s="126"/>
    </row>
    <row r="10" ht="15.75" customHeight="1">
      <c r="A10" s="124" t="s">
        <v>33</v>
      </c>
      <c r="B10" s="121">
        <v>401.90299916992194</v>
      </c>
      <c r="C10" s="121">
        <v>402.74339221191417</v>
      </c>
      <c r="D10" s="121">
        <v>403.19455899047864</v>
      </c>
      <c r="E10" s="121">
        <v>397.0173358154299</v>
      </c>
      <c r="F10" s="121">
        <v>396.4765455078126</v>
      </c>
      <c r="G10" s="121">
        <v>394.097515374756</v>
      </c>
      <c r="H10" s="121">
        <v>386.6715734191896</v>
      </c>
      <c r="I10" s="121">
        <v>381.9820786560059</v>
      </c>
      <c r="J10" s="121">
        <v>376.7855433166505</v>
      </c>
      <c r="K10" s="121">
        <v>368.1257504089356</v>
      </c>
      <c r="L10" s="121">
        <v>357.69788621215827</v>
      </c>
      <c r="M10" s="121">
        <v>348.2374879821778</v>
      </c>
      <c r="N10" s="121">
        <v>343.2908355407715</v>
      </c>
      <c r="O10" s="121">
        <v>337.83649368286126</v>
      </c>
      <c r="P10" s="121">
        <v>331.04045249633793</v>
      </c>
      <c r="Q10" s="121">
        <v>330.91818392944333</v>
      </c>
      <c r="R10" s="121">
        <v>326.0725443237304</v>
      </c>
      <c r="S10" s="121">
        <v>327.9277147399903</v>
      </c>
      <c r="T10" s="121">
        <v>334.02774393920896</v>
      </c>
      <c r="U10" s="121">
        <v>334.91972000732426</v>
      </c>
      <c r="V10" s="121">
        <v>337.2547650207521</v>
      </c>
      <c r="W10" s="121">
        <v>337.43316317138675</v>
      </c>
      <c r="X10" s="121">
        <v>333.15725975952154</v>
      </c>
      <c r="Y10" s="121">
        <v>327.97412976074224</v>
      </c>
      <c r="Z10" s="121">
        <v>324.4141192687989</v>
      </c>
      <c r="AA10" s="121">
        <v>321.00306860351577</v>
      </c>
      <c r="AB10" s="121">
        <v>323.0124871643067</v>
      </c>
      <c r="AC10" s="121">
        <v>321.5089921142579</v>
      </c>
      <c r="AD10" s="121">
        <v>320.5967719970704</v>
      </c>
      <c r="AE10" s="121">
        <v>315.57353047485367</v>
      </c>
      <c r="AF10" s="121">
        <v>317.0166885375977</v>
      </c>
      <c r="AG10" s="121">
        <v>321.92363777465835</v>
      </c>
      <c r="AH10" s="121">
        <v>322.5577253173828</v>
      </c>
      <c r="AI10" s="121">
        <v>323.9358934020997</v>
      </c>
      <c r="AJ10" s="121">
        <v>322.0816744995117</v>
      </c>
      <c r="AK10" s="121">
        <v>324.3184557922364</v>
      </c>
      <c r="AL10" s="121">
        <v>317.5925012390138</v>
      </c>
      <c r="AM10" s="121">
        <v>306.51663339843753</v>
      </c>
      <c r="AN10" s="121">
        <v>295.0150588562012</v>
      </c>
      <c r="AO10" s="121">
        <v>296.10980565185554</v>
      </c>
      <c r="AP10" s="121">
        <v>299.17735515747074</v>
      </c>
      <c r="AQ10" s="121"/>
      <c r="AR10" s="117">
        <f t="shared" si="1"/>
        <v>-102.725644</v>
      </c>
      <c r="AS10" s="118">
        <f t="shared" si="2"/>
        <v>-0.2555981026</v>
      </c>
      <c r="AT10" s="6"/>
    </row>
    <row r="11" ht="15.75" customHeight="1">
      <c r="A11" s="124" t="s">
        <v>36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17">
        <f t="shared" si="1"/>
        <v>0</v>
      </c>
      <c r="AS11" s="118" t="s">
        <v>89</v>
      </c>
      <c r="AT11" s="6"/>
    </row>
    <row r="12" ht="15.75" customHeight="1">
      <c r="A12" s="115" t="s">
        <v>37</v>
      </c>
      <c r="B12" s="115">
        <v>1.8254519153334215E7</v>
      </c>
      <c r="C12" s="115">
        <v>1.7555767610221177E7</v>
      </c>
      <c r="D12" s="115">
        <v>1.7013264675245132E7</v>
      </c>
      <c r="E12" s="115">
        <v>1.687033416533358E7</v>
      </c>
      <c r="F12" s="115">
        <v>1.669171884391257E7</v>
      </c>
      <c r="G12" s="115">
        <v>1.6510777271305544E7</v>
      </c>
      <c r="H12" s="115">
        <v>1.6338509365632387E7</v>
      </c>
      <c r="I12" s="115">
        <v>1.6195936076231139E7</v>
      </c>
      <c r="J12" s="115">
        <v>1.6079693179713173E7</v>
      </c>
      <c r="K12" s="115">
        <v>1.5984359811382562E7</v>
      </c>
      <c r="L12" s="115">
        <v>1.5883405842258887E7</v>
      </c>
      <c r="M12" s="115">
        <v>1.5756041030493746E7</v>
      </c>
      <c r="N12" s="115">
        <v>1.5658989150476377E7</v>
      </c>
      <c r="O12" s="115">
        <v>1.559277278872443E7</v>
      </c>
      <c r="P12" s="115">
        <v>1.5553032110908912E7</v>
      </c>
      <c r="Q12" s="115">
        <v>1.5682633417624058E7</v>
      </c>
      <c r="R12" s="115">
        <v>1.5704480074333148E7</v>
      </c>
      <c r="S12" s="115">
        <v>1.5685975055160653E7</v>
      </c>
      <c r="T12" s="115">
        <v>1.5650349367151748E7</v>
      </c>
      <c r="U12" s="115">
        <v>1.5588592194380583E7</v>
      </c>
      <c r="V12" s="115">
        <v>1.5549487468228042E7</v>
      </c>
      <c r="W12" s="115">
        <v>1.5497426181691622E7</v>
      </c>
      <c r="X12" s="115">
        <v>1.5405805632775856E7</v>
      </c>
      <c r="Y12" s="115">
        <v>1.53279241390119E7</v>
      </c>
      <c r="Z12" s="115">
        <v>1.5261435664023053E7</v>
      </c>
      <c r="AA12" s="115">
        <v>1.5159984031410808E7</v>
      </c>
      <c r="AB12" s="115">
        <v>1.5111379607404934E7</v>
      </c>
      <c r="AC12" s="115">
        <v>1.502772022170045E7</v>
      </c>
      <c r="AD12" s="115">
        <v>1.4973341011880025E7</v>
      </c>
      <c r="AE12" s="115">
        <v>1.493925962163106E7</v>
      </c>
      <c r="AF12" s="115">
        <v>1.4887940404367309E7</v>
      </c>
      <c r="AG12" s="115">
        <v>1.4806523772542786E7</v>
      </c>
      <c r="AH12" s="115">
        <v>1.4735396253985947E7</v>
      </c>
      <c r="AI12" s="115">
        <v>1.4662299488616744E7</v>
      </c>
      <c r="AJ12" s="115">
        <v>1.4536364748695869E7</v>
      </c>
      <c r="AK12" s="115">
        <v>1.4405859501454433E7</v>
      </c>
      <c r="AL12" s="115">
        <v>1.4203430879551915E7</v>
      </c>
      <c r="AM12" s="116">
        <v>1.3999606523285285E7</v>
      </c>
      <c r="AN12" s="116">
        <v>1.3742349626637358E7</v>
      </c>
      <c r="AO12" s="116">
        <v>1.353085408132122E7</v>
      </c>
      <c r="AP12" s="116">
        <v>1.3245478422489168E7</v>
      </c>
      <c r="AQ12" s="33"/>
      <c r="AR12" s="117">
        <f t="shared" si="1"/>
        <v>-5009040.731</v>
      </c>
      <c r="AS12" s="118">
        <f t="shared" ref="AS12:AS13" si="3">AR12/B12</f>
        <v>-0.274400037</v>
      </c>
      <c r="AT12" s="6"/>
    </row>
    <row r="13" ht="15.75" customHeight="1">
      <c r="A13" s="33" t="s">
        <v>40</v>
      </c>
      <c r="B13" s="121">
        <v>7856619.176260615</v>
      </c>
      <c r="C13" s="121">
        <v>7563566.41728854</v>
      </c>
      <c r="D13" s="121">
        <v>7403199.655833958</v>
      </c>
      <c r="E13" s="121">
        <v>7340115.899888424</v>
      </c>
      <c r="F13" s="121">
        <v>7252693.829782567</v>
      </c>
      <c r="G13" s="121">
        <v>7202239.031419623</v>
      </c>
      <c r="H13" s="121">
        <v>7165026.358453764</v>
      </c>
      <c r="I13" s="121">
        <v>7129833.062125656</v>
      </c>
      <c r="J13" s="121">
        <v>7106144.939355067</v>
      </c>
      <c r="K13" s="121">
        <v>7105106.273140871</v>
      </c>
      <c r="L13" s="121">
        <v>7078430.852200316</v>
      </c>
      <c r="M13" s="121">
        <v>7032008.355320768</v>
      </c>
      <c r="N13" s="121">
        <v>6972017.332095233</v>
      </c>
      <c r="O13" s="121">
        <v>6924670.702584582</v>
      </c>
      <c r="P13" s="121">
        <v>6891686.495517492</v>
      </c>
      <c r="Q13" s="121">
        <v>6988113.078255882</v>
      </c>
      <c r="R13" s="121">
        <v>7003023.056468141</v>
      </c>
      <c r="S13" s="121">
        <v>7002666.371728964</v>
      </c>
      <c r="T13" s="121">
        <v>6995968.441880032</v>
      </c>
      <c r="U13" s="121">
        <v>6985449.208034146</v>
      </c>
      <c r="V13" s="121">
        <v>6981146.930830302</v>
      </c>
      <c r="W13" s="121">
        <v>6965555.232707053</v>
      </c>
      <c r="X13" s="121">
        <v>6919234.053212358</v>
      </c>
      <c r="Y13" s="121">
        <v>6892226.546093069</v>
      </c>
      <c r="Z13" s="121">
        <v>6875840.997438737</v>
      </c>
      <c r="AA13" s="121">
        <v>6831968.528855313</v>
      </c>
      <c r="AB13" s="121">
        <v>6830126.230281036</v>
      </c>
      <c r="AC13" s="121">
        <v>6801394.881929685</v>
      </c>
      <c r="AD13" s="121">
        <v>6785362.542298298</v>
      </c>
      <c r="AE13" s="121">
        <v>6773695.313858838</v>
      </c>
      <c r="AF13" s="121">
        <v>6750948.230518896</v>
      </c>
      <c r="AG13" s="121">
        <v>6707772.99489925</v>
      </c>
      <c r="AH13" s="121">
        <v>6690045.699974646</v>
      </c>
      <c r="AI13" s="121">
        <v>6674666.521139099</v>
      </c>
      <c r="AJ13" s="121">
        <v>6646595.728262667</v>
      </c>
      <c r="AK13" s="121">
        <v>6650394.953732896</v>
      </c>
      <c r="AL13" s="121">
        <v>6622897.42186514</v>
      </c>
      <c r="AM13" s="121">
        <v>6619702.735834027</v>
      </c>
      <c r="AN13" s="121">
        <v>6569224.664730668</v>
      </c>
      <c r="AO13" s="121">
        <v>6526233.830318635</v>
      </c>
      <c r="AP13" s="121">
        <v>6435936.851322258</v>
      </c>
      <c r="AQ13" s="121"/>
      <c r="AR13" s="117">
        <f t="shared" si="1"/>
        <v>-1420682.325</v>
      </c>
      <c r="AS13" s="118">
        <f t="shared" si="3"/>
        <v>-0.1808261662</v>
      </c>
      <c r="AT13" s="6"/>
    </row>
    <row r="14" ht="15.75" customHeight="1">
      <c r="A14" s="33" t="s">
        <v>44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17">
        <f t="shared" si="1"/>
        <v>0</v>
      </c>
      <c r="AS14" s="118" t="s">
        <v>89</v>
      </c>
      <c r="AT14" s="6"/>
    </row>
    <row r="15" ht="15.75" customHeight="1">
      <c r="A15" s="33" t="s">
        <v>45</v>
      </c>
      <c r="B15" s="121">
        <v>9101330.434274517</v>
      </c>
      <c r="C15" s="121">
        <v>8695438.97177492</v>
      </c>
      <c r="D15" s="121">
        <v>8312392.308354717</v>
      </c>
      <c r="E15" s="121">
        <v>8232211.605541892</v>
      </c>
      <c r="F15" s="121">
        <v>8141248.742690273</v>
      </c>
      <c r="G15" s="121">
        <v>8010816.766627453</v>
      </c>
      <c r="H15" s="121">
        <v>7876455.736105372</v>
      </c>
      <c r="I15" s="121">
        <v>7769741.549060206</v>
      </c>
      <c r="J15" s="121">
        <v>7677010.336770826</v>
      </c>
      <c r="K15" s="121">
        <v>7582154.477541582</v>
      </c>
      <c r="L15" s="121">
        <v>7507585.67225517</v>
      </c>
      <c r="M15" s="121">
        <v>7427219.2717370335</v>
      </c>
      <c r="N15" s="121">
        <v>7390322.360631632</v>
      </c>
      <c r="O15" s="121">
        <v>7370333.757749766</v>
      </c>
      <c r="P15" s="121">
        <v>7362647.197706266</v>
      </c>
      <c r="Q15" s="121">
        <v>7395388.00582363</v>
      </c>
      <c r="R15" s="121">
        <v>7402229.39901973</v>
      </c>
      <c r="S15" s="121">
        <v>7384187.0419982625</v>
      </c>
      <c r="T15" s="121">
        <v>7355544.404680547</v>
      </c>
      <c r="U15" s="121">
        <v>7304039.683033283</v>
      </c>
      <c r="V15" s="121">
        <v>7269225.153346619</v>
      </c>
      <c r="W15" s="121">
        <v>7232851.852735669</v>
      </c>
      <c r="X15" s="121">
        <v>7187806.791484437</v>
      </c>
      <c r="Y15" s="121">
        <v>7137337.506887187</v>
      </c>
      <c r="Z15" s="121">
        <v>7087404.887612872</v>
      </c>
      <c r="AA15" s="121">
        <v>7029877.927557584</v>
      </c>
      <c r="AB15" s="121">
        <v>6983923.257672844</v>
      </c>
      <c r="AC15" s="121">
        <v>6930327.7283541635</v>
      </c>
      <c r="AD15" s="121">
        <v>6892913.570226984</v>
      </c>
      <c r="AE15" s="121">
        <v>6871052.442338147</v>
      </c>
      <c r="AF15" s="121">
        <v>6841813.221146173</v>
      </c>
      <c r="AG15" s="121">
        <v>6803022.595959124</v>
      </c>
      <c r="AH15" s="121">
        <v>6749297.480296383</v>
      </c>
      <c r="AI15" s="121">
        <v>6691053.67235202</v>
      </c>
      <c r="AJ15" s="121">
        <v>6592726.174172982</v>
      </c>
      <c r="AK15" s="121">
        <v>6457803.905188273</v>
      </c>
      <c r="AL15" s="121">
        <v>6282571.432127318</v>
      </c>
      <c r="AM15" s="121">
        <v>6081568.382852995</v>
      </c>
      <c r="AN15" s="121">
        <v>5874377.593473033</v>
      </c>
      <c r="AO15" s="121">
        <v>5706581.089243799</v>
      </c>
      <c r="AP15" s="121">
        <v>5511238.197241992</v>
      </c>
      <c r="AQ15" s="121"/>
      <c r="AR15" s="117">
        <f t="shared" si="1"/>
        <v>-3590092.237</v>
      </c>
      <c r="AS15" s="118">
        <f>AR15/B15</f>
        <v>-0.3944579601</v>
      </c>
      <c r="AT15" s="6"/>
    </row>
    <row r="16" ht="15.75" customHeight="1">
      <c r="A16" s="33" t="s">
        <v>52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17">
        <f t="shared" si="1"/>
        <v>0</v>
      </c>
      <c r="AS16" s="118" t="s">
        <v>89</v>
      </c>
      <c r="AT16" s="6"/>
    </row>
    <row r="17" ht="15.75" customHeight="1">
      <c r="A17" s="120" t="s">
        <v>53</v>
      </c>
      <c r="B17" s="121">
        <v>8604.226422167852</v>
      </c>
      <c r="C17" s="121">
        <v>8591.990834533612</v>
      </c>
      <c r="D17" s="121">
        <v>8584.668107971116</v>
      </c>
      <c r="E17" s="121">
        <v>8614.485171600261</v>
      </c>
      <c r="F17" s="121">
        <v>8371.2351551086</v>
      </c>
      <c r="G17" s="121">
        <v>8168.260664550671</v>
      </c>
      <c r="H17" s="121">
        <v>7955.017515435778</v>
      </c>
      <c r="I17" s="121">
        <v>7901.944234875428</v>
      </c>
      <c r="J17" s="121">
        <v>7883.908779852204</v>
      </c>
      <c r="K17" s="121">
        <v>7984.499001415942</v>
      </c>
      <c r="L17" s="121">
        <v>8251.84879637447</v>
      </c>
      <c r="M17" s="121">
        <v>8024.462442187433</v>
      </c>
      <c r="N17" s="121">
        <v>8108.760372534105</v>
      </c>
      <c r="O17" s="121">
        <v>8796.097513720635</v>
      </c>
      <c r="P17" s="121">
        <v>8963.974838049204</v>
      </c>
      <c r="Q17" s="121">
        <v>9071.119373290909</v>
      </c>
      <c r="R17" s="121">
        <v>9031.194250768973</v>
      </c>
      <c r="S17" s="121">
        <v>8763.455586175492</v>
      </c>
      <c r="T17" s="121">
        <v>8552.16183826291</v>
      </c>
      <c r="U17" s="121">
        <v>8679.423049023402</v>
      </c>
      <c r="V17" s="121">
        <v>8853.038262109307</v>
      </c>
      <c r="W17" s="121">
        <v>8927.070911010675</v>
      </c>
      <c r="X17" s="121">
        <v>8806.502850201328</v>
      </c>
      <c r="Y17" s="121">
        <v>8623.963966284095</v>
      </c>
      <c r="Z17" s="121">
        <v>8568.338756164483</v>
      </c>
      <c r="AA17" s="121">
        <v>8553.871966839546</v>
      </c>
      <c r="AB17" s="121">
        <v>8325.691189251691</v>
      </c>
      <c r="AC17" s="121">
        <v>7757.254010668898</v>
      </c>
      <c r="AD17" s="121">
        <v>7385.490399731475</v>
      </c>
      <c r="AE17" s="121">
        <v>7260.190281427041</v>
      </c>
      <c r="AF17" s="121">
        <v>7207.950369470255</v>
      </c>
      <c r="AG17" s="121">
        <v>7081.049144238338</v>
      </c>
      <c r="AH17" s="121">
        <v>6814.012267236349</v>
      </c>
      <c r="AI17" s="121">
        <v>6615.821707666032</v>
      </c>
      <c r="AJ17" s="121">
        <v>6671.820722082523</v>
      </c>
      <c r="AK17" s="121">
        <v>6580.196463879373</v>
      </c>
      <c r="AL17" s="121">
        <v>6524.113960345436</v>
      </c>
      <c r="AM17" s="121">
        <v>6241.395296997086</v>
      </c>
      <c r="AN17" s="121">
        <v>6067.0728862427</v>
      </c>
      <c r="AO17" s="121">
        <v>5664.311669256606</v>
      </c>
      <c r="AP17" s="121">
        <v>5380.056588977033</v>
      </c>
      <c r="AQ17" s="121"/>
      <c r="AR17" s="117">
        <f t="shared" si="1"/>
        <v>-3224.169833</v>
      </c>
      <c r="AS17" s="118">
        <f t="shared" ref="AS17:AS28" si="4">AR17/B17</f>
        <v>-0.3747193153</v>
      </c>
      <c r="AT17" s="126"/>
    </row>
    <row r="18" ht="15.75" customHeight="1">
      <c r="A18" s="33" t="s">
        <v>54</v>
      </c>
      <c r="B18" s="121">
        <v>1052957.9583899004</v>
      </c>
      <c r="C18" s="121">
        <v>1053130.7219046466</v>
      </c>
      <c r="D18" s="121">
        <v>1053578.774151998</v>
      </c>
      <c r="E18" s="121">
        <v>1054046.0370262237</v>
      </c>
      <c r="F18" s="121">
        <v>1054268.4187706267</v>
      </c>
      <c r="G18" s="121">
        <v>1054428.263372604</v>
      </c>
      <c r="H18" s="121">
        <v>1054508.1291051297</v>
      </c>
      <c r="I18" s="121">
        <v>1054697.7044389376</v>
      </c>
      <c r="J18" s="121">
        <v>1054748.6336632841</v>
      </c>
      <c r="K18" s="121">
        <v>1054867.9032056243</v>
      </c>
      <c r="L18" s="121">
        <v>1055002.7436526644</v>
      </c>
      <c r="M18" s="121">
        <v>1055100.4838905653</v>
      </c>
      <c r="N18" s="121">
        <v>1055303.5640553294</v>
      </c>
      <c r="O18" s="121">
        <v>1055457.4469059033</v>
      </c>
      <c r="P18" s="121">
        <v>1055577.0719308858</v>
      </c>
      <c r="Q18" s="121">
        <v>1055802.0619290357</v>
      </c>
      <c r="R18" s="121">
        <v>1055894.7865362433</v>
      </c>
      <c r="S18" s="121">
        <v>1055943.793148273</v>
      </c>
      <c r="T18" s="121">
        <v>1055856.6367086556</v>
      </c>
      <c r="U18" s="121">
        <v>1055883.9054710336</v>
      </c>
      <c r="V18" s="121">
        <v>1055862.7225510748</v>
      </c>
      <c r="W18" s="121">
        <v>1055927.486952899</v>
      </c>
      <c r="X18" s="121">
        <v>1055925.4282409</v>
      </c>
      <c r="Y18" s="121">
        <v>1055879.0170718015</v>
      </c>
      <c r="Z18" s="121">
        <v>1055908.572945605</v>
      </c>
      <c r="AA18" s="121">
        <v>1056014.6144952693</v>
      </c>
      <c r="AB18" s="121">
        <v>1056059.4069761848</v>
      </c>
      <c r="AC18" s="121">
        <v>1056215.7696989342</v>
      </c>
      <c r="AD18" s="121">
        <v>1056571.444824856</v>
      </c>
      <c r="AE18" s="121">
        <v>1056762.2639095853</v>
      </c>
      <c r="AF18" s="121">
        <v>1056990.2198672509</v>
      </c>
      <c r="AG18" s="121">
        <v>1057113.7490764724</v>
      </c>
      <c r="AH18" s="121">
        <v>1057292.3135676088</v>
      </c>
      <c r="AI18" s="121">
        <v>1057486.6458089715</v>
      </c>
      <c r="AJ18" s="121">
        <v>1057621.3086054383</v>
      </c>
      <c r="AK18" s="121">
        <v>1057903.041886604</v>
      </c>
      <c r="AL18" s="121">
        <v>1058078.6409134837</v>
      </c>
      <c r="AM18" s="121">
        <v>1058453.2344212178</v>
      </c>
      <c r="AN18" s="121">
        <v>1058900.6064972559</v>
      </c>
      <c r="AO18" s="121">
        <v>1059010.5512845793</v>
      </c>
      <c r="AP18" s="121">
        <v>1059521.770600797</v>
      </c>
      <c r="AQ18" s="121"/>
      <c r="AR18" s="117">
        <f t="shared" si="1"/>
        <v>6563.812211</v>
      </c>
      <c r="AS18" s="118">
        <f t="shared" si="4"/>
        <v>0.00623368878</v>
      </c>
      <c r="AT18" s="13"/>
      <c r="AU18" s="6"/>
    </row>
    <row r="19" ht="15.75" customHeight="1">
      <c r="A19" s="33" t="s">
        <v>56</v>
      </c>
      <c r="B19" s="121">
        <v>235007.3579870181</v>
      </c>
      <c r="C19" s="121">
        <v>235039.5084185364</v>
      </c>
      <c r="D19" s="121">
        <v>235509.2687964884</v>
      </c>
      <c r="E19" s="121">
        <v>235346.1377054371</v>
      </c>
      <c r="F19" s="121">
        <v>235136.6175139946</v>
      </c>
      <c r="G19" s="121">
        <v>235124.9492213127</v>
      </c>
      <c r="H19" s="121">
        <v>234564.1244526842</v>
      </c>
      <c r="I19" s="121">
        <v>233761.8163714624</v>
      </c>
      <c r="J19" s="121">
        <v>233905.3611441445</v>
      </c>
      <c r="K19" s="121">
        <v>234246.6584930707</v>
      </c>
      <c r="L19" s="121">
        <v>234134.725354363</v>
      </c>
      <c r="M19" s="121">
        <v>233688.4571031902</v>
      </c>
      <c r="N19" s="121">
        <v>233237.1333216476</v>
      </c>
      <c r="O19" s="121">
        <v>233514.7839704571</v>
      </c>
      <c r="P19" s="121">
        <v>234157.3709162173</v>
      </c>
      <c r="Q19" s="121">
        <v>234259.1522422186</v>
      </c>
      <c r="R19" s="121">
        <v>234301.6380582654</v>
      </c>
      <c r="S19" s="121">
        <v>234414.3926989746</v>
      </c>
      <c r="T19" s="121">
        <v>234427.7220442506</v>
      </c>
      <c r="U19" s="121">
        <v>234539.9747930961</v>
      </c>
      <c r="V19" s="121">
        <v>234399.6232379382</v>
      </c>
      <c r="W19" s="121">
        <v>234164.53838499</v>
      </c>
      <c r="X19" s="121">
        <v>234032.8569879622</v>
      </c>
      <c r="Y19" s="121">
        <v>233857.1049935595</v>
      </c>
      <c r="Z19" s="121">
        <v>233712.8672696767</v>
      </c>
      <c r="AA19" s="121">
        <v>233569.0885358021</v>
      </c>
      <c r="AB19" s="121">
        <v>232945.021285617</v>
      </c>
      <c r="AC19" s="121">
        <v>232024.5877070005</v>
      </c>
      <c r="AD19" s="121">
        <v>231107.9641301552</v>
      </c>
      <c r="AE19" s="121">
        <v>230489.4112430617</v>
      </c>
      <c r="AF19" s="121">
        <v>230980.7824655171</v>
      </c>
      <c r="AG19" s="121">
        <v>231533.383463702</v>
      </c>
      <c r="AH19" s="121">
        <v>231946.7478800727</v>
      </c>
      <c r="AI19" s="121">
        <v>232476.8276089864</v>
      </c>
      <c r="AJ19" s="121">
        <v>232749.7169327</v>
      </c>
      <c r="AK19" s="121">
        <v>233177.4041827822</v>
      </c>
      <c r="AL19" s="121">
        <v>233359.2706856265</v>
      </c>
      <c r="AM19" s="121">
        <v>233640.7748800479</v>
      </c>
      <c r="AN19" s="121">
        <v>233779.6890501583</v>
      </c>
      <c r="AO19" s="121">
        <v>233364.2988049493</v>
      </c>
      <c r="AP19" s="121">
        <v>233401.5467351431</v>
      </c>
      <c r="AQ19" s="121"/>
      <c r="AR19" s="117">
        <f t="shared" si="1"/>
        <v>-1605.811252</v>
      </c>
      <c r="AS19" s="118">
        <f t="shared" si="4"/>
        <v>-0.006833025424</v>
      </c>
      <c r="AT19" s="6"/>
    </row>
    <row r="20" ht="15.75" customHeight="1">
      <c r="A20" s="116" t="s">
        <v>48</v>
      </c>
      <c r="B20" s="115">
        <v>4.669745245986793E7</v>
      </c>
      <c r="C20" s="115">
        <v>5.066026732841998E7</v>
      </c>
      <c r="D20" s="115">
        <v>5.309197419329789E7</v>
      </c>
      <c r="E20" s="115">
        <v>5.524165637815811E7</v>
      </c>
      <c r="F20" s="115">
        <v>5.726844478956769E7</v>
      </c>
      <c r="G20" s="115">
        <v>5.9046586588487744E7</v>
      </c>
      <c r="H20" s="115">
        <v>6.0657370498475075E7</v>
      </c>
      <c r="I20" s="115">
        <v>6.232512779946075E7</v>
      </c>
      <c r="J20" s="115">
        <v>6.393124342672518E7</v>
      </c>
      <c r="K20" s="115">
        <v>6.610443811021628E7</v>
      </c>
      <c r="L20" s="115">
        <v>6.796011148609766E7</v>
      </c>
      <c r="M20" s="115">
        <v>6.941180925540501E7</v>
      </c>
      <c r="N20" s="115">
        <v>7.061527634295763E7</v>
      </c>
      <c r="O20" s="115">
        <v>7.174822530766082E7</v>
      </c>
      <c r="P20" s="115">
        <v>7.282803008033025E7</v>
      </c>
      <c r="Q20" s="115">
        <v>7.391524151341045E7</v>
      </c>
      <c r="R20" s="115">
        <v>7.514563470131543E7</v>
      </c>
      <c r="S20" s="115">
        <v>7.623276350846687E7</v>
      </c>
      <c r="T20" s="115">
        <v>7.764762502797487E7</v>
      </c>
      <c r="U20" s="115">
        <v>7.914299634815563E7</v>
      </c>
      <c r="V20" s="115">
        <v>8.023966862085095E7</v>
      </c>
      <c r="W20" s="115">
        <v>8.100982744643937E7</v>
      </c>
      <c r="X20" s="115">
        <v>8.167647509403901E7</v>
      </c>
      <c r="Y20" s="115">
        <v>8.240125269992204E7</v>
      </c>
      <c r="Z20" s="115">
        <v>8.302881087607957E7</v>
      </c>
      <c r="AA20" s="115">
        <v>8.372366678452043E7</v>
      </c>
      <c r="AB20" s="115">
        <v>8.42823754466533E7</v>
      </c>
      <c r="AC20" s="115">
        <v>8.522529443878509E7</v>
      </c>
      <c r="AD20" s="115">
        <v>8.622702896253563E7</v>
      </c>
      <c r="AE20" s="115">
        <v>8.706284888724513E7</v>
      </c>
      <c r="AF20" s="115">
        <v>8.781822677942927E7</v>
      </c>
      <c r="AG20" s="115">
        <v>8.84449405539308E7</v>
      </c>
      <c r="AH20" s="115">
        <v>8.901046955906014E7</v>
      </c>
      <c r="AI20" s="115">
        <v>8.954641584010845E7</v>
      </c>
      <c r="AJ20" s="115">
        <v>9.032557399502355E7</v>
      </c>
      <c r="AK20" s="115">
        <v>9.129952272392003E7</v>
      </c>
      <c r="AL20" s="115">
        <v>9.219402821808721E7</v>
      </c>
      <c r="AM20" s="116">
        <v>9.33466831337922E7</v>
      </c>
      <c r="AN20" s="116">
        <v>9.479139946367006E7</v>
      </c>
      <c r="AO20" s="116">
        <v>9.572669014446461E7</v>
      </c>
      <c r="AP20" s="116">
        <v>9.79384443215065E7</v>
      </c>
      <c r="AQ20" s="33"/>
      <c r="AR20" s="117">
        <f t="shared" si="1"/>
        <v>51240991.86</v>
      </c>
      <c r="AS20" s="118">
        <f t="shared" si="4"/>
        <v>1.097297372</v>
      </c>
      <c r="AT20" s="13"/>
    </row>
    <row r="21" ht="15.75" customHeight="1">
      <c r="A21" s="120" t="s">
        <v>85</v>
      </c>
      <c r="B21" s="121">
        <v>3.6582162879297026E7</v>
      </c>
      <c r="C21" s="121">
        <v>4.054467522411551E7</v>
      </c>
      <c r="D21" s="121">
        <v>4.239715835975893E7</v>
      </c>
      <c r="E21" s="121">
        <v>4.389671921638882E7</v>
      </c>
      <c r="F21" s="121">
        <v>4.526973341176251E7</v>
      </c>
      <c r="G21" s="121">
        <v>4.635808095986805E7</v>
      </c>
      <c r="H21" s="121">
        <v>4.724152603155997E7</v>
      </c>
      <c r="I21" s="121">
        <v>4.854459780986726E7</v>
      </c>
      <c r="J21" s="121">
        <v>4.965593387174668E7</v>
      </c>
      <c r="K21" s="121">
        <v>5.1080033684840806E7</v>
      </c>
      <c r="L21" s="121">
        <v>5.235937346868378E7</v>
      </c>
      <c r="M21" s="121">
        <v>5.3246662291997544E7</v>
      </c>
      <c r="N21" s="121">
        <v>5.396990051261618E7</v>
      </c>
      <c r="O21" s="121">
        <v>5.460147064510666E7</v>
      </c>
      <c r="P21" s="121">
        <v>5.506895988858028E7</v>
      </c>
      <c r="Q21" s="121">
        <v>5.5525195501667835E7</v>
      </c>
      <c r="R21" s="121">
        <v>5.5994338142274305E7</v>
      </c>
      <c r="S21" s="121">
        <v>5.6345342193686746E7</v>
      </c>
      <c r="T21" s="121">
        <v>5.6886084142916515E7</v>
      </c>
      <c r="U21" s="121">
        <v>5.699989861526816E7</v>
      </c>
      <c r="V21" s="121">
        <v>5.705809099211186E7</v>
      </c>
      <c r="W21" s="121">
        <v>5.701524133207595E7</v>
      </c>
      <c r="X21" s="121">
        <v>5.695888628619941E7</v>
      </c>
      <c r="Y21" s="121">
        <v>5.686586877941383E7</v>
      </c>
      <c r="Z21" s="121">
        <v>5.673216222842945E7</v>
      </c>
      <c r="AA21" s="121">
        <v>5.671940557742009E7</v>
      </c>
      <c r="AB21" s="121">
        <v>5.667851627110045E7</v>
      </c>
      <c r="AC21" s="121">
        <v>5.66078104820649E7</v>
      </c>
      <c r="AD21" s="121">
        <v>5.631827083312391E7</v>
      </c>
      <c r="AE21" s="121">
        <v>5.6006485493830115E7</v>
      </c>
      <c r="AF21" s="121">
        <v>5.573641320407093E7</v>
      </c>
      <c r="AG21" s="121">
        <v>5.544468784124598E7</v>
      </c>
      <c r="AH21" s="121">
        <v>5.504674370616346E7</v>
      </c>
      <c r="AI21" s="121">
        <v>5.484402265424141E7</v>
      </c>
      <c r="AJ21" s="121">
        <v>5.4627124393525854E7</v>
      </c>
      <c r="AK21" s="121">
        <v>5.434330501117268E7</v>
      </c>
      <c r="AL21" s="121">
        <v>5.422829803802599E7</v>
      </c>
      <c r="AM21" s="121">
        <v>5.415025924523891E7</v>
      </c>
      <c r="AN21" s="121">
        <v>5.397812651756411E7</v>
      </c>
      <c r="AO21" s="121">
        <v>5.352108149763044E7</v>
      </c>
      <c r="AP21" s="121">
        <v>5.391116119498022E7</v>
      </c>
      <c r="AQ21" s="121"/>
      <c r="AR21" s="117">
        <f t="shared" si="1"/>
        <v>17328998.32</v>
      </c>
      <c r="AS21" s="118">
        <f t="shared" si="4"/>
        <v>0.4737007588</v>
      </c>
      <c r="AT21" s="6"/>
    </row>
    <row r="22" ht="15.75" customHeight="1">
      <c r="A22" s="33" t="s">
        <v>90</v>
      </c>
      <c r="B22" s="121">
        <v>5033721.497899819</v>
      </c>
      <c r="C22" s="121">
        <v>5127528.68752352</v>
      </c>
      <c r="D22" s="121">
        <v>6002823.466647957</v>
      </c>
      <c r="E22" s="121">
        <v>6726721.078751191</v>
      </c>
      <c r="F22" s="121">
        <v>7488539.493512595</v>
      </c>
      <c r="G22" s="121">
        <v>8372365.211257627</v>
      </c>
      <c r="H22" s="121">
        <v>9626444.28003248</v>
      </c>
      <c r="I22" s="121">
        <v>9989681.286951602</v>
      </c>
      <c r="J22" s="121">
        <v>1.0487870910487913E7</v>
      </c>
      <c r="K22" s="121">
        <v>1.1015865166959532E7</v>
      </c>
      <c r="L22" s="121">
        <v>1.1438730756133806E7</v>
      </c>
      <c r="M22" s="121">
        <v>1.2041829467891047E7</v>
      </c>
      <c r="N22" s="121">
        <v>1.2447660064225387E7</v>
      </c>
      <c r="O22" s="121">
        <v>1.2903283891888611E7</v>
      </c>
      <c r="P22" s="121">
        <v>1.3473759108813832E7</v>
      </c>
      <c r="Q22" s="121">
        <v>1.4073706425456831E7</v>
      </c>
      <c r="R22" s="121">
        <v>1.4750645881849319E7</v>
      </c>
      <c r="S22" s="121">
        <v>1.5322239640917134E7</v>
      </c>
      <c r="T22" s="121">
        <v>1.586229334601092E7</v>
      </c>
      <c r="U22" s="121">
        <v>1.722650060906219E7</v>
      </c>
      <c r="V22" s="121">
        <v>1.8400415323414177E7</v>
      </c>
      <c r="W22" s="121">
        <v>1.9252942916653346E7</v>
      </c>
      <c r="X22" s="121">
        <v>1.9813373866085984E7</v>
      </c>
      <c r="Y22" s="121">
        <v>2.0331902145126298E7</v>
      </c>
      <c r="Z22" s="121">
        <v>2.0788944292667385E7</v>
      </c>
      <c r="AA22" s="121">
        <v>2.126954074869515E7</v>
      </c>
      <c r="AB22" s="121">
        <v>2.1621886360157385E7</v>
      </c>
      <c r="AC22" s="121">
        <v>2.227368276810067E7</v>
      </c>
      <c r="AD22" s="121">
        <v>2.3078944521474574E7</v>
      </c>
      <c r="AE22" s="121">
        <v>2.4060582040974826E7</v>
      </c>
      <c r="AF22" s="121">
        <v>2.4957996473690446E7</v>
      </c>
      <c r="AG22" s="121">
        <v>2.5695606764825035E7</v>
      </c>
      <c r="AH22" s="121">
        <v>2.6484201437888775E7</v>
      </c>
      <c r="AI22" s="121">
        <v>2.690857159851304E7</v>
      </c>
      <c r="AJ22" s="121">
        <v>2.7322083107659694E7</v>
      </c>
      <c r="AK22" s="121">
        <v>2.7745328226913456E7</v>
      </c>
      <c r="AL22" s="121">
        <v>2.7964378122345198E7</v>
      </c>
      <c r="AM22" s="121">
        <v>2.8343292407060426E7</v>
      </c>
      <c r="AN22" s="121">
        <v>2.87178389184306E7</v>
      </c>
      <c r="AO22" s="121">
        <v>2.916908534114133E7</v>
      </c>
      <c r="AP22" s="121">
        <v>2.9690347790147822E7</v>
      </c>
      <c r="AQ22" s="121"/>
      <c r="AR22" s="117">
        <f t="shared" si="1"/>
        <v>24656626.29</v>
      </c>
      <c r="AS22" s="118">
        <f t="shared" si="4"/>
        <v>4.898289725</v>
      </c>
      <c r="AT22" s="126"/>
    </row>
    <row r="23" ht="15.75" customHeight="1">
      <c r="A23" s="33" t="s">
        <v>91</v>
      </c>
      <c r="B23" s="121">
        <v>634121.2129152943</v>
      </c>
      <c r="C23" s="121">
        <v>659860.1008293319</v>
      </c>
      <c r="D23" s="121">
        <v>703422.2405299301</v>
      </c>
      <c r="E23" s="121">
        <v>910721.6768671242</v>
      </c>
      <c r="F23" s="121">
        <v>969483.1414594812</v>
      </c>
      <c r="G23" s="121">
        <v>1042635.334942634</v>
      </c>
      <c r="H23" s="121">
        <v>1179899.4774426762</v>
      </c>
      <c r="I23" s="121">
        <v>1233212.4033091806</v>
      </c>
      <c r="J23" s="121">
        <v>1277086.552514344</v>
      </c>
      <c r="K23" s="121">
        <v>1317554.518908179</v>
      </c>
      <c r="L23" s="121">
        <v>1343777.4137791293</v>
      </c>
      <c r="M23" s="121">
        <v>1348774.826050326</v>
      </c>
      <c r="N23" s="121">
        <v>1383314.4460395048</v>
      </c>
      <c r="O23" s="121">
        <v>1388683.5648833155</v>
      </c>
      <c r="P23" s="121">
        <v>1396031.4251928336</v>
      </c>
      <c r="Q23" s="121">
        <v>1407527.215262412</v>
      </c>
      <c r="R23" s="121">
        <v>1409591.8061555163</v>
      </c>
      <c r="S23" s="121">
        <v>1423553.8148758654</v>
      </c>
      <c r="T23" s="121">
        <v>1436685.7545230705</v>
      </c>
      <c r="U23" s="121">
        <v>1465745.7481109602</v>
      </c>
      <c r="V23" s="121">
        <v>1503187.2372316464</v>
      </c>
      <c r="W23" s="121">
        <v>1559270.6056962982</v>
      </c>
      <c r="X23" s="121">
        <v>1644707.800510272</v>
      </c>
      <c r="Y23" s="121">
        <v>1752098.4888604083</v>
      </c>
      <c r="Z23" s="121">
        <v>1927684.9497163878</v>
      </c>
      <c r="AA23" s="121">
        <v>2110692.120336066</v>
      </c>
      <c r="AB23" s="121">
        <v>2268409.9318772205</v>
      </c>
      <c r="AC23" s="121">
        <v>2476844.696533124</v>
      </c>
      <c r="AD23" s="121">
        <v>2761026.978717461</v>
      </c>
      <c r="AE23" s="121">
        <v>2924552.797073164</v>
      </c>
      <c r="AF23" s="121">
        <v>3084294.6104090125</v>
      </c>
      <c r="AG23" s="121">
        <v>3198126.3667164957</v>
      </c>
      <c r="AH23" s="121">
        <v>3285046.175283956</v>
      </c>
      <c r="AI23" s="121">
        <v>3340259.51162103</v>
      </c>
      <c r="AJ23" s="121">
        <v>3418268.090267985</v>
      </c>
      <c r="AK23" s="121">
        <v>3492038.528674716</v>
      </c>
      <c r="AL23" s="121">
        <v>3559245.7897511283</v>
      </c>
      <c r="AM23" s="121">
        <v>3633517.445190027</v>
      </c>
      <c r="AN23" s="121">
        <v>3746892.8659479558</v>
      </c>
      <c r="AO23" s="121">
        <v>3881527.772506057</v>
      </c>
      <c r="AP23" s="121">
        <v>3875293.5031528585</v>
      </c>
      <c r="AQ23" s="121"/>
      <c r="AR23" s="117">
        <f t="shared" si="1"/>
        <v>3241172.29</v>
      </c>
      <c r="AS23" s="118">
        <f t="shared" si="4"/>
        <v>5.111281919</v>
      </c>
      <c r="AT23" s="6"/>
    </row>
    <row r="24" ht="15.75" customHeight="1">
      <c r="A24" s="120" t="s">
        <v>92</v>
      </c>
      <c r="B24" s="121">
        <v>4447446.86975579</v>
      </c>
      <c r="C24" s="121">
        <v>4328203.3159516165</v>
      </c>
      <c r="D24" s="121">
        <v>3988570.126361069</v>
      </c>
      <c r="E24" s="121">
        <v>3707494.406150966</v>
      </c>
      <c r="F24" s="121">
        <v>3540688.742833102</v>
      </c>
      <c r="G24" s="121">
        <v>3273505.08241943</v>
      </c>
      <c r="H24" s="121">
        <v>2609500.7094399547</v>
      </c>
      <c r="I24" s="121">
        <v>2557636.299332704</v>
      </c>
      <c r="J24" s="121">
        <v>2510352.091976238</v>
      </c>
      <c r="K24" s="121">
        <v>2690984.739507764</v>
      </c>
      <c r="L24" s="121">
        <v>2818229.847500936</v>
      </c>
      <c r="M24" s="121">
        <v>2774542.669466094</v>
      </c>
      <c r="N24" s="121">
        <v>2814401.3200765727</v>
      </c>
      <c r="O24" s="121">
        <v>2854787.205782231</v>
      </c>
      <c r="P24" s="121">
        <v>2889279.6577433</v>
      </c>
      <c r="Q24" s="121">
        <v>2908812.3710233755</v>
      </c>
      <c r="R24" s="121">
        <v>2991058.8710362855</v>
      </c>
      <c r="S24" s="121">
        <v>3141627.8589871195</v>
      </c>
      <c r="T24" s="121">
        <v>3462561.7845243653</v>
      </c>
      <c r="U24" s="121">
        <v>3450851.3757143198</v>
      </c>
      <c r="V24" s="121">
        <v>3277975.0680932766</v>
      </c>
      <c r="W24" s="121">
        <v>3182372.5920137544</v>
      </c>
      <c r="X24" s="121">
        <v>3259507.141243341</v>
      </c>
      <c r="Y24" s="121">
        <v>3451383.286521501</v>
      </c>
      <c r="Z24" s="121">
        <v>3580019.4052663418</v>
      </c>
      <c r="AA24" s="121">
        <v>3624028.338069109</v>
      </c>
      <c r="AB24" s="121">
        <v>3713562.8835182516</v>
      </c>
      <c r="AC24" s="121">
        <v>3866956.492086376</v>
      </c>
      <c r="AD24" s="121">
        <v>4068786.6292196894</v>
      </c>
      <c r="AE24" s="121">
        <v>4071228.555367024</v>
      </c>
      <c r="AF24" s="121">
        <v>4039522.491258892</v>
      </c>
      <c r="AG24" s="121">
        <v>4106519.5811433</v>
      </c>
      <c r="AH24" s="121">
        <v>4194478.239723947</v>
      </c>
      <c r="AI24" s="121">
        <v>4453562.075732979</v>
      </c>
      <c r="AJ24" s="121">
        <v>4958098.403570014</v>
      </c>
      <c r="AK24" s="121">
        <v>5718850.957159175</v>
      </c>
      <c r="AL24" s="121">
        <v>6442106.267964898</v>
      </c>
      <c r="AM24" s="121">
        <v>7219614.036302846</v>
      </c>
      <c r="AN24" s="121">
        <v>8348541.161727387</v>
      </c>
      <c r="AO24" s="121">
        <v>9154995.533186788</v>
      </c>
      <c r="AP24" s="121">
        <v>1.0461641833225587E7</v>
      </c>
      <c r="AQ24" s="121"/>
      <c r="AR24" s="117">
        <f t="shared" si="1"/>
        <v>6014194.963</v>
      </c>
      <c r="AS24" s="118">
        <f t="shared" si="4"/>
        <v>1.35228034</v>
      </c>
      <c r="AT24" s="6"/>
    </row>
    <row r="25" ht="15.75" customHeight="1">
      <c r="A25" s="116" t="s">
        <v>60</v>
      </c>
      <c r="B25" s="115">
        <v>1039626.9761715835</v>
      </c>
      <c r="C25" s="115">
        <v>902413.0794160189</v>
      </c>
      <c r="D25" s="115">
        <v>797852.5871365289</v>
      </c>
      <c r="E25" s="115">
        <v>775092.7122272723</v>
      </c>
      <c r="F25" s="115">
        <v>772832.6507207481</v>
      </c>
      <c r="G25" s="115">
        <v>769561.6170346919</v>
      </c>
      <c r="H25" s="115">
        <v>778304.8244754157</v>
      </c>
      <c r="I25" s="115">
        <v>802231.593835677</v>
      </c>
      <c r="J25" s="115">
        <v>815757.7942150475</v>
      </c>
      <c r="K25" s="115">
        <v>835479.7405981068</v>
      </c>
      <c r="L25" s="115">
        <v>859607.7802146483</v>
      </c>
      <c r="M25" s="115">
        <v>880793.1647641541</v>
      </c>
      <c r="N25" s="115">
        <v>897309.9664169229</v>
      </c>
      <c r="O25" s="115">
        <v>908945.8414721828</v>
      </c>
      <c r="P25" s="115">
        <v>917815.8790178228</v>
      </c>
      <c r="Q25" s="115">
        <v>928301.9465295497</v>
      </c>
      <c r="R25" s="115">
        <v>938519.2029455444</v>
      </c>
      <c r="S25" s="115">
        <v>952096.8704564411</v>
      </c>
      <c r="T25" s="115">
        <v>964530.7081000225</v>
      </c>
      <c r="U25" s="115">
        <v>968189.0752518128</v>
      </c>
      <c r="V25" s="115">
        <v>975576.6107288355</v>
      </c>
      <c r="W25" s="115">
        <v>986484.1668587779</v>
      </c>
      <c r="X25" s="115">
        <v>1000428.639426524</v>
      </c>
      <c r="Y25" s="115">
        <v>1026384.4180513002</v>
      </c>
      <c r="Z25" s="115">
        <v>1050729.4761202154</v>
      </c>
      <c r="AA25" s="115">
        <v>1066230.7729957795</v>
      </c>
      <c r="AB25" s="115">
        <v>1081854.0289269257</v>
      </c>
      <c r="AC25" s="115">
        <v>1090225.647743015</v>
      </c>
      <c r="AD25" s="115">
        <v>1110708.7253735277</v>
      </c>
      <c r="AE25" s="115">
        <v>1131514.3073144918</v>
      </c>
      <c r="AF25" s="115">
        <v>1145650.8776534472</v>
      </c>
      <c r="AG25" s="115">
        <v>1161518.1167830692</v>
      </c>
      <c r="AH25" s="115">
        <v>1176534.8517694597</v>
      </c>
      <c r="AI25" s="115">
        <v>1195551.48117607</v>
      </c>
      <c r="AJ25" s="115">
        <v>1219033.7055417767</v>
      </c>
      <c r="AK25" s="115">
        <v>1249030.5486039037</v>
      </c>
      <c r="AL25" s="115">
        <v>1279602.829556125</v>
      </c>
      <c r="AM25" s="116">
        <v>1321395.4688671846</v>
      </c>
      <c r="AN25" s="116">
        <v>1371779.946699782</v>
      </c>
      <c r="AO25" s="116">
        <v>1365516.2000670102</v>
      </c>
      <c r="AP25" s="116">
        <v>1337264.8489849954</v>
      </c>
      <c r="AQ25" s="33"/>
      <c r="AR25" s="117">
        <f t="shared" si="1"/>
        <v>297637.8728</v>
      </c>
      <c r="AS25" s="118">
        <f t="shared" si="4"/>
        <v>0.2862929489</v>
      </c>
    </row>
    <row r="26" ht="15.75" customHeight="1">
      <c r="A26" s="120" t="s">
        <v>93</v>
      </c>
      <c r="B26" s="121">
        <v>109585.95422251786</v>
      </c>
      <c r="C26" s="121">
        <v>108177.43298132726</v>
      </c>
      <c r="D26" s="121">
        <v>108633.50779221335</v>
      </c>
      <c r="E26" s="121">
        <v>108330.458343796</v>
      </c>
      <c r="F26" s="121">
        <v>107879.72436061324</v>
      </c>
      <c r="G26" s="121">
        <v>108091.8906264177</v>
      </c>
      <c r="H26" s="121">
        <v>108611.95608886024</v>
      </c>
      <c r="I26" s="121">
        <v>112969.14805130947</v>
      </c>
      <c r="J26" s="121">
        <v>113448.09821919973</v>
      </c>
      <c r="K26" s="121">
        <v>109688.58803266671</v>
      </c>
      <c r="L26" s="121">
        <v>109851.18970758852</v>
      </c>
      <c r="M26" s="121">
        <v>113685.82130817496</v>
      </c>
      <c r="N26" s="121">
        <v>115138.35437169664</v>
      </c>
      <c r="O26" s="121">
        <v>113432.69675486126</v>
      </c>
      <c r="P26" s="121">
        <v>110500.74973802756</v>
      </c>
      <c r="Q26" s="121">
        <v>109264.02805776367</v>
      </c>
      <c r="R26" s="121">
        <v>109768.1416158517</v>
      </c>
      <c r="S26" s="121">
        <v>110948.64873519454</v>
      </c>
      <c r="T26" s="121">
        <v>111019.8839403302</v>
      </c>
      <c r="U26" s="121">
        <v>110661.69655305467</v>
      </c>
      <c r="V26" s="121">
        <v>110908.73939117024</v>
      </c>
      <c r="W26" s="121">
        <v>111426.77037140695</v>
      </c>
      <c r="X26" s="121">
        <v>111090.2474134959</v>
      </c>
      <c r="Y26" s="121">
        <v>111143.16857051698</v>
      </c>
      <c r="Z26" s="121">
        <v>112949.09450557083</v>
      </c>
      <c r="AA26" s="121">
        <v>114284.3128177075</v>
      </c>
      <c r="AB26" s="121">
        <v>115289.94797192882</v>
      </c>
      <c r="AC26" s="121">
        <v>117268.03181164047</v>
      </c>
      <c r="AD26" s="121">
        <v>117640.79602623911</v>
      </c>
      <c r="AE26" s="121">
        <v>116733.41374703801</v>
      </c>
      <c r="AF26" s="121">
        <v>116849.80807725752</v>
      </c>
      <c r="AG26" s="121">
        <v>116787.06138382705</v>
      </c>
      <c r="AH26" s="121">
        <v>115703.86343041452</v>
      </c>
      <c r="AI26" s="121">
        <v>113369.36051463765</v>
      </c>
      <c r="AJ26" s="121">
        <v>112326.70430514641</v>
      </c>
      <c r="AK26" s="121">
        <v>111230.76301812522</v>
      </c>
      <c r="AL26" s="121">
        <v>111096.86409749924</v>
      </c>
      <c r="AM26" s="121">
        <v>110882.04111529895</v>
      </c>
      <c r="AN26" s="121">
        <v>112680.28356890532</v>
      </c>
      <c r="AO26" s="121">
        <v>111613.37049831523</v>
      </c>
      <c r="AP26" s="121">
        <v>110783.64039083474</v>
      </c>
      <c r="AQ26" s="121"/>
      <c r="AR26" s="117">
        <f t="shared" si="1"/>
        <v>1197.686168</v>
      </c>
      <c r="AS26" s="118">
        <f t="shared" si="4"/>
        <v>0.01092919414</v>
      </c>
    </row>
    <row r="27" ht="15.75" customHeight="1">
      <c r="A27" s="120" t="s">
        <v>94</v>
      </c>
      <c r="B27" s="121">
        <v>385497.89622639725</v>
      </c>
      <c r="C27" s="121">
        <v>402777.50074681325</v>
      </c>
      <c r="D27" s="121">
        <v>415002.4979500892</v>
      </c>
      <c r="E27" s="121">
        <v>433128.6349728439</v>
      </c>
      <c r="F27" s="121">
        <v>451814.68390097993</v>
      </c>
      <c r="G27" s="121">
        <v>470788.83216034266</v>
      </c>
      <c r="H27" s="121">
        <v>491546.8519447271</v>
      </c>
      <c r="I27" s="121">
        <v>512267.6357997472</v>
      </c>
      <c r="J27" s="121">
        <v>531957.4094308934</v>
      </c>
      <c r="K27" s="121">
        <v>552486.0135566503</v>
      </c>
      <c r="L27" s="121">
        <v>571726.340844608</v>
      </c>
      <c r="M27" s="121">
        <v>590079.8827936074</v>
      </c>
      <c r="N27" s="121">
        <v>607965.1376810479</v>
      </c>
      <c r="O27" s="121">
        <v>625677.9825967101</v>
      </c>
      <c r="P27" s="121">
        <v>642821.2757717869</v>
      </c>
      <c r="Q27" s="121">
        <v>658068.9024142115</v>
      </c>
      <c r="R27" s="121">
        <v>671356.2422671985</v>
      </c>
      <c r="S27" s="121">
        <v>684059.6522236327</v>
      </c>
      <c r="T27" s="121">
        <v>696876.1595637203</v>
      </c>
      <c r="U27" s="121">
        <v>709048.3522143768</v>
      </c>
      <c r="V27" s="121">
        <v>720300.7516477968</v>
      </c>
      <c r="W27" s="121">
        <v>731897.1404756213</v>
      </c>
      <c r="X27" s="121">
        <v>743262.5036113741</v>
      </c>
      <c r="Y27" s="121">
        <v>756392.5648592318</v>
      </c>
      <c r="Z27" s="121">
        <v>769854.8276222557</v>
      </c>
      <c r="AA27" s="121">
        <v>783641.7719626913</v>
      </c>
      <c r="AB27" s="121">
        <v>798507.8044833844</v>
      </c>
      <c r="AC27" s="121">
        <v>814773.9412154871</v>
      </c>
      <c r="AD27" s="121">
        <v>832147.9615599107</v>
      </c>
      <c r="AE27" s="121">
        <v>848708.3464382908</v>
      </c>
      <c r="AF27" s="121">
        <v>864069.0964582147</v>
      </c>
      <c r="AG27" s="121">
        <v>878555.8196296128</v>
      </c>
      <c r="AH27" s="121">
        <v>891780.9664947331</v>
      </c>
      <c r="AI27" s="121">
        <v>904130.4264498837</v>
      </c>
      <c r="AJ27" s="121">
        <v>914687.1368683192</v>
      </c>
      <c r="AK27" s="121">
        <v>925885.4593160269</v>
      </c>
      <c r="AL27" s="121">
        <v>936547.0743914742</v>
      </c>
      <c r="AM27" s="121">
        <v>946770.3347748348</v>
      </c>
      <c r="AN27" s="121">
        <v>956284.0386041501</v>
      </c>
      <c r="AO27" s="121">
        <v>969595.077849085</v>
      </c>
      <c r="AP27" s="121">
        <v>982902.4397324377</v>
      </c>
      <c r="AQ27" s="121"/>
      <c r="AR27" s="117">
        <f t="shared" si="1"/>
        <v>597404.5435</v>
      </c>
      <c r="AS27" s="118">
        <f t="shared" si="4"/>
        <v>1.549695989</v>
      </c>
    </row>
    <row r="28" ht="15.75" customHeight="1">
      <c r="A28" s="33" t="s">
        <v>96</v>
      </c>
      <c r="B28" s="121">
        <v>10029.94230524897</v>
      </c>
      <c r="C28" s="121">
        <v>14114.336077746959</v>
      </c>
      <c r="D28" s="121">
        <v>16683.298669336138</v>
      </c>
      <c r="E28" s="121">
        <v>17917.80982056295</v>
      </c>
      <c r="F28" s="121">
        <v>18313.598658258226</v>
      </c>
      <c r="G28" s="121">
        <v>20016.848204840193</v>
      </c>
      <c r="H28" s="121">
        <v>21351.429937756333</v>
      </c>
      <c r="I28" s="121">
        <v>22705.374803631526</v>
      </c>
      <c r="J28" s="121">
        <v>23833.582086718743</v>
      </c>
      <c r="K28" s="121">
        <v>25507.304810797094</v>
      </c>
      <c r="L28" s="121">
        <v>26067.20889682017</v>
      </c>
      <c r="M28" s="121">
        <v>26334.661919952516</v>
      </c>
      <c r="N28" s="121">
        <v>26808.140760626215</v>
      </c>
      <c r="O28" s="121">
        <v>27650.560812256</v>
      </c>
      <c r="P28" s="121">
        <v>28370.694489984297</v>
      </c>
      <c r="Q28" s="121">
        <v>28283.38780067771</v>
      </c>
      <c r="R28" s="121">
        <v>27961.672504211747</v>
      </c>
      <c r="S28" s="121">
        <v>28264.041221887477</v>
      </c>
      <c r="T28" s="121">
        <v>29124.619484228904</v>
      </c>
      <c r="U28" s="121">
        <v>30100.153009491478</v>
      </c>
      <c r="V28" s="121">
        <v>30840.72084839528</v>
      </c>
      <c r="W28" s="121">
        <v>31629.037503937216</v>
      </c>
      <c r="X28" s="121">
        <v>32642.419729541365</v>
      </c>
      <c r="Y28" s="121">
        <v>33749.65184162616</v>
      </c>
      <c r="Z28" s="121">
        <v>34103.58142154548</v>
      </c>
      <c r="AA28" s="121">
        <v>35356.332117492806</v>
      </c>
      <c r="AB28" s="121">
        <v>36928.84263635865</v>
      </c>
      <c r="AC28" s="121">
        <v>37819.99807243067</v>
      </c>
      <c r="AD28" s="121">
        <v>38274.46670920421</v>
      </c>
      <c r="AE28" s="121">
        <v>39447.13800389423</v>
      </c>
      <c r="AF28" s="121">
        <v>40974.09370109885</v>
      </c>
      <c r="AG28" s="121">
        <v>41917.564965656</v>
      </c>
      <c r="AH28" s="121">
        <v>42583.393439026266</v>
      </c>
      <c r="AI28" s="121">
        <v>43521.93803048133</v>
      </c>
      <c r="AJ28" s="121">
        <v>44631.10222329168</v>
      </c>
      <c r="AK28" s="121">
        <v>49029.40898391172</v>
      </c>
      <c r="AL28" s="121">
        <v>51512.90879331088</v>
      </c>
      <c r="AM28" s="121">
        <v>53088.03483964847</v>
      </c>
      <c r="AN28" s="121">
        <v>54808.81296406858</v>
      </c>
      <c r="AO28" s="121">
        <v>57684.023399932485</v>
      </c>
      <c r="AP28" s="121">
        <v>61743.16899012231</v>
      </c>
      <c r="AQ28" s="121"/>
      <c r="AR28" s="117">
        <f t="shared" si="1"/>
        <v>51713.22668</v>
      </c>
      <c r="AS28" s="118">
        <f t="shared" si="4"/>
        <v>5.155884761</v>
      </c>
    </row>
    <row r="29" ht="15.75" customHeight="1">
      <c r="A29" s="33" t="s">
        <v>97</v>
      </c>
      <c r="B29" s="121">
        <v>0.0</v>
      </c>
      <c r="C29" s="121">
        <v>0.0</v>
      </c>
      <c r="D29" s="121">
        <v>0.0</v>
      </c>
      <c r="E29" s="121">
        <v>0.0</v>
      </c>
      <c r="F29" s="121">
        <v>0.0</v>
      </c>
      <c r="G29" s="121">
        <v>0.0</v>
      </c>
      <c r="H29" s="121">
        <v>0.0</v>
      </c>
      <c r="I29" s="121">
        <v>0.0</v>
      </c>
      <c r="J29" s="121">
        <v>0.0</v>
      </c>
      <c r="K29" s="121">
        <v>0.0</v>
      </c>
      <c r="L29" s="121">
        <v>0.0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0.0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121">
        <v>0.0</v>
      </c>
      <c r="Z29" s="121">
        <v>0.0</v>
      </c>
      <c r="AA29" s="121">
        <v>0.0</v>
      </c>
      <c r="AB29" s="121">
        <v>0.0</v>
      </c>
      <c r="AC29" s="121">
        <v>0.0</v>
      </c>
      <c r="AD29" s="121">
        <v>0.0</v>
      </c>
      <c r="AE29" s="121">
        <v>0.0</v>
      </c>
      <c r="AF29" s="121">
        <v>0.0</v>
      </c>
      <c r="AG29" s="121">
        <v>568.8994512206999</v>
      </c>
      <c r="AH29" s="121">
        <v>1099.6613763732994</v>
      </c>
      <c r="AI29" s="121">
        <v>1826.1611729004157</v>
      </c>
      <c r="AJ29" s="121">
        <v>3173.468850836188</v>
      </c>
      <c r="AK29" s="121">
        <v>3400.0549966736207</v>
      </c>
      <c r="AL29" s="121">
        <v>4014.9119190918623</v>
      </c>
      <c r="AM29" s="121">
        <v>5648.799143817241</v>
      </c>
      <c r="AN29" s="121">
        <v>8715.727296716375</v>
      </c>
      <c r="AO29" s="121">
        <v>11787.768018945388</v>
      </c>
      <c r="AP29" s="121">
        <v>13889.692728344795</v>
      </c>
      <c r="AQ29" s="121"/>
      <c r="AR29" s="117">
        <f t="shared" si="1"/>
        <v>13889.69273</v>
      </c>
      <c r="AS29" s="118" t="s">
        <v>89</v>
      </c>
    </row>
    <row r="30" ht="15.75" customHeight="1">
      <c r="A30" s="33" t="s">
        <v>98</v>
      </c>
      <c r="B30" s="121">
        <v>0.0</v>
      </c>
      <c r="C30" s="121">
        <v>0.0</v>
      </c>
      <c r="D30" s="121">
        <v>0.0</v>
      </c>
      <c r="E30" s="121">
        <v>0.0</v>
      </c>
      <c r="F30" s="121">
        <v>0.0</v>
      </c>
      <c r="G30" s="121">
        <v>0.0</v>
      </c>
      <c r="H30" s="121">
        <v>0.0</v>
      </c>
      <c r="I30" s="121">
        <v>0.0</v>
      </c>
      <c r="J30" s="121">
        <v>0.0</v>
      </c>
      <c r="K30" s="121">
        <v>0.0</v>
      </c>
      <c r="L30" s="121">
        <v>0.0</v>
      </c>
      <c r="M30" s="121">
        <v>0.0</v>
      </c>
      <c r="N30" s="121">
        <v>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121">
        <v>0.0</v>
      </c>
      <c r="Z30" s="121">
        <v>0.0</v>
      </c>
      <c r="AA30" s="121">
        <v>0.0</v>
      </c>
      <c r="AB30" s="121">
        <v>0.0</v>
      </c>
      <c r="AC30" s="121">
        <v>0.0</v>
      </c>
      <c r="AD30" s="121">
        <v>0.0</v>
      </c>
      <c r="AE30" s="121">
        <v>0.0</v>
      </c>
      <c r="AF30" s="121">
        <v>0.0</v>
      </c>
      <c r="AG30" s="121">
        <v>1078.293895001218</v>
      </c>
      <c r="AH30" s="121">
        <v>1302.4727925292948</v>
      </c>
      <c r="AI30" s="121">
        <v>1339.6214072814914</v>
      </c>
      <c r="AJ30" s="121">
        <v>1507.4608180847147</v>
      </c>
      <c r="AK30" s="121">
        <v>1616.804145520016</v>
      </c>
      <c r="AL30" s="121">
        <v>1668.2959228271454</v>
      </c>
      <c r="AM30" s="121">
        <v>1905.2939112548797</v>
      </c>
      <c r="AN30" s="121">
        <v>2005.4392060974096</v>
      </c>
      <c r="AO30" s="121">
        <v>2121.4218708984336</v>
      </c>
      <c r="AP30" s="121">
        <v>2180.21478304443</v>
      </c>
      <c r="AQ30" s="121"/>
      <c r="AR30" s="117">
        <f t="shared" si="1"/>
        <v>2180.214783</v>
      </c>
      <c r="AS30" s="118" t="s">
        <v>89</v>
      </c>
    </row>
    <row r="31" ht="15.75" customHeight="1">
      <c r="A31" s="120" t="s">
        <v>99</v>
      </c>
      <c r="B31" s="121">
        <v>534513.1834174194</v>
      </c>
      <c r="C31" s="121">
        <v>377343.8096101315</v>
      </c>
      <c r="D31" s="121">
        <v>257533.2827248901</v>
      </c>
      <c r="E31" s="121">
        <v>215715.80909006952</v>
      </c>
      <c r="F31" s="121">
        <v>194824.64380089677</v>
      </c>
      <c r="G31" s="121">
        <v>170664.04604309125</v>
      </c>
      <c r="H31" s="121">
        <v>156794.5865040719</v>
      </c>
      <c r="I31" s="121">
        <v>154289.4351809887</v>
      </c>
      <c r="J31" s="121">
        <v>146518.70447823562</v>
      </c>
      <c r="K31" s="121">
        <v>147797.83419799263</v>
      </c>
      <c r="L31" s="121">
        <v>151963.04076563162</v>
      </c>
      <c r="M31" s="121">
        <v>150692.7987424192</v>
      </c>
      <c r="N31" s="121">
        <v>147398.33360355214</v>
      </c>
      <c r="O31" s="121">
        <v>142184.6013083555</v>
      </c>
      <c r="P31" s="121">
        <v>136123.15901802396</v>
      </c>
      <c r="Q31" s="121">
        <v>132685.6282568967</v>
      </c>
      <c r="R31" s="121">
        <v>129433.14655828243</v>
      </c>
      <c r="S31" s="121">
        <v>128824.52827572633</v>
      </c>
      <c r="T31" s="121">
        <v>127510.04511174303</v>
      </c>
      <c r="U31" s="121">
        <v>118378.87347488987</v>
      </c>
      <c r="V31" s="121">
        <v>113526.3988414731</v>
      </c>
      <c r="W31" s="121">
        <v>111531.21850781239</v>
      </c>
      <c r="X31" s="121">
        <v>113433.46867211265</v>
      </c>
      <c r="Y31" s="121">
        <v>125099.0327799253</v>
      </c>
      <c r="Z31" s="121">
        <v>133821.9725708434</v>
      </c>
      <c r="AA31" s="121">
        <v>132948.35609788782</v>
      </c>
      <c r="AB31" s="121">
        <v>131127.43383525388</v>
      </c>
      <c r="AC31" s="121">
        <v>120363.67664345673</v>
      </c>
      <c r="AD31" s="121">
        <v>122645.50107817371</v>
      </c>
      <c r="AE31" s="121">
        <v>126625.4091252688</v>
      </c>
      <c r="AF31" s="121">
        <v>123757.87941687615</v>
      </c>
      <c r="AG31" s="121">
        <v>122610.47745775133</v>
      </c>
      <c r="AH31" s="121">
        <v>124064.4942363832</v>
      </c>
      <c r="AI31" s="121">
        <v>131363.9736008853</v>
      </c>
      <c r="AJ31" s="121">
        <v>142707.8324760985</v>
      </c>
      <c r="AK31" s="121">
        <v>157868.05814364622</v>
      </c>
      <c r="AL31" s="121">
        <v>174762.77443192157</v>
      </c>
      <c r="AM31" s="121">
        <v>203100.96508233013</v>
      </c>
      <c r="AN31" s="121">
        <v>237285.64505984454</v>
      </c>
      <c r="AO31" s="121">
        <v>212714.53842983377</v>
      </c>
      <c r="AP31" s="121">
        <v>165765.69236021125</v>
      </c>
      <c r="AQ31" s="121"/>
      <c r="AR31" s="117">
        <f t="shared" si="1"/>
        <v>-368747.4911</v>
      </c>
      <c r="AS31" s="118">
        <f t="shared" ref="AS31:AS36" si="5">AR31/B31</f>
        <v>-0.6898753903</v>
      </c>
    </row>
    <row r="32" ht="15.75" customHeight="1">
      <c r="A32" s="116" t="s">
        <v>50</v>
      </c>
      <c r="B32" s="115">
        <v>1522979.1239381784</v>
      </c>
      <c r="C32" s="115">
        <v>1557185.5982501393</v>
      </c>
      <c r="D32" s="115">
        <v>1544282.2218139847</v>
      </c>
      <c r="E32" s="115">
        <v>1548841.4568132951</v>
      </c>
      <c r="F32" s="115">
        <v>1551654.7785242437</v>
      </c>
      <c r="G32" s="115">
        <v>1561662.7147833868</v>
      </c>
      <c r="H32" s="115">
        <v>1599742.3056621477</v>
      </c>
      <c r="I32" s="115">
        <v>1594117.8390686244</v>
      </c>
      <c r="J32" s="115">
        <v>1581372.2737993733</v>
      </c>
      <c r="K32" s="115">
        <v>1589439.8768014647</v>
      </c>
      <c r="L32" s="115">
        <v>1578251.3155749063</v>
      </c>
      <c r="M32" s="115">
        <v>1562551.8085455182</v>
      </c>
      <c r="N32" s="115">
        <v>1650589.5808903119</v>
      </c>
      <c r="O32" s="115">
        <v>1648560.4232215518</v>
      </c>
      <c r="P32" s="115">
        <v>1637470.061625069</v>
      </c>
      <c r="Q32" s="115">
        <v>1498754.1385118726</v>
      </c>
      <c r="R32" s="115">
        <v>1475962.3777939952</v>
      </c>
      <c r="S32" s="115">
        <v>1564154.0693496233</v>
      </c>
      <c r="T32" s="115">
        <v>1593647.0970804119</v>
      </c>
      <c r="U32" s="115">
        <v>1625365.7519502188</v>
      </c>
      <c r="V32" s="115">
        <v>1639302.4058457508</v>
      </c>
      <c r="W32" s="115">
        <v>1670470.0707426788</v>
      </c>
      <c r="X32" s="115">
        <v>1676083.5996141566</v>
      </c>
      <c r="Y32" s="115">
        <v>1677475.3606040615</v>
      </c>
      <c r="Z32" s="115">
        <v>1680294.2448327697</v>
      </c>
      <c r="AA32" s="115">
        <v>1689455.214979706</v>
      </c>
      <c r="AB32" s="115">
        <v>1712892.9515899697</v>
      </c>
      <c r="AC32" s="115">
        <v>1692958.9508202877</v>
      </c>
      <c r="AD32" s="115">
        <v>1629259.9707876192</v>
      </c>
      <c r="AE32" s="115">
        <v>1598020.4304209158</v>
      </c>
      <c r="AF32" s="115">
        <v>1574684.7447194161</v>
      </c>
      <c r="AG32" s="115">
        <v>1567139.466536505</v>
      </c>
      <c r="AH32" s="115">
        <v>1558067.9779373477</v>
      </c>
      <c r="AI32" s="115">
        <v>1577101.4782133733</v>
      </c>
      <c r="AJ32" s="115">
        <v>1595672.7090182973</v>
      </c>
      <c r="AK32" s="115">
        <v>1621050.7324892494</v>
      </c>
      <c r="AL32" s="115">
        <v>1617996.6707268548</v>
      </c>
      <c r="AM32" s="116">
        <v>1728443.8887415195</v>
      </c>
      <c r="AN32" s="116">
        <v>1763647.9292535046</v>
      </c>
      <c r="AO32" s="116">
        <v>1739108.9117437124</v>
      </c>
      <c r="AP32" s="116">
        <v>1719607.4182982007</v>
      </c>
      <c r="AQ32" s="33"/>
      <c r="AR32" s="117">
        <f t="shared" si="1"/>
        <v>196628.2944</v>
      </c>
      <c r="AS32" s="118">
        <f t="shared" si="5"/>
        <v>0.1291076754</v>
      </c>
    </row>
    <row r="33" ht="15.75" customHeight="1">
      <c r="A33" s="127" t="s">
        <v>100</v>
      </c>
      <c r="B33" s="121">
        <v>1522229.6222198312</v>
      </c>
      <c r="C33" s="121">
        <v>1556415.4478032766</v>
      </c>
      <c r="D33" s="121">
        <v>1543490.099951625</v>
      </c>
      <c r="E33" s="121">
        <v>1547967.5388142474</v>
      </c>
      <c r="F33" s="121">
        <v>1550768.1104782294</v>
      </c>
      <c r="G33" s="121">
        <v>1560766.1246208868</v>
      </c>
      <c r="H33" s="121">
        <v>1598809.21892101</v>
      </c>
      <c r="I33" s="121">
        <v>1593196.496685098</v>
      </c>
      <c r="J33" s="121">
        <v>1580837.2225584127</v>
      </c>
      <c r="K33" s="121">
        <v>1589414.0207966184</v>
      </c>
      <c r="L33" s="121">
        <v>1578224.7765503335</v>
      </c>
      <c r="M33" s="121">
        <v>1562506.096055363</v>
      </c>
      <c r="N33" s="121">
        <v>1650504.2872947063</v>
      </c>
      <c r="O33" s="121">
        <v>1648402.7470237613</v>
      </c>
      <c r="P33" s="121">
        <v>1637131.9362696612</v>
      </c>
      <c r="Q33" s="121">
        <v>1498313.161344142</v>
      </c>
      <c r="R33" s="121">
        <v>1475453.0775015512</v>
      </c>
      <c r="S33" s="121">
        <v>1563570.4721534015</v>
      </c>
      <c r="T33" s="121">
        <v>1593064.783291923</v>
      </c>
      <c r="U33" s="121">
        <v>1624751.381938561</v>
      </c>
      <c r="V33" s="121">
        <v>1638623.3081143727</v>
      </c>
      <c r="W33" s="121">
        <v>1669775.4392189544</v>
      </c>
      <c r="X33" s="121">
        <v>1675247.8021319667</v>
      </c>
      <c r="Y33" s="121">
        <v>1676515.1722593778</v>
      </c>
      <c r="Z33" s="121">
        <v>1679143.9780489318</v>
      </c>
      <c r="AA33" s="121">
        <v>1688127.6720967472</v>
      </c>
      <c r="AB33" s="121">
        <v>1711249.532599534</v>
      </c>
      <c r="AC33" s="121">
        <v>1691043.9089383357</v>
      </c>
      <c r="AD33" s="121">
        <v>1627019.8790857699</v>
      </c>
      <c r="AE33" s="121">
        <v>1595513.5648562673</v>
      </c>
      <c r="AF33" s="121">
        <v>1571993.0408422188</v>
      </c>
      <c r="AG33" s="121">
        <v>1564097.154141699</v>
      </c>
      <c r="AH33" s="121">
        <v>1554700.8378530643</v>
      </c>
      <c r="AI33" s="121">
        <v>1573735.292768079</v>
      </c>
      <c r="AJ33" s="121">
        <v>1592612.0125162832</v>
      </c>
      <c r="AK33" s="121">
        <v>1618430.9220785743</v>
      </c>
      <c r="AL33" s="121">
        <v>1615440.8063433953</v>
      </c>
      <c r="AM33" s="121">
        <v>1725899.2913366978</v>
      </c>
      <c r="AN33" s="121">
        <v>1760881.303155464</v>
      </c>
      <c r="AO33" s="121">
        <v>1736343.8964468434</v>
      </c>
      <c r="AP33" s="121">
        <v>1716567.0467529127</v>
      </c>
      <c r="AQ33" s="121"/>
      <c r="AR33" s="117">
        <f t="shared" si="1"/>
        <v>194337.4245</v>
      </c>
      <c r="AS33" s="118">
        <f t="shared" si="5"/>
        <v>0.1276663006</v>
      </c>
    </row>
    <row r="34" ht="15.75" customHeight="1">
      <c r="A34" s="127" t="s">
        <v>101</v>
      </c>
      <c r="B34" s="121">
        <v>749.5017183471554</v>
      </c>
      <c r="C34" s="121">
        <v>770.150446862783</v>
      </c>
      <c r="D34" s="121">
        <v>792.121862359605</v>
      </c>
      <c r="E34" s="121">
        <v>873.9179990478356</v>
      </c>
      <c r="F34" s="121">
        <v>886.6680460143939</v>
      </c>
      <c r="G34" s="121">
        <v>896.5901625000017</v>
      </c>
      <c r="H34" s="121">
        <v>933.0867411376942</v>
      </c>
      <c r="I34" s="121">
        <v>921.342383526611</v>
      </c>
      <c r="J34" s="121">
        <v>535.0512409606877</v>
      </c>
      <c r="K34" s="121">
        <v>25.856004846191404</v>
      </c>
      <c r="L34" s="121">
        <v>26.539024572753924</v>
      </c>
      <c r="M34" s="121">
        <v>45.712490155029315</v>
      </c>
      <c r="N34" s="121">
        <v>85.29359560546875</v>
      </c>
      <c r="O34" s="121">
        <v>157.67619779052743</v>
      </c>
      <c r="P34" s="121">
        <v>338.12535540771563</v>
      </c>
      <c r="Q34" s="121">
        <v>440.97716773071363</v>
      </c>
      <c r="R34" s="121">
        <v>509.30029244384934</v>
      </c>
      <c r="S34" s="121">
        <v>583.5971962219257</v>
      </c>
      <c r="T34" s="121">
        <v>582.3137884887714</v>
      </c>
      <c r="U34" s="121">
        <v>614.3700116577147</v>
      </c>
      <c r="V34" s="121">
        <v>679.0977313781738</v>
      </c>
      <c r="W34" s="121">
        <v>694.631523724365</v>
      </c>
      <c r="X34" s="121">
        <v>835.7974821899413</v>
      </c>
      <c r="Y34" s="121">
        <v>960.1883446838387</v>
      </c>
      <c r="Z34" s="121">
        <v>1150.2667838378914</v>
      </c>
      <c r="AA34" s="121">
        <v>1327.5428829589878</v>
      </c>
      <c r="AB34" s="121">
        <v>1643.4189904357936</v>
      </c>
      <c r="AC34" s="121">
        <v>1915.0418819519048</v>
      </c>
      <c r="AD34" s="121">
        <v>2240.0917018493683</v>
      </c>
      <c r="AE34" s="121">
        <v>2506.865564648439</v>
      </c>
      <c r="AF34" s="121">
        <v>2691.70387719727</v>
      </c>
      <c r="AG34" s="121">
        <v>3042.3123948059115</v>
      </c>
      <c r="AH34" s="121">
        <v>3367.1400842834487</v>
      </c>
      <c r="AI34" s="121">
        <v>3366.1854452941916</v>
      </c>
      <c r="AJ34" s="121">
        <v>3060.6965020141647</v>
      </c>
      <c r="AK34" s="121">
        <v>2619.8104106750507</v>
      </c>
      <c r="AL34" s="121">
        <v>2555.864383459474</v>
      </c>
      <c r="AM34" s="121">
        <v>2544.5974048217777</v>
      </c>
      <c r="AN34" s="121">
        <v>2766.6260980407737</v>
      </c>
      <c r="AO34" s="121">
        <v>2765.0152968689004</v>
      </c>
      <c r="AP34" s="121">
        <v>3040.3715452880874</v>
      </c>
      <c r="AQ34" s="121"/>
      <c r="AR34" s="117">
        <f t="shared" si="1"/>
        <v>2290.869827</v>
      </c>
      <c r="AS34" s="118">
        <f t="shared" si="5"/>
        <v>3.056523782</v>
      </c>
    </row>
    <row r="35" ht="15.75" customHeight="1">
      <c r="A35" s="115" t="s">
        <v>102</v>
      </c>
      <c r="B35" s="115">
        <v>1596.4392785583498</v>
      </c>
      <c r="C35" s="115">
        <v>1574.035731378174</v>
      </c>
      <c r="D35" s="115">
        <v>1510.6361675354005</v>
      </c>
      <c r="E35" s="115">
        <v>1461.6932197265628</v>
      </c>
      <c r="F35" s="115">
        <v>1412.8160447021485</v>
      </c>
      <c r="G35" s="115">
        <v>1351.7393195495606</v>
      </c>
      <c r="H35" s="115">
        <v>1301.4066558105467</v>
      </c>
      <c r="I35" s="115">
        <v>1252.7160888671872</v>
      </c>
      <c r="J35" s="115">
        <v>1202.4860844787595</v>
      </c>
      <c r="K35" s="115">
        <v>1138.4922073120117</v>
      </c>
      <c r="L35" s="115">
        <v>1070.207395324707</v>
      </c>
      <c r="M35" s="115">
        <v>1047.1011061645509</v>
      </c>
      <c r="N35" s="115">
        <v>1008.1960624694822</v>
      </c>
      <c r="O35" s="115">
        <v>940.6389685607911</v>
      </c>
      <c r="P35" s="115">
        <v>887.2718586669921</v>
      </c>
      <c r="Q35" s="115">
        <v>853.9533976196287</v>
      </c>
      <c r="R35" s="115">
        <v>799.9173096740723</v>
      </c>
      <c r="S35" s="115">
        <v>762.6229422790528</v>
      </c>
      <c r="T35" s="115">
        <v>718.4049671752929</v>
      </c>
      <c r="U35" s="115">
        <v>691.7959975646971</v>
      </c>
      <c r="V35" s="115">
        <v>669.0643097595214</v>
      </c>
      <c r="W35" s="115">
        <v>645.4594145690917</v>
      </c>
      <c r="X35" s="115">
        <v>626.0906493774412</v>
      </c>
      <c r="Y35" s="115">
        <v>638.1509683532711</v>
      </c>
      <c r="Z35" s="115">
        <v>636.316928790283</v>
      </c>
      <c r="AA35" s="115">
        <v>624.6495981262204</v>
      </c>
      <c r="AB35" s="115">
        <v>584.9137663085938</v>
      </c>
      <c r="AC35" s="115">
        <v>578.777030529785</v>
      </c>
      <c r="AD35" s="115">
        <v>570.1681098571776</v>
      </c>
      <c r="AE35" s="115">
        <v>559.5907396789551</v>
      </c>
      <c r="AF35" s="115">
        <v>557.5768958618164</v>
      </c>
      <c r="AG35" s="115">
        <v>558.8516786254883</v>
      </c>
      <c r="AH35" s="115">
        <v>564.1415247009278</v>
      </c>
      <c r="AI35" s="115">
        <v>547.5001087097166</v>
      </c>
      <c r="AJ35" s="115">
        <v>524.7534913024903</v>
      </c>
      <c r="AK35" s="115">
        <v>523.0510537475587</v>
      </c>
      <c r="AL35" s="115">
        <v>511.92628971557633</v>
      </c>
      <c r="AM35" s="116">
        <v>509.29425745849613</v>
      </c>
      <c r="AN35" s="116">
        <v>497.7184066589356</v>
      </c>
      <c r="AO35" s="116">
        <v>499.22134718017577</v>
      </c>
      <c r="AP35" s="116">
        <v>493.82902952270507</v>
      </c>
      <c r="AQ35" s="33"/>
      <c r="AR35" s="117">
        <f t="shared" si="1"/>
        <v>-1102.610249</v>
      </c>
      <c r="AS35" s="118">
        <f t="shared" si="5"/>
        <v>-0.6906684544</v>
      </c>
    </row>
    <row r="36" ht="15.75" customHeight="1">
      <c r="A36" s="128" t="s">
        <v>62</v>
      </c>
      <c r="B36" s="129">
        <f t="shared" ref="B36:AP36" si="6">SUM(B5,B12,B20,B25,B32,B35)</f>
        <v>200439067.4</v>
      </c>
      <c r="C36" s="129">
        <f t="shared" si="6"/>
        <v>200439067.4</v>
      </c>
      <c r="D36" s="129">
        <f t="shared" si="6"/>
        <v>200439067.4</v>
      </c>
      <c r="E36" s="129">
        <f t="shared" si="6"/>
        <v>200439067.4</v>
      </c>
      <c r="F36" s="129">
        <f t="shared" si="6"/>
        <v>200439067.4</v>
      </c>
      <c r="G36" s="129">
        <f t="shared" si="6"/>
        <v>200439067.4</v>
      </c>
      <c r="H36" s="129">
        <f t="shared" si="6"/>
        <v>200439067.4</v>
      </c>
      <c r="I36" s="129">
        <f t="shared" si="6"/>
        <v>200439067.4</v>
      </c>
      <c r="J36" s="129">
        <f t="shared" si="6"/>
        <v>200439067.4</v>
      </c>
      <c r="K36" s="129">
        <f t="shared" si="6"/>
        <v>200439067.4</v>
      </c>
      <c r="L36" s="129">
        <f t="shared" si="6"/>
        <v>200439067.4</v>
      </c>
      <c r="M36" s="129">
        <f t="shared" si="6"/>
        <v>200439067.4</v>
      </c>
      <c r="N36" s="129">
        <f t="shared" si="6"/>
        <v>200439067.4</v>
      </c>
      <c r="O36" s="129">
        <f t="shared" si="6"/>
        <v>200439067.4</v>
      </c>
      <c r="P36" s="129">
        <f t="shared" si="6"/>
        <v>200439067.4</v>
      </c>
      <c r="Q36" s="129">
        <f t="shared" si="6"/>
        <v>200439067.4</v>
      </c>
      <c r="R36" s="129">
        <f t="shared" si="6"/>
        <v>200439067.4</v>
      </c>
      <c r="S36" s="129">
        <f t="shared" si="6"/>
        <v>200439067.4</v>
      </c>
      <c r="T36" s="129">
        <f t="shared" si="6"/>
        <v>200439067.4</v>
      </c>
      <c r="U36" s="129">
        <f t="shared" si="6"/>
        <v>200439067.4</v>
      </c>
      <c r="V36" s="129">
        <f t="shared" si="6"/>
        <v>200439067.4</v>
      </c>
      <c r="W36" s="129">
        <f t="shared" si="6"/>
        <v>200439067.4</v>
      </c>
      <c r="X36" s="129">
        <f t="shared" si="6"/>
        <v>200439067.4</v>
      </c>
      <c r="Y36" s="129">
        <f t="shared" si="6"/>
        <v>200439067.4</v>
      </c>
      <c r="Z36" s="129">
        <f t="shared" si="6"/>
        <v>200439067.4</v>
      </c>
      <c r="AA36" s="129">
        <f t="shared" si="6"/>
        <v>200439067.4</v>
      </c>
      <c r="AB36" s="129">
        <f t="shared" si="6"/>
        <v>200439067.4</v>
      </c>
      <c r="AC36" s="129">
        <f t="shared" si="6"/>
        <v>200439067.4</v>
      </c>
      <c r="AD36" s="129">
        <f t="shared" si="6"/>
        <v>200439067.4</v>
      </c>
      <c r="AE36" s="129">
        <f t="shared" si="6"/>
        <v>200439067.4</v>
      </c>
      <c r="AF36" s="129">
        <f t="shared" si="6"/>
        <v>200439067.4</v>
      </c>
      <c r="AG36" s="129">
        <f t="shared" si="6"/>
        <v>200439067.4</v>
      </c>
      <c r="AH36" s="129">
        <f t="shared" si="6"/>
        <v>200439067.4</v>
      </c>
      <c r="AI36" s="129">
        <f t="shared" si="6"/>
        <v>200439067.4</v>
      </c>
      <c r="AJ36" s="129">
        <f t="shared" si="6"/>
        <v>200439067.4</v>
      </c>
      <c r="AK36" s="129">
        <f t="shared" si="6"/>
        <v>200439067.4</v>
      </c>
      <c r="AL36" s="129">
        <f t="shared" si="6"/>
        <v>200439067.4</v>
      </c>
      <c r="AM36" s="129">
        <f t="shared" si="6"/>
        <v>200439067.4</v>
      </c>
      <c r="AN36" s="129">
        <f t="shared" si="6"/>
        <v>200439067.4</v>
      </c>
      <c r="AO36" s="129">
        <f t="shared" si="6"/>
        <v>200439067.4</v>
      </c>
      <c r="AP36" s="129">
        <f t="shared" si="6"/>
        <v>200439067.4</v>
      </c>
      <c r="AR36" s="117">
        <f t="shared" si="1"/>
        <v>-0.000002026557922</v>
      </c>
      <c r="AS36" s="118">
        <f t="shared" si="5"/>
        <v>0</v>
      </c>
    </row>
    <row r="37" ht="15.75" customHeight="1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ht="15.75" customHeight="1">
      <c r="B38" s="130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R38" s="13"/>
    </row>
    <row r="39" ht="15.75" customHeight="1">
      <c r="B39" s="132"/>
      <c r="C39" s="131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</row>
    <row r="40" ht="15.75" customHeight="1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R40" s="13"/>
    </row>
    <row r="41" ht="15.75" customHeight="1">
      <c r="B41" s="113">
        <v>1985.0</v>
      </c>
      <c r="C41" s="113">
        <v>1986.0</v>
      </c>
      <c r="D41" s="113">
        <v>1987.0</v>
      </c>
      <c r="E41" s="113">
        <v>1988.0</v>
      </c>
      <c r="F41" s="113">
        <v>1989.0</v>
      </c>
      <c r="G41" s="113">
        <v>1990.0</v>
      </c>
      <c r="H41" s="113">
        <v>1991.0</v>
      </c>
      <c r="I41" s="113">
        <v>1992.0</v>
      </c>
      <c r="J41" s="113">
        <v>1993.0</v>
      </c>
      <c r="K41" s="113">
        <v>1994.0</v>
      </c>
      <c r="L41" s="113">
        <v>1995.0</v>
      </c>
      <c r="M41" s="113">
        <v>1996.0</v>
      </c>
      <c r="N41" s="113">
        <v>1997.0</v>
      </c>
      <c r="O41" s="113">
        <v>1998.0</v>
      </c>
      <c r="P41" s="113">
        <v>1999.0</v>
      </c>
      <c r="Q41" s="113">
        <v>2000.0</v>
      </c>
      <c r="R41" s="113">
        <v>2001.0</v>
      </c>
      <c r="S41" s="113">
        <v>2002.0</v>
      </c>
      <c r="T41" s="113">
        <v>2003.0</v>
      </c>
      <c r="U41" s="113">
        <v>2004.0</v>
      </c>
      <c r="V41" s="113">
        <v>2005.0</v>
      </c>
      <c r="W41" s="113">
        <v>2006.0</v>
      </c>
      <c r="X41" s="113">
        <v>2007.0</v>
      </c>
      <c r="Y41" s="113">
        <v>2008.0</v>
      </c>
      <c r="Z41" s="113">
        <v>2009.0</v>
      </c>
      <c r="AA41" s="113">
        <v>2010.0</v>
      </c>
      <c r="AB41" s="113">
        <v>2011.0</v>
      </c>
      <c r="AC41" s="113">
        <v>2012.0</v>
      </c>
      <c r="AD41" s="113">
        <v>2013.0</v>
      </c>
      <c r="AE41" s="113">
        <v>2014.0</v>
      </c>
      <c r="AF41" s="113">
        <v>2015.0</v>
      </c>
      <c r="AG41" s="113">
        <v>2016.0</v>
      </c>
      <c r="AH41" s="113">
        <v>2017.0</v>
      </c>
      <c r="AI41" s="113">
        <v>2018.0</v>
      </c>
      <c r="AJ41" s="113">
        <v>2019.0</v>
      </c>
      <c r="AK41" s="113">
        <v>2020.0</v>
      </c>
      <c r="AL41" s="113">
        <v>2021.0</v>
      </c>
      <c r="AM41" s="113">
        <v>2022.0</v>
      </c>
      <c r="AN41" s="113">
        <v>2023.0</v>
      </c>
      <c r="AO41" s="113">
        <v>2024.0</v>
      </c>
      <c r="AP41" s="113">
        <v>2025.0</v>
      </c>
    </row>
    <row r="42" ht="15.75" customHeight="1">
      <c r="A42" s="6" t="s">
        <v>107</v>
      </c>
      <c r="B42" s="13">
        <f t="shared" ref="B42:AP42" si="7">B5+B12</f>
        <v>151177412.4</v>
      </c>
      <c r="C42" s="13">
        <f t="shared" si="7"/>
        <v>147317627.3</v>
      </c>
      <c r="D42" s="13">
        <f t="shared" si="7"/>
        <v>145003447.7</v>
      </c>
      <c r="E42" s="13">
        <f t="shared" si="7"/>
        <v>142872015.1</v>
      </c>
      <c r="F42" s="13">
        <f t="shared" si="7"/>
        <v>140844722.3</v>
      </c>
      <c r="G42" s="13">
        <f t="shared" si="7"/>
        <v>139059904.7</v>
      </c>
      <c r="H42" s="13">
        <f t="shared" si="7"/>
        <v>137402348.3</v>
      </c>
      <c r="I42" s="13">
        <f t="shared" si="7"/>
        <v>135716337.4</v>
      </c>
      <c r="J42" s="13">
        <f t="shared" si="7"/>
        <v>134109491.4</v>
      </c>
      <c r="K42" s="13">
        <f t="shared" si="7"/>
        <v>131908571.2</v>
      </c>
      <c r="L42" s="13">
        <f t="shared" si="7"/>
        <v>130040026.6</v>
      </c>
      <c r="M42" s="13">
        <f t="shared" si="7"/>
        <v>128582866</v>
      </c>
      <c r="N42" s="13">
        <f t="shared" si="7"/>
        <v>127274883.3</v>
      </c>
      <c r="O42" s="13">
        <f t="shared" si="7"/>
        <v>126132395.2</v>
      </c>
      <c r="P42" s="13">
        <f t="shared" si="7"/>
        <v>125054864.1</v>
      </c>
      <c r="Q42" s="13">
        <f t="shared" si="7"/>
        <v>124095915.8</v>
      </c>
      <c r="R42" s="13">
        <f t="shared" si="7"/>
        <v>122878151.2</v>
      </c>
      <c r="S42" s="13">
        <f t="shared" si="7"/>
        <v>121689290.3</v>
      </c>
      <c r="T42" s="13">
        <f t="shared" si="7"/>
        <v>120232546.1</v>
      </c>
      <c r="U42" s="13">
        <f t="shared" si="7"/>
        <v>118701824.4</v>
      </c>
      <c r="V42" s="13">
        <f t="shared" si="7"/>
        <v>117583850.7</v>
      </c>
      <c r="W42" s="13">
        <f t="shared" si="7"/>
        <v>116771640.2</v>
      </c>
      <c r="X42" s="13">
        <f t="shared" si="7"/>
        <v>116085454</v>
      </c>
      <c r="Y42" s="13">
        <f t="shared" si="7"/>
        <v>115333316.7</v>
      </c>
      <c r="Z42" s="13">
        <f t="shared" si="7"/>
        <v>114678596.5</v>
      </c>
      <c r="AA42" s="13">
        <f t="shared" si="7"/>
        <v>113959090</v>
      </c>
      <c r="AB42" s="13">
        <f t="shared" si="7"/>
        <v>113361360</v>
      </c>
      <c r="AC42" s="13">
        <f t="shared" si="7"/>
        <v>112430009.6</v>
      </c>
      <c r="AD42" s="13">
        <f t="shared" si="7"/>
        <v>111471499.5</v>
      </c>
      <c r="AE42" s="13">
        <f t="shared" si="7"/>
        <v>110646124.2</v>
      </c>
      <c r="AF42" s="13">
        <f t="shared" si="7"/>
        <v>109899947.4</v>
      </c>
      <c r="AG42" s="13">
        <f t="shared" si="7"/>
        <v>109264910.4</v>
      </c>
      <c r="AH42" s="13">
        <f t="shared" si="7"/>
        <v>108693430.8</v>
      </c>
      <c r="AI42" s="13">
        <f t="shared" si="7"/>
        <v>108119451.1</v>
      </c>
      <c r="AJ42" s="13">
        <f t="shared" si="7"/>
        <v>107298262.2</v>
      </c>
      <c r="AK42" s="13">
        <f t="shared" si="7"/>
        <v>106268940.3</v>
      </c>
      <c r="AL42" s="13">
        <f t="shared" si="7"/>
        <v>105346927.7</v>
      </c>
      <c r="AM42" s="13">
        <f t="shared" si="7"/>
        <v>104042035.6</v>
      </c>
      <c r="AN42" s="13">
        <f t="shared" si="7"/>
        <v>102511742.3</v>
      </c>
      <c r="AO42" s="13">
        <f t="shared" si="7"/>
        <v>101607252.9</v>
      </c>
      <c r="AP42" s="13">
        <f t="shared" si="7"/>
        <v>99443256.96</v>
      </c>
    </row>
    <row r="43" ht="15.75" customHeight="1">
      <c r="A43" s="13" t="s">
        <v>64</v>
      </c>
      <c r="B43" s="13">
        <f t="shared" ref="B43:AP43" si="8">B21</f>
        <v>36582162.88</v>
      </c>
      <c r="C43" s="13">
        <f t="shared" si="8"/>
        <v>40544675.22</v>
      </c>
      <c r="D43" s="13">
        <f t="shared" si="8"/>
        <v>42397158.36</v>
      </c>
      <c r="E43" s="13">
        <f t="shared" si="8"/>
        <v>43896719.22</v>
      </c>
      <c r="F43" s="13">
        <f t="shared" si="8"/>
        <v>45269733.41</v>
      </c>
      <c r="G43" s="13">
        <f t="shared" si="8"/>
        <v>46358080.96</v>
      </c>
      <c r="H43" s="13">
        <f t="shared" si="8"/>
        <v>47241526.03</v>
      </c>
      <c r="I43" s="13">
        <f t="shared" si="8"/>
        <v>48544597.81</v>
      </c>
      <c r="J43" s="13">
        <f t="shared" si="8"/>
        <v>49655933.87</v>
      </c>
      <c r="K43" s="13">
        <f t="shared" si="8"/>
        <v>51080033.68</v>
      </c>
      <c r="L43" s="13">
        <f t="shared" si="8"/>
        <v>52359373.47</v>
      </c>
      <c r="M43" s="13">
        <f t="shared" si="8"/>
        <v>53246662.29</v>
      </c>
      <c r="N43" s="13">
        <f t="shared" si="8"/>
        <v>53969900.51</v>
      </c>
      <c r="O43" s="13">
        <f t="shared" si="8"/>
        <v>54601470.65</v>
      </c>
      <c r="P43" s="13">
        <f t="shared" si="8"/>
        <v>55068959.89</v>
      </c>
      <c r="Q43" s="13">
        <f t="shared" si="8"/>
        <v>55525195.5</v>
      </c>
      <c r="R43" s="13">
        <f t="shared" si="8"/>
        <v>55994338.14</v>
      </c>
      <c r="S43" s="13">
        <f t="shared" si="8"/>
        <v>56345342.19</v>
      </c>
      <c r="T43" s="13">
        <f t="shared" si="8"/>
        <v>56886084.14</v>
      </c>
      <c r="U43" s="13">
        <f t="shared" si="8"/>
        <v>56999898.62</v>
      </c>
      <c r="V43" s="13">
        <f t="shared" si="8"/>
        <v>57058090.99</v>
      </c>
      <c r="W43" s="13">
        <f t="shared" si="8"/>
        <v>57015241.33</v>
      </c>
      <c r="X43" s="13">
        <f t="shared" si="8"/>
        <v>56958886.29</v>
      </c>
      <c r="Y43" s="13">
        <f t="shared" si="8"/>
        <v>56865868.78</v>
      </c>
      <c r="Z43" s="13">
        <f t="shared" si="8"/>
        <v>56732162.23</v>
      </c>
      <c r="AA43" s="13">
        <f t="shared" si="8"/>
        <v>56719405.58</v>
      </c>
      <c r="AB43" s="13">
        <f t="shared" si="8"/>
        <v>56678516.27</v>
      </c>
      <c r="AC43" s="13">
        <f t="shared" si="8"/>
        <v>56607810.48</v>
      </c>
      <c r="AD43" s="13">
        <f t="shared" si="8"/>
        <v>56318270.83</v>
      </c>
      <c r="AE43" s="13">
        <f t="shared" si="8"/>
        <v>56006485.49</v>
      </c>
      <c r="AF43" s="13">
        <f t="shared" si="8"/>
        <v>55736413.2</v>
      </c>
      <c r="AG43" s="13">
        <f t="shared" si="8"/>
        <v>55444687.84</v>
      </c>
      <c r="AH43" s="13">
        <f t="shared" si="8"/>
        <v>55046743.71</v>
      </c>
      <c r="AI43" s="13">
        <f t="shared" si="8"/>
        <v>54844022.65</v>
      </c>
      <c r="AJ43" s="13">
        <f t="shared" si="8"/>
        <v>54627124.39</v>
      </c>
      <c r="AK43" s="13">
        <f t="shared" si="8"/>
        <v>54343305.01</v>
      </c>
      <c r="AL43" s="13">
        <f t="shared" si="8"/>
        <v>54228298.04</v>
      </c>
      <c r="AM43" s="13">
        <f t="shared" si="8"/>
        <v>54150259.25</v>
      </c>
      <c r="AN43" s="13">
        <f t="shared" si="8"/>
        <v>53978126.52</v>
      </c>
      <c r="AO43" s="13">
        <f t="shared" si="8"/>
        <v>53521081.5</v>
      </c>
      <c r="AP43" s="13">
        <f t="shared" si="8"/>
        <v>53911161.19</v>
      </c>
    </row>
    <row r="44" ht="15.75" customHeight="1">
      <c r="A44" s="13" t="s">
        <v>74</v>
      </c>
      <c r="B44" s="13">
        <f t="shared" ref="B44:AP44" si="9">B22</f>
        <v>5033721.498</v>
      </c>
      <c r="C44" s="13">
        <f t="shared" si="9"/>
        <v>5127528.688</v>
      </c>
      <c r="D44" s="13">
        <f t="shared" si="9"/>
        <v>6002823.467</v>
      </c>
      <c r="E44" s="13">
        <f t="shared" si="9"/>
        <v>6726721.079</v>
      </c>
      <c r="F44" s="13">
        <f t="shared" si="9"/>
        <v>7488539.494</v>
      </c>
      <c r="G44" s="13">
        <f t="shared" si="9"/>
        <v>8372365.211</v>
      </c>
      <c r="H44" s="13">
        <f t="shared" si="9"/>
        <v>9626444.28</v>
      </c>
      <c r="I44" s="13">
        <f t="shared" si="9"/>
        <v>9989681.287</v>
      </c>
      <c r="J44" s="13">
        <f t="shared" si="9"/>
        <v>10487870.91</v>
      </c>
      <c r="K44" s="13">
        <f t="shared" si="9"/>
        <v>11015865.17</v>
      </c>
      <c r="L44" s="13">
        <f t="shared" si="9"/>
        <v>11438730.76</v>
      </c>
      <c r="M44" s="13">
        <f t="shared" si="9"/>
        <v>12041829.47</v>
      </c>
      <c r="N44" s="13">
        <f t="shared" si="9"/>
        <v>12447660.06</v>
      </c>
      <c r="O44" s="13">
        <f t="shared" si="9"/>
        <v>12903283.89</v>
      </c>
      <c r="P44" s="13">
        <f t="shared" si="9"/>
        <v>13473759.11</v>
      </c>
      <c r="Q44" s="13">
        <f t="shared" si="9"/>
        <v>14073706.43</v>
      </c>
      <c r="R44" s="13">
        <f t="shared" si="9"/>
        <v>14750645.88</v>
      </c>
      <c r="S44" s="13">
        <f t="shared" si="9"/>
        <v>15322239.64</v>
      </c>
      <c r="T44" s="13">
        <f t="shared" si="9"/>
        <v>15862293.35</v>
      </c>
      <c r="U44" s="13">
        <f t="shared" si="9"/>
        <v>17226500.61</v>
      </c>
      <c r="V44" s="13">
        <f t="shared" si="9"/>
        <v>18400415.32</v>
      </c>
      <c r="W44" s="13">
        <f t="shared" si="9"/>
        <v>19252942.92</v>
      </c>
      <c r="X44" s="13">
        <f t="shared" si="9"/>
        <v>19813373.87</v>
      </c>
      <c r="Y44" s="13">
        <f t="shared" si="9"/>
        <v>20331902.15</v>
      </c>
      <c r="Z44" s="13">
        <f t="shared" si="9"/>
        <v>20788944.29</v>
      </c>
      <c r="AA44" s="13">
        <f t="shared" si="9"/>
        <v>21269540.75</v>
      </c>
      <c r="AB44" s="13">
        <f t="shared" si="9"/>
        <v>21621886.36</v>
      </c>
      <c r="AC44" s="13">
        <f t="shared" si="9"/>
        <v>22273682.77</v>
      </c>
      <c r="AD44" s="13">
        <f t="shared" si="9"/>
        <v>23078944.52</v>
      </c>
      <c r="AE44" s="13">
        <f t="shared" si="9"/>
        <v>24060582.04</v>
      </c>
      <c r="AF44" s="13">
        <f t="shared" si="9"/>
        <v>24957996.47</v>
      </c>
      <c r="AG44" s="13">
        <f t="shared" si="9"/>
        <v>25695606.76</v>
      </c>
      <c r="AH44" s="13">
        <f t="shared" si="9"/>
        <v>26484201.44</v>
      </c>
      <c r="AI44" s="13">
        <f t="shared" si="9"/>
        <v>26908571.6</v>
      </c>
      <c r="AJ44" s="13">
        <f t="shared" si="9"/>
        <v>27322083.11</v>
      </c>
      <c r="AK44" s="13">
        <f t="shared" si="9"/>
        <v>27745328.23</v>
      </c>
      <c r="AL44" s="13">
        <f t="shared" si="9"/>
        <v>27964378.12</v>
      </c>
      <c r="AM44" s="13">
        <f t="shared" si="9"/>
        <v>28343292.41</v>
      </c>
      <c r="AN44" s="13">
        <f t="shared" si="9"/>
        <v>28717838.92</v>
      </c>
      <c r="AO44" s="13">
        <f t="shared" si="9"/>
        <v>29169085.34</v>
      </c>
      <c r="AP44" s="13">
        <f t="shared" si="9"/>
        <v>29690347.79</v>
      </c>
      <c r="AT44" s="126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T45" s="126"/>
    </row>
    <row r="46" ht="15.75" customHeight="1">
      <c r="A46" s="133" t="s">
        <v>108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T46" s="126"/>
    </row>
    <row r="47" ht="15.75" customHeight="1">
      <c r="A47" s="134" t="s">
        <v>16</v>
      </c>
      <c r="B47" s="135">
        <f t="shared" ref="B47:AP47" si="10">B42/1000000</f>
        <v>151.1774124</v>
      </c>
      <c r="C47" s="135">
        <f t="shared" si="10"/>
        <v>147.3176273</v>
      </c>
      <c r="D47" s="135">
        <f t="shared" si="10"/>
        <v>145.0034477</v>
      </c>
      <c r="E47" s="135">
        <f t="shared" si="10"/>
        <v>142.8720151</v>
      </c>
      <c r="F47" s="135">
        <f t="shared" si="10"/>
        <v>140.8447223</v>
      </c>
      <c r="G47" s="135">
        <f t="shared" si="10"/>
        <v>139.0599047</v>
      </c>
      <c r="H47" s="135">
        <f t="shared" si="10"/>
        <v>137.4023483</v>
      </c>
      <c r="I47" s="135">
        <f t="shared" si="10"/>
        <v>135.7163374</v>
      </c>
      <c r="J47" s="135">
        <f t="shared" si="10"/>
        <v>134.1094914</v>
      </c>
      <c r="K47" s="135">
        <f t="shared" si="10"/>
        <v>131.9085712</v>
      </c>
      <c r="L47" s="135">
        <f t="shared" si="10"/>
        <v>130.0400266</v>
      </c>
      <c r="M47" s="135">
        <f t="shared" si="10"/>
        <v>128.582866</v>
      </c>
      <c r="N47" s="135">
        <f t="shared" si="10"/>
        <v>127.2748833</v>
      </c>
      <c r="O47" s="135">
        <f t="shared" si="10"/>
        <v>126.1323952</v>
      </c>
      <c r="P47" s="135">
        <f t="shared" si="10"/>
        <v>125.0548641</v>
      </c>
      <c r="Q47" s="135">
        <f t="shared" si="10"/>
        <v>124.0959158</v>
      </c>
      <c r="R47" s="135">
        <f t="shared" si="10"/>
        <v>122.8781512</v>
      </c>
      <c r="S47" s="135">
        <f t="shared" si="10"/>
        <v>121.6892903</v>
      </c>
      <c r="T47" s="135">
        <f t="shared" si="10"/>
        <v>120.2325461</v>
      </c>
      <c r="U47" s="135">
        <f t="shared" si="10"/>
        <v>118.7018244</v>
      </c>
      <c r="V47" s="135">
        <f t="shared" si="10"/>
        <v>117.5838507</v>
      </c>
      <c r="W47" s="135">
        <f t="shared" si="10"/>
        <v>116.7716402</v>
      </c>
      <c r="X47" s="135">
        <f t="shared" si="10"/>
        <v>116.085454</v>
      </c>
      <c r="Y47" s="135">
        <f t="shared" si="10"/>
        <v>115.3333167</v>
      </c>
      <c r="Z47" s="135">
        <f t="shared" si="10"/>
        <v>114.6785965</v>
      </c>
      <c r="AA47" s="135">
        <f t="shared" si="10"/>
        <v>113.95909</v>
      </c>
      <c r="AB47" s="135">
        <f t="shared" si="10"/>
        <v>113.36136</v>
      </c>
      <c r="AC47" s="135">
        <f t="shared" si="10"/>
        <v>112.4300096</v>
      </c>
      <c r="AD47" s="135">
        <f t="shared" si="10"/>
        <v>111.4714995</v>
      </c>
      <c r="AE47" s="135">
        <f t="shared" si="10"/>
        <v>110.6461242</v>
      </c>
      <c r="AF47" s="135">
        <f t="shared" si="10"/>
        <v>109.8999474</v>
      </c>
      <c r="AG47" s="135">
        <f t="shared" si="10"/>
        <v>109.2649104</v>
      </c>
      <c r="AH47" s="135">
        <f t="shared" si="10"/>
        <v>108.6934308</v>
      </c>
      <c r="AI47" s="135">
        <f t="shared" si="10"/>
        <v>108.1194511</v>
      </c>
      <c r="AJ47" s="135">
        <f t="shared" si="10"/>
        <v>107.2982622</v>
      </c>
      <c r="AK47" s="135">
        <f t="shared" si="10"/>
        <v>106.2689403</v>
      </c>
      <c r="AL47" s="135">
        <f t="shared" si="10"/>
        <v>105.3469277</v>
      </c>
      <c r="AM47" s="135">
        <f t="shared" si="10"/>
        <v>104.0420356</v>
      </c>
      <c r="AN47" s="135">
        <f t="shared" si="10"/>
        <v>102.5117423</v>
      </c>
      <c r="AO47" s="135">
        <f t="shared" si="10"/>
        <v>101.6072529</v>
      </c>
      <c r="AP47" s="135">
        <f t="shared" si="10"/>
        <v>99.44325696</v>
      </c>
      <c r="AQ47" s="126"/>
      <c r="AR47" s="136"/>
      <c r="AS47" s="126"/>
    </row>
    <row r="48" ht="15.75" customHeight="1">
      <c r="A48" s="134" t="s">
        <v>64</v>
      </c>
      <c r="B48" s="135">
        <f t="shared" ref="B48:AP48" si="11">B43/1000000</f>
        <v>36.58216288</v>
      </c>
      <c r="C48" s="135">
        <f t="shared" si="11"/>
        <v>40.54467522</v>
      </c>
      <c r="D48" s="135">
        <f t="shared" si="11"/>
        <v>42.39715836</v>
      </c>
      <c r="E48" s="135">
        <f t="shared" si="11"/>
        <v>43.89671922</v>
      </c>
      <c r="F48" s="135">
        <f t="shared" si="11"/>
        <v>45.26973341</v>
      </c>
      <c r="G48" s="135">
        <f t="shared" si="11"/>
        <v>46.35808096</v>
      </c>
      <c r="H48" s="135">
        <f t="shared" si="11"/>
        <v>47.24152603</v>
      </c>
      <c r="I48" s="135">
        <f t="shared" si="11"/>
        <v>48.54459781</v>
      </c>
      <c r="J48" s="135">
        <f t="shared" si="11"/>
        <v>49.65593387</v>
      </c>
      <c r="K48" s="135">
        <f t="shared" si="11"/>
        <v>51.08003368</v>
      </c>
      <c r="L48" s="135">
        <f t="shared" si="11"/>
        <v>52.35937347</v>
      </c>
      <c r="M48" s="135">
        <f t="shared" si="11"/>
        <v>53.24666229</v>
      </c>
      <c r="N48" s="135">
        <f t="shared" si="11"/>
        <v>53.96990051</v>
      </c>
      <c r="O48" s="135">
        <f t="shared" si="11"/>
        <v>54.60147065</v>
      </c>
      <c r="P48" s="135">
        <f t="shared" si="11"/>
        <v>55.06895989</v>
      </c>
      <c r="Q48" s="135">
        <f t="shared" si="11"/>
        <v>55.5251955</v>
      </c>
      <c r="R48" s="135">
        <f t="shared" si="11"/>
        <v>55.99433814</v>
      </c>
      <c r="S48" s="135">
        <f t="shared" si="11"/>
        <v>56.34534219</v>
      </c>
      <c r="T48" s="135">
        <f t="shared" si="11"/>
        <v>56.88608414</v>
      </c>
      <c r="U48" s="135">
        <f t="shared" si="11"/>
        <v>56.99989862</v>
      </c>
      <c r="V48" s="135">
        <f t="shared" si="11"/>
        <v>57.05809099</v>
      </c>
      <c r="W48" s="135">
        <f t="shared" si="11"/>
        <v>57.01524133</v>
      </c>
      <c r="X48" s="135">
        <f t="shared" si="11"/>
        <v>56.95888629</v>
      </c>
      <c r="Y48" s="135">
        <f t="shared" si="11"/>
        <v>56.86586878</v>
      </c>
      <c r="Z48" s="135">
        <f t="shared" si="11"/>
        <v>56.73216223</v>
      </c>
      <c r="AA48" s="135">
        <f t="shared" si="11"/>
        <v>56.71940558</v>
      </c>
      <c r="AB48" s="135">
        <f t="shared" si="11"/>
        <v>56.67851627</v>
      </c>
      <c r="AC48" s="135">
        <f t="shared" si="11"/>
        <v>56.60781048</v>
      </c>
      <c r="AD48" s="135">
        <f t="shared" si="11"/>
        <v>56.31827083</v>
      </c>
      <c r="AE48" s="135">
        <f t="shared" si="11"/>
        <v>56.00648549</v>
      </c>
      <c r="AF48" s="135">
        <f t="shared" si="11"/>
        <v>55.7364132</v>
      </c>
      <c r="AG48" s="135">
        <f t="shared" si="11"/>
        <v>55.44468784</v>
      </c>
      <c r="AH48" s="135">
        <f t="shared" si="11"/>
        <v>55.04674371</v>
      </c>
      <c r="AI48" s="135">
        <f t="shared" si="11"/>
        <v>54.84402265</v>
      </c>
      <c r="AJ48" s="135">
        <f t="shared" si="11"/>
        <v>54.62712439</v>
      </c>
      <c r="AK48" s="135">
        <f t="shared" si="11"/>
        <v>54.34330501</v>
      </c>
      <c r="AL48" s="135">
        <f t="shared" si="11"/>
        <v>54.22829804</v>
      </c>
      <c r="AM48" s="135">
        <f t="shared" si="11"/>
        <v>54.15025925</v>
      </c>
      <c r="AN48" s="135">
        <f t="shared" si="11"/>
        <v>53.97812652</v>
      </c>
      <c r="AO48" s="135">
        <f t="shared" si="11"/>
        <v>53.5210815</v>
      </c>
      <c r="AP48" s="135">
        <f t="shared" si="11"/>
        <v>53.91116119</v>
      </c>
      <c r="AQ48" s="126"/>
      <c r="AR48" s="126"/>
      <c r="AS48" s="126"/>
    </row>
    <row r="49" ht="15.75" customHeight="1">
      <c r="A49" s="134" t="s">
        <v>74</v>
      </c>
      <c r="B49" s="135">
        <f t="shared" ref="B49:AP49" si="12">B44/1000000</f>
        <v>5.033721498</v>
      </c>
      <c r="C49" s="135">
        <f t="shared" si="12"/>
        <v>5.127528688</v>
      </c>
      <c r="D49" s="135">
        <f t="shared" si="12"/>
        <v>6.002823467</v>
      </c>
      <c r="E49" s="135">
        <f t="shared" si="12"/>
        <v>6.726721079</v>
      </c>
      <c r="F49" s="135">
        <f t="shared" si="12"/>
        <v>7.488539494</v>
      </c>
      <c r="G49" s="135">
        <f t="shared" si="12"/>
        <v>8.372365211</v>
      </c>
      <c r="H49" s="135">
        <f t="shared" si="12"/>
        <v>9.62644428</v>
      </c>
      <c r="I49" s="135">
        <f t="shared" si="12"/>
        <v>9.989681287</v>
      </c>
      <c r="J49" s="135">
        <f t="shared" si="12"/>
        <v>10.48787091</v>
      </c>
      <c r="K49" s="135">
        <f t="shared" si="12"/>
        <v>11.01586517</v>
      </c>
      <c r="L49" s="135">
        <f t="shared" si="12"/>
        <v>11.43873076</v>
      </c>
      <c r="M49" s="135">
        <f t="shared" si="12"/>
        <v>12.04182947</v>
      </c>
      <c r="N49" s="135">
        <f t="shared" si="12"/>
        <v>12.44766006</v>
      </c>
      <c r="O49" s="135">
        <f t="shared" si="12"/>
        <v>12.90328389</v>
      </c>
      <c r="P49" s="135">
        <f t="shared" si="12"/>
        <v>13.47375911</v>
      </c>
      <c r="Q49" s="135">
        <f t="shared" si="12"/>
        <v>14.07370643</v>
      </c>
      <c r="R49" s="135">
        <f t="shared" si="12"/>
        <v>14.75064588</v>
      </c>
      <c r="S49" s="135">
        <f t="shared" si="12"/>
        <v>15.32223964</v>
      </c>
      <c r="T49" s="135">
        <f t="shared" si="12"/>
        <v>15.86229335</v>
      </c>
      <c r="U49" s="135">
        <f t="shared" si="12"/>
        <v>17.22650061</v>
      </c>
      <c r="V49" s="135">
        <f t="shared" si="12"/>
        <v>18.40041532</v>
      </c>
      <c r="W49" s="135">
        <f t="shared" si="12"/>
        <v>19.25294292</v>
      </c>
      <c r="X49" s="135">
        <f t="shared" si="12"/>
        <v>19.81337387</v>
      </c>
      <c r="Y49" s="135">
        <f t="shared" si="12"/>
        <v>20.33190215</v>
      </c>
      <c r="Z49" s="135">
        <f t="shared" si="12"/>
        <v>20.78894429</v>
      </c>
      <c r="AA49" s="135">
        <f t="shared" si="12"/>
        <v>21.26954075</v>
      </c>
      <c r="AB49" s="135">
        <f t="shared" si="12"/>
        <v>21.62188636</v>
      </c>
      <c r="AC49" s="135">
        <f t="shared" si="12"/>
        <v>22.27368277</v>
      </c>
      <c r="AD49" s="135">
        <f t="shared" si="12"/>
        <v>23.07894452</v>
      </c>
      <c r="AE49" s="135">
        <f t="shared" si="12"/>
        <v>24.06058204</v>
      </c>
      <c r="AF49" s="135">
        <f t="shared" si="12"/>
        <v>24.95799647</v>
      </c>
      <c r="AG49" s="135">
        <f t="shared" si="12"/>
        <v>25.69560676</v>
      </c>
      <c r="AH49" s="135">
        <f t="shared" si="12"/>
        <v>26.48420144</v>
      </c>
      <c r="AI49" s="135">
        <f t="shared" si="12"/>
        <v>26.9085716</v>
      </c>
      <c r="AJ49" s="135">
        <f t="shared" si="12"/>
        <v>27.32208311</v>
      </c>
      <c r="AK49" s="135">
        <f t="shared" si="12"/>
        <v>27.74532823</v>
      </c>
      <c r="AL49" s="135">
        <f t="shared" si="12"/>
        <v>27.96437812</v>
      </c>
      <c r="AM49" s="135">
        <f t="shared" si="12"/>
        <v>28.34329241</v>
      </c>
      <c r="AN49" s="135">
        <f t="shared" si="12"/>
        <v>28.71783892</v>
      </c>
      <c r="AO49" s="135">
        <f t="shared" si="12"/>
        <v>29.16908534</v>
      </c>
      <c r="AP49" s="135">
        <f t="shared" si="12"/>
        <v>29.69034779</v>
      </c>
      <c r="AQ49" s="126"/>
      <c r="AR49" s="126"/>
      <c r="AS49" s="126"/>
    </row>
    <row r="50" ht="15.75" customHeight="1">
      <c r="B50" s="137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ht="15.75" customHeight="1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ht="15.75" customHeight="1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ht="15.75" customHeight="1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ht="15.75" customHeight="1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ht="15.75" customHeight="1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ht="15.75" customHeight="1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ht="15.75" customHeight="1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ht="15.75" customHeight="1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ht="15.75" customHeight="1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ht="15.75" customHeight="1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ht="15.75" customHeight="1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ht="15.75" customHeight="1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ht="15.75" customHeight="1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ht="15.75" customHeight="1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ht="15.75" customHeight="1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ht="15.75" customHeight="1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ht="15.75" customHeight="1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ht="15.75" customHeight="1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ht="15.75" customHeight="1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ht="15.75" customHeight="1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ht="15.75" customHeight="1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ht="15.75" customHeight="1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ht="15.75" customHeight="1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ht="15.75" customHeight="1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ht="15.75" customHeight="1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ht="15.75" customHeight="1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ht="15.75" customHeight="1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ht="15.75" customHeight="1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ht="15.75" customHeight="1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ht="15.75" customHeight="1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ht="15.75" customHeight="1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ht="15.75" customHeight="1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ht="15.75" customHeight="1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ht="15.75" customHeight="1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ht="15.75" customHeight="1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ht="15.75" customHeight="1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ht="15.75" customHeight="1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ht="15.75" customHeight="1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ht="15.75" customHeight="1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ht="15.75" customHeight="1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ht="15.75" customHeight="1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ht="15.75" customHeight="1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ht="15.75" customHeight="1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ht="15.75" customHeight="1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ht="15.75" customHeight="1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ht="15.75" customHeight="1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ht="15.75" customHeight="1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ht="15.75" customHeight="1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ht="15.75" customHeight="1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ht="15.75" customHeight="1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ht="15.75" customHeight="1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ht="15.75" customHeight="1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ht="15.75" customHeight="1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ht="15.75" customHeight="1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ht="15.75" customHeight="1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ht="15.75" customHeight="1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ht="15.75" customHeight="1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ht="15.75" customHeight="1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ht="15.75" customHeight="1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ht="15.75" customHeight="1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ht="15.75" customHeight="1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ht="15.75" customHeight="1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ht="15.75" customHeight="1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ht="15.75" customHeight="1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ht="15.75" customHeight="1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ht="15.75" customHeight="1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ht="15.75" customHeight="1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ht="15.75" customHeight="1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ht="15.75" customHeight="1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ht="15.75" customHeight="1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ht="15.75" customHeight="1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ht="15.75" customHeight="1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ht="15.75" customHeight="1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ht="15.75" customHeight="1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ht="15.75" customHeight="1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ht="15.75" customHeight="1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ht="15.75" customHeight="1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ht="15.75" customHeight="1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ht="15.75" customHeight="1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ht="15.75" customHeight="1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ht="15.75" customHeight="1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ht="15.75" customHeight="1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ht="15.75" customHeight="1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ht="15.75" customHeight="1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ht="15.75" customHeight="1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ht="15.75" customHeight="1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ht="15.75" customHeight="1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ht="15.75" customHeight="1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ht="15.75" customHeight="1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ht="15.75" customHeight="1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ht="15.75" customHeight="1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ht="15.75" customHeight="1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ht="15.75" customHeight="1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ht="15.75" customHeight="1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ht="15.75" customHeight="1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ht="15.75" customHeight="1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ht="15.75" customHeight="1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ht="15.75" customHeight="1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ht="15.75" customHeight="1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ht="15.75" customHeight="1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ht="15.75" customHeight="1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ht="15.75" customHeight="1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ht="15.75" customHeight="1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ht="15.75" customHeight="1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ht="15.75" customHeight="1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ht="15.75" customHeight="1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ht="15.75" customHeight="1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ht="15.75" customHeight="1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ht="15.75" customHeight="1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ht="15.75" customHeight="1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ht="15.75" customHeight="1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ht="15.75" customHeight="1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ht="15.75" customHeight="1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ht="15.75" customHeight="1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ht="15.75" customHeight="1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ht="15.75" customHeight="1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ht="15.75" customHeight="1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ht="15.75" customHeight="1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ht="15.75" customHeight="1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ht="15.75" customHeight="1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ht="15.75" customHeight="1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ht="15.75" customHeight="1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ht="15.75" customHeight="1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ht="15.75" customHeight="1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ht="15.75" customHeight="1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ht="15.75" customHeight="1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ht="15.75" customHeight="1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ht="15.75" customHeight="1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ht="15.75" customHeight="1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ht="15.75" customHeight="1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ht="15.75" customHeight="1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ht="15.75" customHeight="1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ht="15.75" customHeight="1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ht="15.75" customHeight="1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ht="15.75" customHeight="1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ht="15.75" customHeight="1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ht="15.75" customHeight="1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ht="15.75" customHeight="1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ht="15.75" customHeight="1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ht="15.75" customHeight="1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ht="15.75" customHeight="1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ht="15.75" customHeight="1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ht="15.75" customHeight="1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ht="15.75" customHeight="1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ht="15.75" customHeight="1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ht="15.75" customHeight="1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ht="15.75" customHeight="1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ht="15.75" customHeight="1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ht="15.75" customHeight="1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ht="15.75" customHeight="1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ht="15.75" customHeight="1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ht="15.75" customHeight="1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ht="15.75" customHeight="1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ht="15.75" customHeight="1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ht="15.75" customHeight="1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ht="15.75" customHeight="1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ht="15.75" customHeight="1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ht="15.75" customHeight="1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ht="15.75" customHeight="1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ht="15.75" customHeight="1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ht="15.75" customHeight="1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ht="15.75" customHeight="1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ht="15.75" customHeight="1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ht="15.75" customHeight="1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ht="15.75" customHeight="1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ht="15.75" customHeight="1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ht="15.75" customHeight="1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ht="15.75" customHeight="1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ht="15.75" customHeight="1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ht="15.75" customHeight="1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ht="15.75" customHeight="1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ht="15.75" customHeight="1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ht="15.75" customHeight="1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ht="15.75" customHeight="1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ht="15.75" customHeight="1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ht="15.75" customHeight="1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ht="15.75" customHeight="1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ht="15.75" customHeight="1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ht="15.75" customHeight="1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ht="15.75" customHeight="1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ht="15.75" customHeight="1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ht="15.75" customHeight="1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ht="15.75" customHeight="1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ht="15.75" customHeight="1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ht="15.75" customHeight="1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ht="15.75" customHeight="1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ht="15.75" customHeight="1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ht="15.75" customHeight="1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ht="15.75" customHeight="1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ht="15.75" customHeight="1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ht="15.75" customHeight="1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ht="15.75" customHeight="1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ht="15.75" customHeight="1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ht="15.75" customHeight="1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ht="15.75" customHeight="1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ht="15.75" customHeight="1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ht="15.75" customHeight="1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ht="15.75" customHeight="1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ht="15.75" customHeight="1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ht="15.75" customHeight="1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ht="15.75" customHeight="1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ht="15.75" customHeight="1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ht="15.75" customHeight="1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ht="15.75" customHeight="1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ht="15.75" customHeight="1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ht="15.75" customHeight="1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ht="15.75" customHeight="1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ht="15.75" customHeight="1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ht="15.75" customHeight="1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ht="15.75" customHeight="1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ht="15.75" customHeight="1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ht="15.75" customHeight="1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ht="15.75" customHeight="1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ht="15.75" customHeight="1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ht="15.75" customHeight="1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ht="15.75" customHeight="1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ht="15.75" customHeight="1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ht="15.75" customHeight="1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ht="15.75" customHeight="1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ht="15.75" customHeight="1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ht="15.75" customHeight="1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ht="15.75" customHeight="1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ht="15.75" customHeight="1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ht="15.75" customHeight="1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ht="15.75" customHeight="1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ht="15.75" customHeight="1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ht="15.75" customHeight="1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ht="15.75" customHeight="1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ht="15.75" customHeight="1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ht="15.75" customHeight="1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ht="15.75" customHeight="1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ht="15.75" customHeight="1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ht="15.75" customHeight="1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ht="15.75" customHeight="1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ht="15.75" customHeight="1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ht="15.75" customHeight="1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ht="15.75" customHeight="1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ht="15.75" customHeight="1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ht="15.75" customHeight="1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ht="15.75" customHeight="1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ht="15.75" customHeight="1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ht="15.75" customHeight="1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ht="15.75" customHeight="1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ht="15.75" customHeight="1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ht="15.75" customHeight="1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ht="15.75" customHeight="1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ht="15.75" customHeight="1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ht="15.7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ht="15.7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ht="15.7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ht="15.7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ht="15.7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ht="15.7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ht="15.7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ht="15.7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ht="15.7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ht="15.7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ht="15.7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ht="15.7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ht="15.7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ht="15.7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ht="15.7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ht="15.7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ht="15.7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ht="15.7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ht="15.7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ht="15.7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ht="15.7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ht="15.7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ht="15.75" customHeight="1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ht="15.75" customHeight="1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ht="15.75" customHeight="1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ht="15.75" customHeight="1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ht="15.75" customHeight="1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ht="15.75" customHeight="1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ht="15.75" customHeight="1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ht="15.75" customHeight="1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ht="15.75" customHeight="1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ht="15.75" customHeight="1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ht="15.75" customHeight="1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ht="15.75" customHeight="1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ht="15.75" customHeight="1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ht="15.75" customHeight="1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ht="15.75" customHeight="1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ht="15.75" customHeight="1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ht="15.75" customHeight="1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ht="15.75" customHeight="1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ht="15.75" customHeight="1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ht="15.75" customHeight="1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ht="15.75" customHeight="1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ht="15.75" customHeight="1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ht="15.75" customHeight="1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ht="15.75" customHeight="1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ht="15.75" customHeight="1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ht="15.75" customHeight="1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ht="15.75" customHeight="1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ht="15.75" customHeight="1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ht="15.75" customHeight="1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ht="15.75" customHeight="1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ht="15.75" customHeight="1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ht="15.75" customHeight="1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ht="15.75" customHeight="1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ht="15.75" customHeight="1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ht="15.75" customHeight="1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ht="15.75" customHeight="1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ht="15.75" customHeight="1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ht="15.75" customHeight="1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ht="15.75" customHeight="1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ht="15.75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ht="15.75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ht="15.75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ht="15.75" customHeight="1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ht="15.75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ht="15.75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ht="15.75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ht="15.75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ht="15.75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ht="15.75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ht="15.75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ht="15.75" customHeight="1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ht="15.75" customHeight="1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ht="15.75" customHeight="1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ht="15.75" customHeight="1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ht="15.75" customHeight="1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ht="15.75" customHeight="1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ht="15.75" customHeight="1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ht="15.75" customHeight="1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ht="15.75" customHeight="1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ht="15.75" customHeight="1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ht="15.75" customHeight="1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ht="15.75" customHeight="1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ht="15.75" customHeight="1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ht="15.75" customHeight="1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ht="15.75" customHeight="1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ht="15.75" customHeight="1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ht="15.75" customHeight="1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ht="15.75" customHeight="1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ht="15.75" customHeight="1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ht="15.75" customHeight="1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ht="15.75" customHeight="1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ht="15.75" customHeight="1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ht="15.75" customHeight="1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ht="15.75" customHeight="1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ht="15.75" customHeight="1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ht="15.75" customHeight="1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ht="15.75" customHeight="1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ht="15.75" customHeight="1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ht="15.75" customHeight="1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ht="15.75" customHeight="1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ht="15.75" customHeight="1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ht="15.75" customHeight="1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ht="15.75" customHeight="1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ht="15.75" customHeight="1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ht="15.75" customHeight="1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ht="15.75" customHeight="1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ht="15.75" customHeight="1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ht="15.75" customHeight="1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ht="15.75" customHeight="1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ht="15.75" customHeight="1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ht="15.75" customHeight="1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ht="15.75" customHeight="1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ht="15.75" customHeight="1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ht="15.75" customHeight="1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ht="15.75" customHeight="1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ht="15.75" customHeight="1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ht="15.75" customHeight="1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ht="15.75" customHeight="1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ht="15.75" customHeight="1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ht="15.75" customHeight="1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ht="15.75" customHeight="1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ht="15.75" customHeight="1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ht="15.75" customHeight="1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ht="15.75" customHeight="1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ht="15.75" customHeight="1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ht="15.75" customHeight="1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ht="15.75" customHeight="1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ht="15.75" customHeight="1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ht="15.75" customHeight="1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ht="15.75" customHeight="1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ht="15.75" customHeight="1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ht="15.75" customHeight="1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ht="15.75" customHeight="1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ht="15.75" customHeight="1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ht="15.75" customHeight="1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ht="15.75" customHeight="1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ht="15.75" customHeight="1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ht="15.75" customHeight="1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ht="15.75" customHeight="1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ht="15.75" customHeight="1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ht="15.75" customHeight="1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ht="15.75" customHeight="1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ht="15.75" customHeight="1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ht="15.75" customHeight="1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ht="15.75" customHeight="1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ht="15.75" customHeight="1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ht="15.75" customHeight="1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ht="15.75" customHeight="1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ht="15.75" customHeight="1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ht="15.75" customHeight="1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ht="15.75" customHeight="1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ht="15.75" customHeight="1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ht="15.75" customHeight="1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ht="15.75" customHeight="1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ht="15.75" customHeight="1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ht="15.75" customHeight="1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ht="15.75" customHeight="1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ht="15.75" customHeight="1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ht="15.75" customHeight="1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ht="15.75" customHeight="1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ht="15.75" customHeight="1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ht="15.75" customHeight="1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ht="15.75" customHeight="1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ht="15.75" customHeight="1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ht="15.75" customHeight="1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ht="15.75" customHeight="1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ht="15.75" customHeight="1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ht="15.75" customHeight="1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ht="15.75" customHeight="1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ht="15.75" customHeight="1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ht="15.75" customHeight="1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ht="15.75" customHeight="1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ht="15.75" customHeight="1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ht="15.75" customHeight="1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ht="15.75" customHeight="1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ht="15.75" customHeight="1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ht="15.75" customHeight="1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ht="15.75" customHeight="1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ht="15.75" customHeight="1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ht="15.75" customHeight="1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ht="15.75" customHeight="1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ht="15.75" customHeight="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ht="15.75" customHeight="1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ht="15.75" customHeight="1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ht="15.75" customHeight="1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ht="15.75" customHeight="1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ht="15.75" customHeight="1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ht="15.75" customHeight="1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ht="15.75" customHeight="1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ht="15.75" customHeight="1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ht="15.75" customHeight="1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ht="15.75" customHeight="1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ht="15.75" customHeight="1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ht="15.75" customHeight="1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ht="15.75" customHeight="1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ht="15.75" customHeight="1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ht="15.75" customHeight="1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ht="15.75" customHeight="1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ht="15.75" customHeight="1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ht="15.75" customHeight="1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ht="15.75" customHeight="1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ht="15.75" customHeight="1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ht="15.75" customHeight="1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ht="15.75" customHeight="1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ht="15.75" customHeight="1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ht="15.75" customHeight="1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ht="15.75" customHeight="1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ht="15.75" customHeight="1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ht="15.75" customHeight="1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ht="15.75" customHeight="1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ht="15.75" customHeight="1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ht="15.75" customHeight="1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ht="15.75" customHeight="1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ht="15.75" customHeight="1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ht="15.75" customHeight="1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ht="15.75" customHeight="1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ht="15.75" customHeight="1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ht="15.75" customHeight="1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ht="15.75" customHeight="1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ht="15.75" customHeight="1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ht="15.75" customHeight="1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ht="15.75" customHeight="1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ht="15.75" customHeight="1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ht="15.75" customHeight="1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ht="15.75" customHeight="1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ht="15.75" customHeight="1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ht="15.75" customHeight="1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ht="15.75" customHeight="1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ht="15.75" customHeight="1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ht="15.75" customHeight="1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ht="15.75" customHeight="1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ht="15.75" customHeight="1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ht="15.75" customHeight="1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ht="15.75" customHeight="1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ht="15.75" customHeight="1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ht="15.75" customHeight="1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ht="15.75" customHeight="1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ht="15.75" customHeight="1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ht="15.75" customHeight="1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ht="15.75" customHeight="1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ht="15.75" customHeight="1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ht="15.75" customHeight="1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ht="15.75" customHeight="1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ht="15.75" customHeight="1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ht="15.75" customHeight="1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ht="15.75" customHeight="1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ht="15.75" customHeight="1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ht="15.75" customHeight="1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ht="15.75" customHeight="1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ht="15.75" customHeight="1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ht="15.75" customHeight="1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ht="15.75" customHeight="1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ht="15.75" customHeight="1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ht="15.75" customHeight="1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ht="15.75" customHeight="1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ht="15.75" customHeight="1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ht="15.75" customHeight="1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ht="15.75" customHeight="1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ht="15.75" customHeight="1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ht="15.75" customHeight="1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ht="15.75" customHeight="1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ht="15.75" customHeight="1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ht="15.75" customHeight="1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ht="15.75" customHeight="1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ht="15.75" customHeight="1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ht="15.75" customHeight="1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ht="15.75" customHeight="1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ht="15.75" customHeight="1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ht="15.75" customHeight="1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ht="15.75" customHeight="1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ht="15.75" customHeight="1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ht="15.75" customHeight="1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ht="15.75" customHeight="1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ht="15.75" customHeight="1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ht="15.75" customHeight="1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ht="15.75" customHeight="1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ht="15.75" customHeight="1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ht="15.75" customHeight="1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ht="15.75" customHeight="1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ht="15.75" customHeight="1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ht="15.75" customHeight="1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ht="15.75" customHeight="1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ht="15.75" customHeight="1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ht="15.75" customHeight="1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ht="15.75" customHeight="1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ht="15.75" customHeight="1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ht="15.75" customHeight="1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ht="15.75" customHeight="1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ht="15.75" customHeight="1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ht="15.75" customHeight="1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ht="15.75" customHeight="1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ht="15.75" customHeight="1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ht="15.75" customHeight="1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ht="15.75" customHeight="1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ht="15.75" customHeight="1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ht="15.75" customHeight="1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ht="15.75" customHeight="1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ht="15.75" customHeight="1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ht="15.75" customHeight="1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ht="15.75" customHeight="1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ht="15.75" customHeight="1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ht="15.75" customHeight="1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ht="15.75" customHeight="1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ht="15.75" customHeight="1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ht="15.75" customHeight="1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ht="15.75" customHeight="1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ht="15.75" customHeight="1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ht="15.75" customHeight="1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ht="15.75" customHeight="1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ht="15.75" customHeight="1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ht="15.75" customHeight="1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ht="15.75" customHeight="1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ht="15.75" customHeight="1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ht="15.75" customHeight="1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ht="15.75" customHeight="1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ht="15.75" customHeight="1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ht="15.75" customHeight="1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ht="15.75" customHeight="1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ht="15.75" customHeight="1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ht="15.75" customHeight="1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ht="15.75" customHeight="1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ht="15.75" customHeight="1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ht="15.75" customHeight="1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ht="15.75" customHeight="1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ht="15.75" customHeight="1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ht="15.75" customHeight="1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ht="15.75" customHeight="1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ht="15.75" customHeight="1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ht="15.75" customHeight="1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ht="15.75" customHeight="1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ht="15.75" customHeight="1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ht="15.75" customHeight="1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ht="15.75" customHeight="1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ht="15.75" customHeight="1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ht="15.75" customHeight="1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ht="15.75" customHeight="1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ht="15.75" customHeight="1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ht="15.75" customHeight="1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ht="15.75" customHeight="1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ht="15.75" customHeight="1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ht="15.75" customHeight="1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ht="15.75" customHeight="1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ht="15.75" customHeight="1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ht="15.75" customHeight="1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ht="15.75" customHeight="1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ht="15.75" customHeight="1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ht="15.75" customHeight="1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ht="15.75" customHeight="1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ht="15.75" customHeight="1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ht="15.75" customHeight="1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ht="15.75" customHeight="1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ht="15.75" customHeight="1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ht="15.75" customHeight="1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ht="15.75" customHeight="1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ht="15.75" customHeight="1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ht="15.75" customHeight="1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ht="15.75" customHeight="1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ht="15.75" customHeight="1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ht="15.75" customHeight="1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ht="15.75" customHeight="1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ht="15.75" customHeight="1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ht="15.75" customHeight="1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ht="15.75" customHeight="1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ht="15.75" customHeight="1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ht="15.75" customHeight="1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ht="15.75" customHeight="1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ht="15.75" customHeight="1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ht="15.75" customHeight="1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ht="15.75" customHeight="1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ht="15.75" customHeight="1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ht="15.75" customHeight="1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ht="15.75" customHeight="1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ht="15.75" customHeight="1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ht="15.75" customHeight="1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ht="15.75" customHeight="1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ht="15.75" customHeight="1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ht="15.75" customHeight="1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ht="15.75" customHeight="1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ht="15.75" customHeight="1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ht="15.75" customHeight="1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ht="15.75" customHeight="1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ht="15.75" customHeight="1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ht="15.75" customHeight="1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ht="15.75" customHeight="1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ht="15.75" customHeight="1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ht="15.75" customHeight="1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ht="15.75" customHeight="1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ht="15.75" customHeight="1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ht="15.75" customHeight="1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ht="15.75" customHeight="1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ht="15.75" customHeight="1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ht="15.75" customHeight="1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ht="15.75" customHeight="1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ht="15.75" customHeight="1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ht="15.75" customHeight="1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ht="15.75" customHeight="1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ht="15.75" customHeight="1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ht="15.75" customHeight="1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ht="15.75" customHeight="1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ht="15.75" customHeight="1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ht="15.75" customHeight="1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ht="15.75" customHeight="1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ht="15.75" customHeight="1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ht="15.75" customHeight="1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ht="15.75" customHeight="1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ht="15.75" customHeight="1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ht="15.75" customHeight="1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ht="15.75" customHeight="1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ht="15.75" customHeight="1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ht="15.75" customHeight="1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ht="15.75" customHeight="1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ht="15.75" customHeight="1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ht="15.75" customHeight="1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ht="15.75" customHeight="1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ht="15.75" customHeight="1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ht="15.75" customHeight="1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ht="15.75" customHeight="1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ht="15.75" customHeight="1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ht="15.75" customHeight="1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ht="15.75" customHeight="1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ht="15.75" customHeight="1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ht="15.75" customHeight="1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ht="15.75" customHeight="1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ht="15.75" customHeight="1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ht="15.75" customHeight="1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ht="15.75" customHeight="1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ht="15.75" customHeight="1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ht="15.75" customHeight="1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ht="15.75" customHeight="1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ht="15.75" customHeight="1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ht="15.75" customHeight="1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ht="15.75" customHeight="1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ht="15.75" customHeight="1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ht="15.75" customHeight="1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ht="15.75" customHeight="1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ht="15.75" customHeight="1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ht="15.75" customHeight="1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ht="15.75" customHeight="1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ht="15.75" customHeight="1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ht="15.75" customHeight="1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ht="15.75" customHeight="1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ht="15.75" customHeight="1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ht="15.75" customHeight="1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ht="15.75" customHeight="1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ht="15.75" customHeight="1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ht="15.75" customHeight="1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ht="15.75" customHeight="1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ht="15.75" customHeight="1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ht="15.75" customHeight="1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ht="15.75" customHeight="1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ht="15.75" customHeight="1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ht="15.75" customHeight="1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ht="15.75" customHeight="1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ht="15.75" customHeight="1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ht="15.75" customHeight="1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ht="15.75" customHeight="1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ht="15.75" customHeight="1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ht="15.75" customHeight="1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ht="15.75" customHeight="1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ht="15.75" customHeight="1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ht="15.75" customHeight="1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ht="15.75" customHeight="1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ht="15.75" customHeight="1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ht="15.75" customHeight="1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ht="15.75" customHeight="1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ht="15.75" customHeight="1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ht="15.75" customHeight="1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ht="15.75" customHeight="1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ht="15.75" customHeight="1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ht="15.75" customHeight="1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ht="15.75" customHeight="1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ht="15.75" customHeight="1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ht="15.75" customHeight="1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ht="15.75" customHeight="1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ht="15.75" customHeight="1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ht="15.75" customHeight="1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ht="15.75" customHeight="1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ht="15.75" customHeight="1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ht="15.75" customHeight="1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ht="15.75" customHeight="1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ht="15.75" customHeight="1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ht="15.75" customHeight="1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ht="15.75" customHeight="1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ht="15.75" customHeight="1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ht="15.75" customHeight="1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ht="15.75" customHeight="1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ht="15.75" customHeight="1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ht="15.75" customHeight="1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ht="15.75" customHeight="1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ht="15.75" customHeight="1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ht="15.75" customHeight="1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ht="15.75" customHeight="1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ht="15.75" customHeight="1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ht="15.75" customHeight="1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ht="15.75" customHeight="1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ht="15.75" customHeight="1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ht="15.75" customHeight="1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ht="15.75" customHeight="1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ht="15.75" customHeight="1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ht="15.75" customHeight="1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ht="15.75" customHeight="1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ht="15.75" customHeight="1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ht="15.75" customHeight="1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ht="15.75" customHeight="1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ht="15.75" customHeight="1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ht="15.75" customHeight="1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ht="15.75" customHeight="1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ht="15.75" customHeight="1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ht="15.75" customHeight="1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ht="15.75" customHeight="1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ht="15.75" customHeight="1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ht="15.75" customHeight="1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ht="15.75" customHeight="1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ht="15.75" customHeight="1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ht="15.75" customHeight="1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ht="15.75" customHeight="1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ht="15.75" customHeight="1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ht="15.75" customHeight="1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ht="15.75" customHeight="1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ht="15.75" customHeight="1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ht="15.75" customHeight="1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ht="15.75" customHeight="1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ht="15.75" customHeight="1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ht="15.75" customHeight="1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ht="15.75" customHeight="1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ht="15.75" customHeight="1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ht="15.75" customHeight="1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ht="15.75" customHeight="1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ht="15.75" customHeight="1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ht="15.75" customHeight="1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ht="15.75" customHeight="1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ht="15.75" customHeight="1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ht="15.75" customHeight="1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ht="15.75" customHeight="1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ht="15.75" customHeight="1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ht="15.75" customHeight="1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ht="15.75" customHeight="1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ht="15.75" customHeight="1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ht="15.75" customHeight="1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ht="15.75" customHeight="1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ht="15.75" customHeight="1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ht="15.75" customHeight="1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ht="15.75" customHeight="1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ht="15.75" customHeight="1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ht="15.75" customHeight="1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ht="15.75" customHeight="1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ht="15.75" customHeight="1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ht="15.75" customHeight="1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ht="15.75" customHeight="1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ht="15.75" customHeight="1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ht="15.75" customHeight="1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ht="15.75" customHeight="1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ht="15.75" customHeight="1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ht="15.75" customHeight="1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ht="15.75" customHeight="1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ht="15.75" customHeight="1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ht="15.75" customHeight="1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ht="15.75" customHeight="1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ht="15.75" customHeight="1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ht="15.75" customHeight="1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ht="15.75" customHeight="1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ht="15.75" customHeight="1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ht="15.75" customHeight="1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ht="15.75" customHeight="1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ht="15.75" customHeight="1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ht="15.75" customHeight="1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ht="15.75" customHeight="1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ht="15.75" customHeight="1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ht="15.75" customHeight="1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ht="15.75" customHeight="1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ht="15.75" customHeight="1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ht="15.75" customHeight="1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ht="15.75" customHeight="1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ht="15.75" customHeight="1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ht="15.75" customHeight="1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ht="15.75" customHeight="1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ht="15.75" customHeight="1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ht="15.75" customHeight="1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ht="15.75" customHeight="1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ht="15.75" customHeight="1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ht="15.75" customHeight="1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ht="15.75" customHeight="1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ht="15.75" customHeight="1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 ht="15.75" customHeight="1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 ht="15.75" customHeight="1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 ht="15.75" customHeight="1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 ht="15.75" customHeight="1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 ht="15.75" customHeight="1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 ht="15.75" customHeight="1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 ht="15.75" customHeight="1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 ht="15.75" customHeight="1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 ht="15.75" customHeight="1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 ht="15.75" customHeight="1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 ht="15.75" customHeight="1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 ht="15.75" customHeight="1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 ht="15.75" customHeight="1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 ht="15.75" customHeight="1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 ht="15.75" customHeight="1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 ht="15.75" customHeight="1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 ht="15.75" customHeight="1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 ht="15.75" customHeight="1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 ht="15.75" customHeight="1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 ht="15.75" customHeight="1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 ht="15.75" customHeight="1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 ht="15.75" customHeight="1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 ht="15.75" customHeight="1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 ht="15.75" customHeight="1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 ht="15.75" customHeight="1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 ht="15.75" customHeight="1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 ht="15.75" customHeight="1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 ht="15.75" customHeight="1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 ht="15.75" customHeight="1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 ht="15.75" customHeight="1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 ht="15.75" customHeight="1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 ht="15.75" customHeight="1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 ht="15.75" customHeight="1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 ht="15.75" customHeight="1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 ht="15.75" customHeight="1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 ht="15.75" customHeight="1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 ht="15.75" customHeight="1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 ht="15.75" customHeight="1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 ht="15.75" customHeight="1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 ht="15.75" customHeight="1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 ht="15.75" customHeight="1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 ht="15.75" customHeight="1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 ht="15.75" customHeight="1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 ht="15.75" customHeight="1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 ht="15.75" customHeight="1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 ht="15.75" customHeight="1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 ht="15.75" customHeight="1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 ht="15.75" customHeight="1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 ht="15.75" customHeight="1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 ht="15.75" customHeight="1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 ht="15.75" customHeight="1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 ht="15.75" customHeight="1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 ht="15.75" customHeight="1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 ht="15.75" customHeight="1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 ht="15.75" customHeight="1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 ht="15.75" customHeight="1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 ht="15.75" customHeight="1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 ht="15.75" customHeight="1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 ht="15.75" customHeight="1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 ht="15.75" customHeight="1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 ht="15.75" customHeight="1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 ht="15.75" customHeight="1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 ht="15.75" customHeight="1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 ht="15.75" customHeight="1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 ht="15.75" customHeight="1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 ht="15.75" customHeight="1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 ht="15.75" customHeight="1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 ht="15.75" customHeight="1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 ht="15.75" customHeight="1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 ht="15.75" customHeight="1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 ht="15.75" customHeight="1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 ht="15.75" customHeight="1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 ht="15.75" customHeight="1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 ht="15.75" customHeight="1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 ht="15.75" customHeight="1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 ht="15.75" customHeight="1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 ht="15.75" customHeight="1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 ht="15.75" customHeight="1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 ht="15.75" customHeight="1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 ht="15.75" customHeight="1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 ht="15.75" customHeight="1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 ht="15.75" customHeight="1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 ht="15.75" customHeight="1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 ht="15.75" customHeight="1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 ht="15.75" customHeight="1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 ht="15.75" customHeight="1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 ht="15.75" customHeight="1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 ht="15.75" customHeight="1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</row>
    <row r="971" ht="15.75" customHeight="1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</row>
    <row r="972" ht="15.75" customHeight="1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</row>
    <row r="973" ht="15.75" customHeight="1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</row>
    <row r="974" ht="15.75" customHeight="1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</row>
    <row r="975" ht="15.75" customHeight="1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</row>
    <row r="976" ht="15.75" customHeight="1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</row>
    <row r="977" ht="15.75" customHeight="1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</row>
    <row r="978" ht="15.75" customHeight="1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</row>
    <row r="979" ht="15.75" customHeight="1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</row>
    <row r="980" ht="15.75" customHeight="1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</row>
    <row r="981" ht="15.75" customHeight="1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</row>
    <row r="982" ht="15.75" customHeight="1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</row>
    <row r="983" ht="15.75" customHeight="1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</row>
    <row r="984" ht="15.75" customHeight="1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</row>
    <row r="985" ht="15.75" customHeight="1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</row>
    <row r="986" ht="15.75" customHeight="1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</row>
    <row r="987" ht="15.75" customHeight="1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</row>
    <row r="988" ht="15.75" customHeight="1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</row>
    <row r="989" ht="15.75" customHeight="1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</row>
    <row r="990" ht="15.75" customHeight="1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</row>
    <row r="991" ht="15.75" customHeight="1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</row>
    <row r="992" ht="15.75" customHeight="1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</row>
    <row r="993" ht="15.75" customHeight="1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</row>
    <row r="994" ht="15.75" customHeight="1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</row>
    <row r="995" ht="15.75" customHeight="1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</row>
    <row r="996" ht="15.75" customHeight="1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</row>
    <row r="997" ht="15.75" customHeight="1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</row>
    <row r="998" ht="15.75" customHeight="1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</row>
    <row r="999" ht="15.75" customHeight="1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</row>
    <row r="1000" ht="15.75" customHeight="1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</row>
    <row r="1001" ht="15.75" customHeight="1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</row>
    <row r="1002" ht="15.75" customHeight="1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</row>
    <row r="1003" ht="15.75" customHeight="1"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</row>
    <row r="1004" ht="15.75" customHeight="1"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</row>
    <row r="1005" ht="15.75" customHeight="1"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</row>
    <row r="1006" ht="15.75" customHeight="1"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</row>
  </sheetData>
  <printOptions/>
  <pageMargins bottom="0.75" footer="0.0" header="0.0" left="0.7" right="0.7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2.78"/>
    <col customWidth="1" min="6" max="6" width="16.22"/>
    <col customWidth="1" min="7" max="8" width="12.78"/>
    <col customWidth="1" min="9" max="10" width="20.56"/>
    <col customWidth="1" min="11" max="26" width="10.44"/>
  </cols>
  <sheetData>
    <row r="1" ht="15.75" customHeight="1">
      <c r="A1" s="4"/>
    </row>
    <row r="2">
      <c r="A2" s="4"/>
      <c r="B2" s="9" t="s">
        <v>5</v>
      </c>
      <c r="C2" s="12"/>
      <c r="E2" s="13"/>
    </row>
    <row r="3" ht="15.75" customHeight="1">
      <c r="A3" s="4"/>
      <c r="B3" s="9"/>
      <c r="E3" s="13"/>
    </row>
    <row r="4" ht="15.75" customHeight="1">
      <c r="A4" s="14"/>
      <c r="B4" s="16"/>
      <c r="C4" s="17"/>
      <c r="D4" s="16"/>
      <c r="E4" s="16"/>
      <c r="F4" s="17"/>
      <c r="G4" s="16"/>
      <c r="H4" s="16"/>
      <c r="I4" s="16"/>
      <c r="J4" s="16"/>
      <c r="K4" s="16"/>
      <c r="L4" s="16"/>
      <c r="M4" s="16"/>
    </row>
    <row r="5" ht="15.75" customHeight="1">
      <c r="A5" s="14"/>
      <c r="B5" s="16"/>
      <c r="C5" s="16"/>
      <c r="D5" s="16"/>
      <c r="E5" s="19"/>
      <c r="F5" s="19"/>
      <c r="G5" s="19"/>
      <c r="H5" s="16"/>
      <c r="I5" s="16"/>
      <c r="J5" s="16"/>
      <c r="K5" s="16"/>
      <c r="L5" s="16"/>
      <c r="M5" s="16"/>
    </row>
    <row r="6" ht="15.75" customHeight="1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15.75" customHeight="1">
      <c r="A7" s="23"/>
      <c r="B7" s="26"/>
      <c r="C7" s="28" t="s">
        <v>15</v>
      </c>
      <c r="D7" s="28" t="s">
        <v>17</v>
      </c>
      <c r="E7" s="28" t="s">
        <v>18</v>
      </c>
      <c r="F7" s="28" t="s">
        <v>19</v>
      </c>
      <c r="G7" s="28" t="s">
        <v>20</v>
      </c>
      <c r="H7" s="34" t="s">
        <v>22</v>
      </c>
      <c r="I7" s="36"/>
      <c r="J7" s="36"/>
      <c r="K7" s="36"/>
      <c r="L7" s="36"/>
      <c r="M7" s="36"/>
    </row>
    <row r="8" ht="15.75" customHeight="1">
      <c r="A8" s="14"/>
      <c r="B8" s="39" t="s">
        <v>15</v>
      </c>
      <c r="C8" s="44">
        <f>C27+D27+C28+D28+C30+D30+F27+F28+F30</f>
        <v>31970509.37</v>
      </c>
      <c r="D8" s="44">
        <f>E27+E28+E30+G27+G28+G30</f>
        <v>1811906.541</v>
      </c>
      <c r="E8" s="44">
        <f t="shared" ref="E8:F8" si="1">I27+I28+I30</f>
        <v>380042.207</v>
      </c>
      <c r="F8" s="44">
        <f t="shared" si="1"/>
        <v>16298887.99</v>
      </c>
      <c r="G8" s="44">
        <f>SUM(K27:L28,K30:L30)</f>
        <v>403329.6782</v>
      </c>
      <c r="H8" s="50">
        <f t="shared" ref="H8:H13" si="3">SUM(C8:G8)</f>
        <v>50864675.79</v>
      </c>
      <c r="I8" s="16"/>
      <c r="J8" s="16"/>
      <c r="K8" s="16"/>
      <c r="L8" s="16"/>
      <c r="M8" s="16"/>
    </row>
    <row r="9" ht="15.75" customHeight="1">
      <c r="A9" s="14"/>
      <c r="B9" s="39" t="s">
        <v>29</v>
      </c>
      <c r="C9" s="53">
        <f>C29+D29+C31+D31+F31+F29</f>
        <v>4358240.829</v>
      </c>
      <c r="D9" s="53">
        <f>E29+G29+E31+G31</f>
        <v>43891310.42</v>
      </c>
      <c r="E9" s="53">
        <f t="shared" ref="E9:F9" si="2">I29+I31</f>
        <v>574014.1891</v>
      </c>
      <c r="F9" s="53">
        <f t="shared" si="2"/>
        <v>32739144.66</v>
      </c>
      <c r="G9" s="44">
        <f>K29+L29+K31+L31</f>
        <v>495458.3988</v>
      </c>
      <c r="H9" s="50">
        <f t="shared" si="3"/>
        <v>82058168.5</v>
      </c>
      <c r="I9" s="16"/>
      <c r="J9" s="16"/>
      <c r="K9" s="16"/>
      <c r="L9" s="16"/>
      <c r="M9" s="16"/>
    </row>
    <row r="10" ht="15.75" customHeight="1">
      <c r="A10" s="14"/>
      <c r="B10" s="39" t="s">
        <v>18</v>
      </c>
      <c r="C10" s="44">
        <f t="shared" ref="C10:C11" si="5">C32+D32+F32</f>
        <v>549958.1533</v>
      </c>
      <c r="D10" s="44">
        <f t="shared" ref="D10:D11" si="6">E32+G32</f>
        <v>854045.142</v>
      </c>
      <c r="E10" s="44">
        <f t="shared" ref="E10:F10" si="4">I32</f>
        <v>12018086.83</v>
      </c>
      <c r="F10" s="44">
        <f t="shared" si="4"/>
        <v>4720788.863</v>
      </c>
      <c r="G10" s="44">
        <f t="shared" ref="G10:G11" si="8">SUM(K32:L32)</f>
        <v>111628.7081</v>
      </c>
      <c r="H10" s="50">
        <f t="shared" si="3"/>
        <v>18254507.7</v>
      </c>
      <c r="I10" s="16"/>
      <c r="J10" s="16"/>
      <c r="K10" s="16"/>
      <c r="L10" s="16"/>
      <c r="M10" s="16"/>
    </row>
    <row r="11" ht="15.75" customHeight="1">
      <c r="A11" s="14"/>
      <c r="B11" s="39" t="s">
        <v>19</v>
      </c>
      <c r="C11" s="44">
        <f t="shared" si="5"/>
        <v>1022817.021</v>
      </c>
      <c r="D11" s="44">
        <f t="shared" si="6"/>
        <v>1463451.578</v>
      </c>
      <c r="E11" s="44">
        <f t="shared" ref="E11:F11" si="7">I33</f>
        <v>140831.6465</v>
      </c>
      <c r="F11" s="44">
        <f t="shared" si="7"/>
        <v>43627518.58</v>
      </c>
      <c r="G11" s="44">
        <f t="shared" si="8"/>
        <v>442826.5501</v>
      </c>
      <c r="H11" s="50">
        <f t="shared" si="3"/>
        <v>46697445.38</v>
      </c>
      <c r="I11" s="16"/>
      <c r="J11" s="16"/>
      <c r="K11" s="16"/>
      <c r="L11" s="16"/>
      <c r="M11" s="16"/>
    </row>
    <row r="12" ht="15.75" customHeight="1">
      <c r="A12" s="14"/>
      <c r="B12" s="39" t="s">
        <v>20</v>
      </c>
      <c r="C12" s="44">
        <f>SUM(C34:D35)+F34+F35</f>
        <v>200545.6261</v>
      </c>
      <c r="D12" s="44">
        <f>SUM(E34:E35)+G34+G35</f>
        <v>74879.59718</v>
      </c>
      <c r="E12" s="44">
        <f t="shared" ref="E12:F12" si="9">SUM(I34:I35)</f>
        <v>132485.4522</v>
      </c>
      <c r="F12" s="44">
        <f t="shared" si="9"/>
        <v>551076.242</v>
      </c>
      <c r="G12" s="44">
        <f>SUM(K34:L35)</f>
        <v>1603615.825</v>
      </c>
      <c r="H12" s="50">
        <f t="shared" si="3"/>
        <v>2562602.743</v>
      </c>
      <c r="I12" s="16"/>
      <c r="J12" s="16"/>
      <c r="K12" s="16"/>
      <c r="L12" s="16"/>
      <c r="M12" s="16"/>
    </row>
    <row r="13" ht="15.75" customHeight="1">
      <c r="A13" s="14"/>
      <c r="B13" s="61" t="s">
        <v>38</v>
      </c>
      <c r="C13" s="64">
        <f t="shared" ref="C13:G13" si="10">SUM(C8:C12)</f>
        <v>38102071</v>
      </c>
      <c r="D13" s="64">
        <f t="shared" si="10"/>
        <v>48095593.28</v>
      </c>
      <c r="E13" s="64">
        <f t="shared" si="10"/>
        <v>13245460.32</v>
      </c>
      <c r="F13" s="64">
        <f t="shared" si="10"/>
        <v>97937416.34</v>
      </c>
      <c r="G13" s="64">
        <f t="shared" si="10"/>
        <v>3056859.16</v>
      </c>
      <c r="H13" s="64">
        <f t="shared" si="3"/>
        <v>200437400.1</v>
      </c>
      <c r="I13" s="16"/>
      <c r="J13" s="16"/>
      <c r="K13" s="16"/>
      <c r="L13" s="16"/>
      <c r="M13" s="16"/>
    </row>
    <row r="14" ht="15.75" customHeight="1">
      <c r="A14" s="14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ht="15.75" customHeight="1">
      <c r="A15" s="14"/>
      <c r="B15" s="16"/>
      <c r="C15" s="16"/>
      <c r="D15" s="16"/>
      <c r="E15" s="73"/>
      <c r="F15" s="16"/>
      <c r="G15" s="16"/>
      <c r="H15" s="16"/>
      <c r="I15" s="16"/>
      <c r="J15" s="16"/>
      <c r="K15" s="16"/>
      <c r="L15" s="16"/>
      <c r="M15" s="16"/>
    </row>
    <row r="16" ht="15.75" customHeight="1">
      <c r="A16" s="23"/>
      <c r="B16" s="76"/>
      <c r="C16" s="77" t="s">
        <v>9</v>
      </c>
      <c r="D16" s="77" t="s">
        <v>47</v>
      </c>
      <c r="E16" s="77" t="s">
        <v>48</v>
      </c>
      <c r="F16" s="77" t="s">
        <v>49</v>
      </c>
      <c r="G16" s="77" t="s">
        <v>50</v>
      </c>
      <c r="H16" s="77" t="s">
        <v>51</v>
      </c>
      <c r="I16" s="36"/>
      <c r="J16" s="36"/>
      <c r="K16" s="36"/>
      <c r="L16" s="36"/>
      <c r="M16" s="36"/>
    </row>
    <row r="17" ht="15.75" customHeight="1">
      <c r="A17" s="23"/>
      <c r="B17" s="78" t="s">
        <v>9</v>
      </c>
      <c r="C17" s="19">
        <v>8.203196715974654E7</v>
      </c>
      <c r="D17" s="19">
        <v>954056.3961350156</v>
      </c>
      <c r="E17" s="19">
        <v>4.903803265553622E7</v>
      </c>
      <c r="F17" s="19">
        <v>396180.1538939391</v>
      </c>
      <c r="G17" s="19">
        <v>502607.9231282231</v>
      </c>
      <c r="H17" s="79">
        <f t="shared" ref="H17:H21" si="11">SUM(C17:G17)</f>
        <v>132922844.3</v>
      </c>
      <c r="I17" s="36"/>
      <c r="J17" s="36"/>
      <c r="K17" s="36"/>
      <c r="L17" s="36"/>
      <c r="M17" s="36"/>
    </row>
    <row r="18" ht="15.75" customHeight="1">
      <c r="A18" s="80"/>
      <c r="B18" s="78" t="s">
        <v>47</v>
      </c>
      <c r="C18" s="19">
        <v>1404003.295291107</v>
      </c>
      <c r="D18" s="19">
        <v>1.2018086829327574E7</v>
      </c>
      <c r="E18" s="19">
        <v>4720788.862586941</v>
      </c>
      <c r="F18" s="19">
        <v>57121.450169592295</v>
      </c>
      <c r="G18" s="19">
        <v>54507.25788172001</v>
      </c>
      <c r="H18" s="79">
        <f t="shared" si="11"/>
        <v>18254507.7</v>
      </c>
      <c r="I18" s="82"/>
      <c r="J18" s="82"/>
      <c r="K18" s="82"/>
      <c r="L18" s="82"/>
      <c r="M18" s="82"/>
    </row>
    <row r="19" ht="15.75" customHeight="1">
      <c r="A19" s="14"/>
      <c r="B19" s="78" t="s">
        <v>48</v>
      </c>
      <c r="C19" s="19">
        <v>2486268.599276853</v>
      </c>
      <c r="D19" s="19">
        <v>140831.64650094617</v>
      </c>
      <c r="E19" s="19">
        <v>4.3627518582044534E7</v>
      </c>
      <c r="F19" s="19">
        <v>340427.7240668115</v>
      </c>
      <c r="G19" s="19">
        <v>102398.82601383032</v>
      </c>
      <c r="H19" s="79">
        <f t="shared" si="11"/>
        <v>46697445.38</v>
      </c>
      <c r="I19" s="16"/>
      <c r="J19" s="16"/>
      <c r="K19" s="16"/>
      <c r="L19" s="16"/>
      <c r="M19" s="16"/>
    </row>
    <row r="20" ht="15.75" customHeight="1">
      <c r="A20" s="80"/>
      <c r="B20" s="78" t="s">
        <v>49</v>
      </c>
      <c r="C20" s="19">
        <v>55238.34722113043</v>
      </c>
      <c r="D20" s="19">
        <v>8372.939702532956</v>
      </c>
      <c r="E20" s="19">
        <v>434051.6130061336</v>
      </c>
      <c r="F20" s="19">
        <v>532130.38594812</v>
      </c>
      <c r="G20" s="19">
        <v>9833.60303367307</v>
      </c>
      <c r="H20" s="79">
        <f t="shared" si="11"/>
        <v>1039626.889</v>
      </c>
      <c r="I20" s="82"/>
      <c r="J20" s="82"/>
      <c r="K20" s="82"/>
      <c r="L20" s="82"/>
      <c r="M20" s="82"/>
    </row>
    <row r="21" ht="15.75" customHeight="1">
      <c r="A21" s="80"/>
      <c r="B21" s="78" t="s">
        <v>50</v>
      </c>
      <c r="C21" s="19">
        <v>220186.87604733274</v>
      </c>
      <c r="D21" s="19">
        <v>124112.51252270488</v>
      </c>
      <c r="E21" s="19">
        <v>117024.62904175394</v>
      </c>
      <c r="F21" s="19">
        <v>11393.26216911621</v>
      </c>
      <c r="G21" s="19">
        <v>1050258.57405331</v>
      </c>
      <c r="H21" s="79">
        <f t="shared" si="11"/>
        <v>1522975.854</v>
      </c>
      <c r="I21" s="82"/>
      <c r="J21" s="82"/>
      <c r="K21" s="82"/>
      <c r="L21" s="82"/>
      <c r="M21" s="82"/>
    </row>
    <row r="22" ht="15.75" customHeight="1">
      <c r="A22" s="80"/>
      <c r="B22" s="83" t="s">
        <v>55</v>
      </c>
      <c r="C22" s="64">
        <f t="shared" ref="C22:H22" si="12">SUM(C17:C21)</f>
        <v>86197664.28</v>
      </c>
      <c r="D22" s="64">
        <f t="shared" si="12"/>
        <v>13245460.32</v>
      </c>
      <c r="E22" s="64">
        <f t="shared" si="12"/>
        <v>97937416.34</v>
      </c>
      <c r="F22" s="64">
        <f t="shared" si="12"/>
        <v>1337252.976</v>
      </c>
      <c r="G22" s="64">
        <f t="shared" si="12"/>
        <v>1719606.184</v>
      </c>
      <c r="H22" s="64">
        <f t="shared" si="12"/>
        <v>200437400.1</v>
      </c>
      <c r="I22" s="82"/>
      <c r="J22" s="82"/>
      <c r="K22" s="82"/>
      <c r="L22" s="82"/>
      <c r="M22" s="82"/>
    </row>
    <row r="23" ht="15.75" customHeight="1">
      <c r="A23" s="80"/>
      <c r="B23" s="16"/>
      <c r="C23" s="16"/>
      <c r="D23" s="16"/>
      <c r="E23" s="16"/>
      <c r="F23" s="16"/>
      <c r="G23" s="16"/>
      <c r="H23" s="16"/>
      <c r="I23" s="16"/>
      <c r="J23" s="16"/>
      <c r="K23" s="82"/>
      <c r="L23" s="82"/>
      <c r="M23" s="82"/>
    </row>
    <row r="24" ht="15.75" customHeight="1">
      <c r="A24" s="14"/>
      <c r="B24" s="76"/>
      <c r="C24" s="76" t="s">
        <v>9</v>
      </c>
      <c r="D24" s="76"/>
      <c r="E24" s="76"/>
      <c r="F24" s="76"/>
      <c r="G24" s="76"/>
      <c r="H24" s="88" t="s">
        <v>59</v>
      </c>
      <c r="I24" s="76" t="s">
        <v>37</v>
      </c>
      <c r="J24" s="76" t="s">
        <v>48</v>
      </c>
      <c r="K24" s="76" t="s">
        <v>60</v>
      </c>
      <c r="L24" s="76" t="s">
        <v>50</v>
      </c>
      <c r="M24" s="76" t="s">
        <v>61</v>
      </c>
      <c r="N24" s="76" t="s">
        <v>62</v>
      </c>
    </row>
    <row r="25" ht="15.75" customHeight="1">
      <c r="A25" s="14"/>
      <c r="B25" s="89" t="s">
        <v>63</v>
      </c>
      <c r="C25" s="89" t="s">
        <v>21</v>
      </c>
      <c r="D25" s="89" t="s">
        <v>32</v>
      </c>
      <c r="E25" s="89" t="s">
        <v>28</v>
      </c>
      <c r="F25" s="89" t="s">
        <v>33</v>
      </c>
      <c r="G25" s="89" t="s">
        <v>30</v>
      </c>
      <c r="H25" s="90"/>
      <c r="I25" s="89"/>
      <c r="J25" s="89"/>
      <c r="K25" s="89"/>
      <c r="L25" s="89"/>
      <c r="M25" s="89"/>
      <c r="N25" s="89"/>
    </row>
    <row r="26" ht="15.75" customHeight="1">
      <c r="A26" s="14"/>
      <c r="B26" s="78" t="s">
        <v>9</v>
      </c>
      <c r="C26" s="19">
        <v>3.626870593331945E7</v>
      </c>
      <c r="D26" s="19">
        <v>59765.96067823481</v>
      </c>
      <c r="E26" s="19">
        <v>4.5703215953330405E7</v>
      </c>
      <c r="F26" s="19">
        <v>278.30187144165046</v>
      </c>
      <c r="G26" s="19">
        <v>1.0105470153808596</v>
      </c>
      <c r="H26" s="90">
        <v>8.203196715974657E7</v>
      </c>
      <c r="I26" s="19">
        <v>954056.3961350154</v>
      </c>
      <c r="J26" s="19">
        <v>4.903803265553623E7</v>
      </c>
      <c r="K26" s="19">
        <v>396180.153893939</v>
      </c>
      <c r="L26" s="19">
        <v>502607.92312822316</v>
      </c>
      <c r="M26" s="19">
        <v>48.93280162353516</v>
      </c>
      <c r="N26" s="19">
        <v>1.3292289322124155E8</v>
      </c>
    </row>
    <row r="27" ht="15.75" customHeight="1">
      <c r="A27" s="14"/>
      <c r="B27" s="72" t="s">
        <v>21</v>
      </c>
      <c r="C27" s="16">
        <v>3.191034172938604E7</v>
      </c>
      <c r="D27" s="16">
        <v>261.94055559082</v>
      </c>
      <c r="E27" s="16">
        <v>1811889.600159195</v>
      </c>
      <c r="F27" s="16">
        <v>18.914805841064453</v>
      </c>
      <c r="G27" s="16">
        <v>0.7583906860351564</v>
      </c>
      <c r="H27" s="92">
        <v>3.372251294329736E7</v>
      </c>
      <c r="I27" s="16">
        <v>379555.4830514092</v>
      </c>
      <c r="J27" s="16">
        <v>1.6298772447173793E7</v>
      </c>
      <c r="K27" s="16">
        <v>117852.03983109734</v>
      </c>
      <c r="L27" s="16">
        <v>283531.1866883964</v>
      </c>
      <c r="M27" s="16">
        <v>26.364622344970705</v>
      </c>
      <c r="N27" s="16">
        <v>5.08022504646644E7</v>
      </c>
    </row>
    <row r="28" ht="15.75" customHeight="1">
      <c r="A28" s="14"/>
      <c r="B28" s="72" t="s">
        <v>32</v>
      </c>
      <c r="C28" s="16">
        <v>130.0248249450684</v>
      </c>
      <c r="D28" s="16">
        <v>59497.41249933466</v>
      </c>
      <c r="E28" s="16">
        <v>11.25111684570312</v>
      </c>
      <c r="F28" s="16">
        <v>0.0</v>
      </c>
      <c r="G28" s="16"/>
      <c r="H28" s="92">
        <v>59638.688441125436</v>
      </c>
      <c r="I28" s="16">
        <v>472.48922256469626</v>
      </c>
      <c r="J28" s="16">
        <v>0.0</v>
      </c>
      <c r="K28" s="16">
        <v>375.2731445678713</v>
      </c>
      <c r="L28" s="16">
        <v>1566.8571075744617</v>
      </c>
      <c r="M28" s="16">
        <v>0.0</v>
      </c>
      <c r="N28" s="16">
        <v>62053.30791583247</v>
      </c>
    </row>
    <row r="29" ht="15.75" customHeight="1">
      <c r="A29" s="14"/>
      <c r="B29" s="72" t="s">
        <v>28</v>
      </c>
      <c r="C29" s="16">
        <v>4358222.7213922385</v>
      </c>
      <c r="D29" s="16">
        <v>6.339680371093751</v>
      </c>
      <c r="E29" s="16">
        <v>4.389131008703243E7</v>
      </c>
      <c r="F29" s="16">
        <v>11.76798995361328</v>
      </c>
      <c r="G29" s="16">
        <v>0.2521563293457031</v>
      </c>
      <c r="H29" s="92">
        <v>4.824955116825133E7</v>
      </c>
      <c r="I29" s="16">
        <v>574013.5951864383</v>
      </c>
      <c r="J29" s="16">
        <v>3.2739144574664287E7</v>
      </c>
      <c r="K29" s="16">
        <v>277952.6638950926</v>
      </c>
      <c r="L29" s="16">
        <v>217505.73491572397</v>
      </c>
      <c r="M29" s="16">
        <v>19.044686236572268</v>
      </c>
      <c r="N29" s="16">
        <v>8.205818678159909E7</v>
      </c>
    </row>
    <row r="30" ht="15.75" customHeight="1">
      <c r="A30" s="14"/>
      <c r="B30" s="72" t="s">
        <v>33</v>
      </c>
      <c r="C30" s="16">
        <v>11.457716229248044</v>
      </c>
      <c r="D30" s="16">
        <v>0.2679429382324219</v>
      </c>
      <c r="E30" s="16">
        <v>4.930836395263672</v>
      </c>
      <c r="F30" s="16">
        <v>247.6190756469727</v>
      </c>
      <c r="G30" s="16"/>
      <c r="H30" s="92">
        <v>264.2755712097168</v>
      </c>
      <c r="I30" s="16">
        <v>14.234760186767577</v>
      </c>
      <c r="J30" s="16">
        <v>115.54773502197264</v>
      </c>
      <c r="K30" s="16">
        <v>0.1770231811523438</v>
      </c>
      <c r="L30" s="16">
        <v>4.144416528320312</v>
      </c>
      <c r="M30" s="16">
        <v>3.523493041992188</v>
      </c>
      <c r="N30" s="16">
        <v>401.9029991699219</v>
      </c>
    </row>
    <row r="31" ht="15.75" customHeight="1">
      <c r="A31" s="14"/>
      <c r="B31" s="72" t="s">
        <v>30</v>
      </c>
      <c r="C31" s="16">
        <v>0.0</v>
      </c>
      <c r="D31" s="16"/>
      <c r="E31" s="16">
        <v>0.08418554077148438</v>
      </c>
      <c r="F31" s="16"/>
      <c r="G31" s="16">
        <v>0.0</v>
      </c>
      <c r="H31" s="92">
        <v>0.08418554077148438</v>
      </c>
      <c r="I31" s="16">
        <v>0.5939144165039062</v>
      </c>
      <c r="J31" s="16">
        <v>0.08596312255859376</v>
      </c>
      <c r="K31" s="16"/>
      <c r="L31" s="16">
        <v>0.0</v>
      </c>
      <c r="M31" s="16"/>
      <c r="N31" s="16">
        <v>0.7640630798339842</v>
      </c>
    </row>
    <row r="32" ht="15.75" customHeight="1">
      <c r="A32" s="14"/>
      <c r="B32" s="78" t="s">
        <v>37</v>
      </c>
      <c r="C32" s="19">
        <v>546257.8474559386</v>
      </c>
      <c r="D32" s="19">
        <v>3695.7047207031283</v>
      </c>
      <c r="E32" s="19">
        <v>854044.9720039429</v>
      </c>
      <c r="F32" s="19">
        <v>4.601128497314454</v>
      </c>
      <c r="G32" s="19">
        <v>0.16998202514648436</v>
      </c>
      <c r="H32" s="90">
        <v>1404003.2952911071</v>
      </c>
      <c r="I32" s="19">
        <v>1.2018086829327574E7</v>
      </c>
      <c r="J32" s="19">
        <v>4720788.862586941</v>
      </c>
      <c r="K32" s="19">
        <v>57121.450169592295</v>
      </c>
      <c r="L32" s="19">
        <v>54507.25788172001</v>
      </c>
      <c r="M32" s="19">
        <v>11.458078509521481</v>
      </c>
      <c r="N32" s="19">
        <v>1.8254519153335445E7</v>
      </c>
    </row>
    <row r="33" ht="15.75" customHeight="1">
      <c r="A33" s="14"/>
      <c r="B33" s="78" t="s">
        <v>48</v>
      </c>
      <c r="C33" s="19">
        <v>1022810.8606525334</v>
      </c>
      <c r="D33" s="19">
        <v>0.0</v>
      </c>
      <c r="E33" s="19">
        <v>1463451.5782087147</v>
      </c>
      <c r="F33" s="19">
        <v>6.160415606689453</v>
      </c>
      <c r="G33" s="19">
        <v>0.0</v>
      </c>
      <c r="H33" s="90">
        <v>2486268.5992768547</v>
      </c>
      <c r="I33" s="19">
        <v>140831.64650094617</v>
      </c>
      <c r="J33" s="19">
        <v>4.3627518582044534E7</v>
      </c>
      <c r="K33" s="19">
        <v>340427.7240668115</v>
      </c>
      <c r="L33" s="19">
        <v>102398.82601383032</v>
      </c>
      <c r="M33" s="19">
        <v>7.08196646118164</v>
      </c>
      <c r="N33" s="19">
        <v>4.669745245986944E7</v>
      </c>
    </row>
    <row r="34" ht="15.75" customHeight="1">
      <c r="A34" s="14"/>
      <c r="B34" s="78" t="s">
        <v>60</v>
      </c>
      <c r="C34" s="19">
        <v>7397.623065319822</v>
      </c>
      <c r="D34" s="19">
        <v>28.48813217773438</v>
      </c>
      <c r="E34" s="19">
        <v>47812.23602363288</v>
      </c>
      <c r="F34" s="19"/>
      <c r="G34" s="19"/>
      <c r="H34" s="90">
        <v>55238.34722113044</v>
      </c>
      <c r="I34" s="19">
        <v>8372.939702532956</v>
      </c>
      <c r="J34" s="19">
        <v>434051.6130061336</v>
      </c>
      <c r="K34" s="19">
        <v>532130.38594812</v>
      </c>
      <c r="L34" s="19">
        <v>9833.60303367307</v>
      </c>
      <c r="M34" s="19">
        <v>0.08726002807617188</v>
      </c>
      <c r="N34" s="19">
        <v>1039626.9761716181</v>
      </c>
    </row>
    <row r="35" ht="15.75" customHeight="1">
      <c r="A35" s="14"/>
      <c r="B35" s="78" t="s">
        <v>50</v>
      </c>
      <c r="C35" s="19">
        <v>187503.6809449219</v>
      </c>
      <c r="D35" s="19">
        <v>5609.711544525145</v>
      </c>
      <c r="E35" s="19">
        <v>27067.361152325448</v>
      </c>
      <c r="F35" s="19">
        <v>6.1224055603027345</v>
      </c>
      <c r="G35" s="19">
        <v>0.0</v>
      </c>
      <c r="H35" s="90">
        <v>220186.8760473328</v>
      </c>
      <c r="I35" s="19">
        <v>124112.51252270488</v>
      </c>
      <c r="J35" s="19">
        <v>117024.62904175394</v>
      </c>
      <c r="K35" s="19">
        <v>11393.26216911621</v>
      </c>
      <c r="L35" s="19">
        <v>1050258.57405331</v>
      </c>
      <c r="M35" s="19">
        <v>3.2701039550781257</v>
      </c>
      <c r="N35" s="19">
        <v>1522979.123938173</v>
      </c>
    </row>
    <row r="36" ht="15.75" customHeight="1">
      <c r="A36" s="14"/>
      <c r="B36" s="78" t="s">
        <v>61</v>
      </c>
      <c r="C36" s="19">
        <v>80.83387963256834</v>
      </c>
      <c r="D36" s="19">
        <v>0.0</v>
      </c>
      <c r="E36" s="19">
        <v>29.430521185302737</v>
      </c>
      <c r="F36" s="19">
        <v>3.9915340515136717</v>
      </c>
      <c r="G36" s="19"/>
      <c r="H36" s="90">
        <v>114.25593486938475</v>
      </c>
      <c r="I36" s="19">
        <v>18.098300677490236</v>
      </c>
      <c r="J36" s="19">
        <v>1027.9792992065431</v>
      </c>
      <c r="K36" s="19">
        <v>11.872737377929688</v>
      </c>
      <c r="L36" s="19">
        <v>1.2341874816894531</v>
      </c>
      <c r="M36" s="19">
        <v>422.99881894531245</v>
      </c>
      <c r="N36" s="19">
        <v>1596.4392785583498</v>
      </c>
    </row>
    <row r="37" ht="15.75" customHeight="1">
      <c r="A37" s="14"/>
      <c r="B37" s="83" t="s">
        <v>62</v>
      </c>
      <c r="C37" s="100">
        <v>3.80327567793178E7</v>
      </c>
      <c r="D37" s="100">
        <v>69099.86507564082</v>
      </c>
      <c r="E37" s="100">
        <v>4.809562153124021E7</v>
      </c>
      <c r="F37" s="100">
        <v>299.1773551574708</v>
      </c>
      <c r="G37" s="100">
        <v>1.1805290405273439</v>
      </c>
      <c r="H37" s="100">
        <v>8.619777853351787E7</v>
      </c>
      <c r="I37" s="100">
        <v>1.3245478422489451E7</v>
      </c>
      <c r="J37" s="100">
        <v>9.793844432151479E7</v>
      </c>
      <c r="K37" s="100">
        <v>1337264.8489849567</v>
      </c>
      <c r="L37" s="100">
        <v>1719607.4182982382</v>
      </c>
      <c r="M37" s="100">
        <v>493.829029522705</v>
      </c>
      <c r="N37" s="100">
        <v>2.004390673738348E8</v>
      </c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3.78"/>
    <col customWidth="1" min="3" max="3" width="71.56"/>
    <col customWidth="1" min="4" max="4" width="60.67"/>
    <col customWidth="1" min="5" max="26" width="11.44"/>
  </cols>
  <sheetData>
    <row r="1" ht="15.75" customHeight="1"/>
    <row r="2" ht="15.75" customHeight="1">
      <c r="A2" s="59"/>
      <c r="B2" s="6" t="s">
        <v>35</v>
      </c>
      <c r="C2" s="59"/>
      <c r="D2" s="59"/>
    </row>
    <row r="3" ht="15.75" customHeight="1">
      <c r="A3" s="59"/>
      <c r="B3" s="59"/>
      <c r="C3" s="59"/>
      <c r="D3" s="59"/>
    </row>
    <row r="4">
      <c r="A4" s="59"/>
      <c r="B4" s="60">
        <f>'DADOS COBERTURA CERRADO'!E5+'DADOS COBERTURA CERRADO'!E12</f>
        <v>0.4961271186</v>
      </c>
      <c r="C4" s="62" t="s">
        <v>39</v>
      </c>
      <c r="D4" s="63"/>
      <c r="E4" s="63"/>
    </row>
    <row r="5">
      <c r="A5" s="59"/>
      <c r="B5" s="67" t="str">
        <f>CONCAT(ROUND('GRAFICO HISTORICO'!AU8,1),"x")</f>
        <v>4,9x</v>
      </c>
      <c r="C5" s="62" t="s">
        <v>42</v>
      </c>
      <c r="D5" s="63"/>
      <c r="E5" s="63"/>
    </row>
    <row r="6">
      <c r="A6" s="68"/>
      <c r="B6" s="60">
        <f>'GRAFICO HISTORICO'!AU7</f>
        <v>-0.3422082347</v>
      </c>
      <c r="C6" s="62" t="s">
        <v>43</v>
      </c>
      <c r="D6" s="59"/>
    </row>
    <row r="7" ht="25.5" customHeight="1">
      <c r="A7" s="59"/>
      <c r="B7" s="60"/>
      <c r="C7" s="62"/>
      <c r="D7" s="71"/>
    </row>
    <row r="8" ht="25.5" customHeight="1">
      <c r="A8" s="59"/>
      <c r="B8" s="67"/>
      <c r="C8" s="62"/>
      <c r="D8" s="62"/>
    </row>
    <row r="9">
      <c r="A9" s="59"/>
      <c r="B9" s="60"/>
      <c r="C9" s="62"/>
      <c r="D9" s="59"/>
    </row>
    <row r="10" ht="15.75" customHeight="1">
      <c r="A10" s="59"/>
      <c r="B10" s="59"/>
      <c r="C10" s="59"/>
      <c r="D10" s="5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23" t="s">
        <v>57</v>
      </c>
      <c r="B1" s="87" t="s">
        <v>57</v>
      </c>
      <c r="C1" s="36">
        <v>2017.0</v>
      </c>
      <c r="D1" s="36" t="s">
        <v>57</v>
      </c>
      <c r="E1" s="36" t="s">
        <v>57</v>
      </c>
      <c r="F1" s="36" t="s">
        <v>57</v>
      </c>
      <c r="G1" s="36" t="s">
        <v>57</v>
      </c>
      <c r="H1" s="36" t="s">
        <v>57</v>
      </c>
      <c r="I1" s="36" t="s">
        <v>57</v>
      </c>
      <c r="J1" s="36" t="s">
        <v>57</v>
      </c>
      <c r="K1" s="36" t="s">
        <v>57</v>
      </c>
      <c r="L1" s="36"/>
      <c r="M1" s="36" t="s">
        <v>57</v>
      </c>
      <c r="N1" s="36" t="s">
        <v>57</v>
      </c>
      <c r="O1" s="36" t="s">
        <v>57</v>
      </c>
      <c r="P1" s="36" t="s">
        <v>57</v>
      </c>
      <c r="Q1" s="36" t="s">
        <v>57</v>
      </c>
      <c r="R1" s="36" t="s">
        <v>57</v>
      </c>
      <c r="S1" s="36" t="s">
        <v>57</v>
      </c>
      <c r="T1" s="36" t="s">
        <v>57</v>
      </c>
      <c r="U1" s="36" t="s">
        <v>57</v>
      </c>
      <c r="Y1" s="36" t="s">
        <v>57</v>
      </c>
      <c r="Z1" s="36" t="s">
        <v>57</v>
      </c>
      <c r="AA1" s="36" t="s">
        <v>57</v>
      </c>
      <c r="AB1" s="36" t="s">
        <v>57</v>
      </c>
      <c r="AC1" s="36" t="s">
        <v>57</v>
      </c>
      <c r="AH1" s="36" t="s">
        <v>57</v>
      </c>
      <c r="AI1" s="36" t="s">
        <v>57</v>
      </c>
      <c r="AJ1" s="36" t="s">
        <v>57</v>
      </c>
      <c r="AK1" s="36" t="s">
        <v>57</v>
      </c>
      <c r="AL1" s="36" t="s">
        <v>57</v>
      </c>
    </row>
    <row r="2" ht="15.75" customHeight="1">
      <c r="A2" s="23" t="s">
        <v>57</v>
      </c>
      <c r="B2" s="87" t="s">
        <v>57</v>
      </c>
      <c r="C2" s="23" t="s">
        <v>64</v>
      </c>
      <c r="D2" s="23" t="s">
        <v>65</v>
      </c>
      <c r="E2" s="23" t="s">
        <v>66</v>
      </c>
      <c r="F2" s="23" t="s">
        <v>67</v>
      </c>
      <c r="G2" s="23" t="s">
        <v>68</v>
      </c>
      <c r="H2" s="23" t="s">
        <v>69</v>
      </c>
      <c r="I2" s="23" t="s">
        <v>70</v>
      </c>
      <c r="J2" s="23" t="s">
        <v>71</v>
      </c>
      <c r="K2" s="23" t="s">
        <v>72</v>
      </c>
      <c r="L2" s="23" t="s">
        <v>20</v>
      </c>
      <c r="M2" s="23" t="s">
        <v>73</v>
      </c>
      <c r="N2" s="23" t="s">
        <v>74</v>
      </c>
      <c r="O2" s="23" t="s">
        <v>75</v>
      </c>
      <c r="P2" s="23" t="s">
        <v>16</v>
      </c>
      <c r="Q2" s="23" t="s">
        <v>76</v>
      </c>
      <c r="R2" s="23" t="s">
        <v>77</v>
      </c>
      <c r="S2" s="23" t="s">
        <v>78</v>
      </c>
      <c r="T2" s="23" t="s">
        <v>79</v>
      </c>
      <c r="U2" s="23" t="s">
        <v>80</v>
      </c>
      <c r="Y2" s="23" t="s">
        <v>81</v>
      </c>
      <c r="Z2" s="23" t="s">
        <v>82</v>
      </c>
      <c r="AA2" s="23" t="s">
        <v>83</v>
      </c>
      <c r="AB2" s="23" t="s">
        <v>84</v>
      </c>
      <c r="AC2" s="23" t="s">
        <v>19</v>
      </c>
      <c r="AH2" s="23" t="s">
        <v>23</v>
      </c>
      <c r="AI2" s="23" t="s">
        <v>86</v>
      </c>
      <c r="AJ2" s="23" t="s">
        <v>87</v>
      </c>
      <c r="AK2" s="23" t="s">
        <v>25</v>
      </c>
      <c r="AL2" s="23" t="s">
        <v>88</v>
      </c>
    </row>
    <row r="3" ht="15.75" customHeight="1">
      <c r="A3" s="36">
        <v>1985.0</v>
      </c>
      <c r="B3" s="87" t="s">
        <v>66</v>
      </c>
      <c r="C3" s="91">
        <v>6640658.1234949</v>
      </c>
      <c r="D3" s="23">
        <v>334692.74956039</v>
      </c>
      <c r="E3" s="91">
        <v>3.2748752219218E7</v>
      </c>
      <c r="F3" s="91">
        <v>5911722.5038574</v>
      </c>
      <c r="G3" s="91">
        <v>595157.50959073</v>
      </c>
      <c r="H3" s="91">
        <v>1649613.8993811</v>
      </c>
      <c r="I3" s="91">
        <v>131117.94337042</v>
      </c>
      <c r="J3" s="91" t="s">
        <v>89</v>
      </c>
      <c r="K3" s="91">
        <v>1037177.9971152</v>
      </c>
      <c r="L3" s="91">
        <f t="shared" ref="L3:L7" si="1">SUM(M3:AL3)</f>
        <v>215147.6404</v>
      </c>
      <c r="M3" s="23">
        <v>1377.516026654</v>
      </c>
      <c r="N3" s="23" t="s">
        <v>89</v>
      </c>
      <c r="O3" s="23" t="s">
        <v>89</v>
      </c>
      <c r="P3" s="23" t="s">
        <v>89</v>
      </c>
      <c r="Q3" s="23">
        <v>6439.0295028015</v>
      </c>
      <c r="R3" s="23">
        <v>12937.489300226</v>
      </c>
      <c r="S3" s="23">
        <v>4.2081865722656</v>
      </c>
      <c r="T3" s="23" t="s">
        <v>89</v>
      </c>
      <c r="U3" s="23">
        <v>41.225391046143</v>
      </c>
      <c r="Y3" s="23">
        <v>30.271406915283</v>
      </c>
      <c r="Z3" s="23" t="s">
        <v>89</v>
      </c>
      <c r="AA3" s="23">
        <v>1841.7452289978</v>
      </c>
      <c r="AB3" s="23">
        <v>801.19511436768</v>
      </c>
      <c r="AC3" s="23" t="s">
        <v>89</v>
      </c>
      <c r="AH3" s="23" t="s">
        <v>89</v>
      </c>
      <c r="AI3" s="23">
        <v>0.93086105957031</v>
      </c>
      <c r="AJ3" s="23">
        <v>1.5183484558106</v>
      </c>
      <c r="AK3" s="23" t="s">
        <v>89</v>
      </c>
      <c r="AL3" s="23">
        <v>191672.51103137</v>
      </c>
    </row>
    <row r="4" ht="15.75" customHeight="1">
      <c r="A4" s="36">
        <v>1985.0</v>
      </c>
      <c r="B4" s="87" t="s">
        <v>67</v>
      </c>
      <c r="C4" s="91">
        <v>9182233.5997928</v>
      </c>
      <c r="D4" s="23">
        <v>3370551.7779101</v>
      </c>
      <c r="E4" s="91">
        <v>3181352.4987276</v>
      </c>
      <c r="F4" s="91">
        <v>4.0719446729897E7</v>
      </c>
      <c r="G4" s="91">
        <v>386646.90781805</v>
      </c>
      <c r="H4" s="91">
        <v>4461769.9338386</v>
      </c>
      <c r="I4" s="91">
        <v>89052.774382806</v>
      </c>
      <c r="J4" s="91" t="s">
        <v>89</v>
      </c>
      <c r="K4" s="91">
        <v>1369796.9039555</v>
      </c>
      <c r="L4" s="91">
        <f t="shared" si="1"/>
        <v>133641.0545</v>
      </c>
      <c r="M4" s="23">
        <v>2172.3169566773</v>
      </c>
      <c r="N4" s="23" t="s">
        <v>89</v>
      </c>
      <c r="O4" s="23" t="s">
        <v>89</v>
      </c>
      <c r="P4" s="23" t="s">
        <v>89</v>
      </c>
      <c r="Q4" s="23">
        <v>14.824047589111</v>
      </c>
      <c r="R4" s="23">
        <v>23307.9949513</v>
      </c>
      <c r="S4" s="23">
        <v>2.731044140625</v>
      </c>
      <c r="T4" s="23" t="s">
        <v>89</v>
      </c>
      <c r="U4" s="23">
        <v>41.22683994751</v>
      </c>
      <c r="Y4" s="23">
        <v>41.972004290771</v>
      </c>
      <c r="Z4" s="23" t="s">
        <v>89</v>
      </c>
      <c r="AA4" s="23">
        <v>2010.8362333435</v>
      </c>
      <c r="AB4" s="23">
        <v>1066.1409171204</v>
      </c>
      <c r="AC4" s="23" t="s">
        <v>89</v>
      </c>
      <c r="AH4" s="23" t="s">
        <v>89</v>
      </c>
      <c r="AI4" s="23" t="s">
        <v>89</v>
      </c>
      <c r="AJ4" s="23">
        <v>1.5948858581543</v>
      </c>
      <c r="AK4" s="23" t="s">
        <v>89</v>
      </c>
      <c r="AL4" s="23">
        <v>104981.41664799</v>
      </c>
    </row>
    <row r="5" ht="15.75" customHeight="1">
      <c r="A5" s="36">
        <v>1985.0</v>
      </c>
      <c r="B5" s="87" t="s">
        <v>23</v>
      </c>
      <c r="C5" s="91" t="s">
        <v>89</v>
      </c>
      <c r="D5" s="23" t="s">
        <v>89</v>
      </c>
      <c r="E5" s="91" t="s">
        <v>89</v>
      </c>
      <c r="F5" s="91" t="s">
        <v>89</v>
      </c>
      <c r="G5" s="91" t="s">
        <v>89</v>
      </c>
      <c r="H5" s="91" t="s">
        <v>89</v>
      </c>
      <c r="I5" s="91" t="s">
        <v>89</v>
      </c>
      <c r="J5" s="91" t="s">
        <v>89</v>
      </c>
      <c r="K5" s="91" t="s">
        <v>89</v>
      </c>
      <c r="L5" s="91">
        <f t="shared" si="1"/>
        <v>0.1784661011</v>
      </c>
      <c r="M5" s="23" t="s">
        <v>89</v>
      </c>
      <c r="N5" s="23" t="s">
        <v>89</v>
      </c>
      <c r="O5" s="23" t="s">
        <v>89</v>
      </c>
      <c r="P5" s="23" t="s">
        <v>89</v>
      </c>
      <c r="Q5" s="23" t="s">
        <v>89</v>
      </c>
      <c r="R5" s="23" t="s">
        <v>89</v>
      </c>
      <c r="S5" s="23" t="s">
        <v>89</v>
      </c>
      <c r="T5" s="23" t="s">
        <v>89</v>
      </c>
      <c r="U5" s="23" t="s">
        <v>89</v>
      </c>
      <c r="Y5" s="23" t="s">
        <v>89</v>
      </c>
      <c r="Z5" s="23" t="s">
        <v>89</v>
      </c>
      <c r="AA5" s="23" t="s">
        <v>89</v>
      </c>
      <c r="AB5" s="23" t="s">
        <v>89</v>
      </c>
      <c r="AC5" s="23" t="s">
        <v>89</v>
      </c>
      <c r="AH5" s="23">
        <v>0.17846610107422</v>
      </c>
      <c r="AI5" s="23" t="s">
        <v>89</v>
      </c>
      <c r="AJ5" s="23" t="s">
        <v>89</v>
      </c>
      <c r="AK5" s="23" t="s">
        <v>89</v>
      </c>
      <c r="AL5" s="23" t="s">
        <v>89</v>
      </c>
    </row>
    <row r="6" ht="15.75" customHeight="1">
      <c r="A6" s="36">
        <v>1985.0</v>
      </c>
      <c r="B6" s="87" t="s">
        <v>65</v>
      </c>
      <c r="C6" s="91">
        <v>1574487.064632</v>
      </c>
      <c r="D6" s="23">
        <v>1.7389606651641E7</v>
      </c>
      <c r="E6" s="91">
        <v>183642.82244149</v>
      </c>
      <c r="F6" s="91">
        <v>2489874.6527767</v>
      </c>
      <c r="G6" s="91">
        <v>91164.412490716</v>
      </c>
      <c r="H6" s="91">
        <v>1493830.2921135</v>
      </c>
      <c r="I6" s="91">
        <v>30597.917795227</v>
      </c>
      <c r="J6" s="91" t="s">
        <v>89</v>
      </c>
      <c r="K6" s="91">
        <v>501182.81692306</v>
      </c>
      <c r="L6" s="91">
        <f t="shared" si="1"/>
        <v>57095.97696</v>
      </c>
      <c r="M6" s="23">
        <v>2679.5681428955</v>
      </c>
      <c r="N6" s="23" t="s">
        <v>89</v>
      </c>
      <c r="O6" s="23" t="s">
        <v>89</v>
      </c>
      <c r="P6" s="23" t="s">
        <v>89</v>
      </c>
      <c r="Q6" s="23">
        <v>109.75527589111</v>
      </c>
      <c r="R6" s="23">
        <v>12949.911246466</v>
      </c>
      <c r="S6" s="23">
        <v>0.79891500854492</v>
      </c>
      <c r="T6" s="23" t="s">
        <v>89</v>
      </c>
      <c r="U6" s="23">
        <v>12.044716827393</v>
      </c>
      <c r="Y6" s="23">
        <v>55.015802917481</v>
      </c>
      <c r="Z6" s="23" t="s">
        <v>89</v>
      </c>
      <c r="AA6" s="23">
        <v>2870.7179434387</v>
      </c>
      <c r="AB6" s="23">
        <v>1214.7600950745</v>
      </c>
      <c r="AC6" s="23" t="s">
        <v>89</v>
      </c>
      <c r="AH6" s="23" t="s">
        <v>89</v>
      </c>
      <c r="AI6" s="23" t="s">
        <v>89</v>
      </c>
      <c r="AJ6" s="23">
        <v>39.439852233887</v>
      </c>
      <c r="AK6" s="23" t="s">
        <v>89</v>
      </c>
      <c r="AL6" s="23">
        <v>37163.964968427</v>
      </c>
    </row>
    <row r="7" ht="15.75" customHeight="1">
      <c r="A7" s="36">
        <v>1985.0</v>
      </c>
      <c r="B7" s="87" t="s">
        <v>68</v>
      </c>
      <c r="C7" s="91">
        <v>29622.562168249</v>
      </c>
      <c r="D7" s="23">
        <v>10957.498900287</v>
      </c>
      <c r="E7" s="91">
        <v>40012.079309082</v>
      </c>
      <c r="F7" s="91">
        <v>23430.796663062</v>
      </c>
      <c r="G7" s="91">
        <v>343438.9805044</v>
      </c>
      <c r="H7" s="91">
        <v>37236.433051282</v>
      </c>
      <c r="I7" s="91">
        <v>6697.3877895203</v>
      </c>
      <c r="J7" s="91" t="s">
        <v>89</v>
      </c>
      <c r="K7" s="91">
        <v>24046.344274878</v>
      </c>
      <c r="L7" s="91">
        <f t="shared" si="1"/>
        <v>195.0389346</v>
      </c>
      <c r="M7" s="23" t="s">
        <v>89</v>
      </c>
      <c r="N7" s="23" t="s">
        <v>89</v>
      </c>
      <c r="O7" s="23" t="s">
        <v>89</v>
      </c>
      <c r="P7" s="23" t="s">
        <v>89</v>
      </c>
      <c r="Q7" s="23" t="s">
        <v>89</v>
      </c>
      <c r="R7" s="23">
        <v>66.034490087891</v>
      </c>
      <c r="S7" s="23">
        <v>0.43017806396484</v>
      </c>
      <c r="T7" s="23" t="s">
        <v>89</v>
      </c>
      <c r="U7" s="23">
        <v>0.086067425537109</v>
      </c>
      <c r="Y7" s="23" t="s">
        <v>89</v>
      </c>
      <c r="Z7" s="23" t="s">
        <v>89</v>
      </c>
      <c r="AA7" s="23">
        <v>43.31562722168</v>
      </c>
      <c r="AB7" s="23">
        <v>19.233795544434</v>
      </c>
      <c r="AC7" s="23" t="s">
        <v>89</v>
      </c>
      <c r="AH7" s="23" t="s">
        <v>89</v>
      </c>
      <c r="AI7" s="23" t="s">
        <v>89</v>
      </c>
      <c r="AJ7" s="23" t="s">
        <v>89</v>
      </c>
      <c r="AK7" s="23" t="s">
        <v>89</v>
      </c>
      <c r="AL7" s="23">
        <v>65.938776306152</v>
      </c>
    </row>
    <row r="8" ht="15.75" customHeight="1">
      <c r="A8" s="36">
        <v>1985.0</v>
      </c>
      <c r="B8" s="101" t="s">
        <v>74</v>
      </c>
      <c r="C8" s="13">
        <f t="shared" ref="C8:L8" si="2">C9+C10</f>
        <v>238074.7503</v>
      </c>
      <c r="D8" s="6">
        <f t="shared" si="2"/>
        <v>69143.61933</v>
      </c>
      <c r="E8" s="13">
        <f t="shared" si="2"/>
        <v>13317.22729</v>
      </c>
      <c r="F8" s="13">
        <f t="shared" si="2"/>
        <v>8009.8403</v>
      </c>
      <c r="G8" s="13">
        <f t="shared" si="2"/>
        <v>16550.08094</v>
      </c>
      <c r="H8" s="13">
        <f t="shared" si="2"/>
        <v>3719079.86</v>
      </c>
      <c r="I8" s="13">
        <f t="shared" si="2"/>
        <v>1128412.956</v>
      </c>
      <c r="J8" s="13" t="str">
        <f t="shared" si="2"/>
        <v>#VALUE!</v>
      </c>
      <c r="K8" s="13">
        <f t="shared" si="2"/>
        <v>163736.2178</v>
      </c>
      <c r="L8" s="13">
        <f t="shared" si="2"/>
        <v>13732.08976</v>
      </c>
    </row>
    <row r="9" ht="15.75" customHeight="1">
      <c r="A9" s="36">
        <v>1985.0</v>
      </c>
      <c r="B9" s="87" t="s">
        <v>69</v>
      </c>
      <c r="C9" s="91">
        <v>233791.71676124</v>
      </c>
      <c r="D9" s="23">
        <v>68861.861245727</v>
      </c>
      <c r="E9" s="91">
        <v>10079.848300299</v>
      </c>
      <c r="F9" s="91">
        <v>7621.5840940857</v>
      </c>
      <c r="G9" s="91">
        <v>14513.611438965</v>
      </c>
      <c r="H9" s="91">
        <v>3683857.8563134</v>
      </c>
      <c r="I9" s="91">
        <v>318632.8852889</v>
      </c>
      <c r="J9" s="91" t="s">
        <v>89</v>
      </c>
      <c r="K9" s="91">
        <v>100235.02255435</v>
      </c>
      <c r="L9" s="91">
        <f t="shared" ref="L9:L37" si="3">SUM(M9:AL9)</f>
        <v>7849.992683</v>
      </c>
      <c r="M9" s="23" t="s">
        <v>89</v>
      </c>
      <c r="N9" s="23" t="s">
        <v>89</v>
      </c>
      <c r="O9" s="23" t="s">
        <v>89</v>
      </c>
      <c r="P9" s="23" t="s">
        <v>89</v>
      </c>
      <c r="Q9" s="23" t="s">
        <v>89</v>
      </c>
      <c r="R9" s="23">
        <v>7444.3826139526</v>
      </c>
      <c r="S9" s="23" t="s">
        <v>89</v>
      </c>
      <c r="T9" s="23" t="s">
        <v>89</v>
      </c>
      <c r="U9" s="23">
        <v>0.34357990722656</v>
      </c>
      <c r="Y9" s="23" t="s">
        <v>89</v>
      </c>
      <c r="Z9" s="23" t="s">
        <v>89</v>
      </c>
      <c r="AA9" s="23" t="s">
        <v>89</v>
      </c>
      <c r="AB9" s="23">
        <v>1.5908748840332</v>
      </c>
      <c r="AC9" s="23" t="s">
        <v>89</v>
      </c>
      <c r="AH9" s="23" t="s">
        <v>89</v>
      </c>
      <c r="AI9" s="23" t="s">
        <v>89</v>
      </c>
      <c r="AJ9" s="23" t="s">
        <v>89</v>
      </c>
      <c r="AK9" s="23" t="s">
        <v>89</v>
      </c>
      <c r="AL9" s="23">
        <v>403.67561425781</v>
      </c>
    </row>
    <row r="10" ht="15.75" customHeight="1">
      <c r="A10" s="36">
        <v>1985.0</v>
      </c>
      <c r="B10" s="87" t="s">
        <v>70</v>
      </c>
      <c r="C10" s="91">
        <v>4283.0335106689</v>
      </c>
      <c r="D10" s="23">
        <v>281.75808622437</v>
      </c>
      <c r="E10" s="91">
        <v>3237.3789908691</v>
      </c>
      <c r="F10" s="91">
        <v>388.25620634155</v>
      </c>
      <c r="G10" s="91">
        <v>2036.469503949</v>
      </c>
      <c r="H10" s="91">
        <v>35222.003454407</v>
      </c>
      <c r="I10" s="91">
        <v>809780.07061717</v>
      </c>
      <c r="J10" s="91" t="s">
        <v>89</v>
      </c>
      <c r="K10" s="91">
        <v>63501.195291827</v>
      </c>
      <c r="L10" s="91">
        <f t="shared" si="3"/>
        <v>5882.097082</v>
      </c>
      <c r="M10" s="23" t="s">
        <v>89</v>
      </c>
      <c r="N10" s="23" t="s">
        <v>89</v>
      </c>
      <c r="O10" s="23" t="s">
        <v>89</v>
      </c>
      <c r="P10" s="23" t="s">
        <v>89</v>
      </c>
      <c r="Q10" s="23" t="s">
        <v>89</v>
      </c>
      <c r="R10" s="23">
        <v>5521.7438858094</v>
      </c>
      <c r="S10" s="23" t="s">
        <v>89</v>
      </c>
      <c r="T10" s="23" t="s">
        <v>89</v>
      </c>
      <c r="U10" s="23">
        <v>0.083043383789063</v>
      </c>
      <c r="Y10" s="23" t="s">
        <v>89</v>
      </c>
      <c r="Z10" s="23" t="s">
        <v>89</v>
      </c>
      <c r="AA10" s="23" t="s">
        <v>89</v>
      </c>
      <c r="AB10" s="23">
        <v>0.82992174072266</v>
      </c>
      <c r="AC10" s="23" t="s">
        <v>89</v>
      </c>
      <c r="AH10" s="23" t="s">
        <v>89</v>
      </c>
      <c r="AI10" s="23" t="s">
        <v>89</v>
      </c>
      <c r="AJ10" s="23" t="s">
        <v>89</v>
      </c>
      <c r="AK10" s="23" t="s">
        <v>89</v>
      </c>
      <c r="AL10" s="23">
        <v>359.44023057251</v>
      </c>
    </row>
    <row r="11" ht="15.75" customHeight="1">
      <c r="A11" s="36">
        <v>1985.0</v>
      </c>
      <c r="B11" s="87" t="s">
        <v>72</v>
      </c>
      <c r="C11" s="91">
        <v>4896199.9227766</v>
      </c>
      <c r="D11" s="23">
        <v>1171056.9272399</v>
      </c>
      <c r="E11" s="91">
        <v>650071.80236093</v>
      </c>
      <c r="F11" s="91">
        <v>1930398.6037316</v>
      </c>
      <c r="G11" s="91">
        <v>225113.38422596</v>
      </c>
      <c r="H11" s="91">
        <v>3615675.672043</v>
      </c>
      <c r="I11" s="91">
        <v>1103003.5963613</v>
      </c>
      <c r="J11" s="91" t="s">
        <v>89</v>
      </c>
      <c r="K11" s="91">
        <v>8609340.823057</v>
      </c>
      <c r="L11" s="91">
        <f t="shared" si="3"/>
        <v>96767.9939</v>
      </c>
      <c r="M11" s="23">
        <v>1943.8012818787</v>
      </c>
      <c r="N11" s="23" t="s">
        <v>89</v>
      </c>
      <c r="O11" s="23" t="s">
        <v>89</v>
      </c>
      <c r="P11" s="23" t="s">
        <v>89</v>
      </c>
      <c r="Q11" s="23">
        <v>1.7862473693848</v>
      </c>
      <c r="R11" s="23">
        <v>56391.440836029</v>
      </c>
      <c r="S11" s="23">
        <v>1.6162308898926</v>
      </c>
      <c r="T11" s="23" t="s">
        <v>89</v>
      </c>
      <c r="U11" s="23">
        <v>12.733522717285</v>
      </c>
      <c r="Y11" s="23">
        <v>4.9105706848145</v>
      </c>
      <c r="Z11" s="23" t="s">
        <v>89</v>
      </c>
      <c r="AA11" s="23">
        <v>986.46983688965</v>
      </c>
      <c r="AB11" s="23">
        <v>776.13617723389</v>
      </c>
      <c r="AC11" s="23" t="s">
        <v>89</v>
      </c>
      <c r="AH11" s="23" t="s">
        <v>89</v>
      </c>
      <c r="AI11" s="23" t="s">
        <v>89</v>
      </c>
      <c r="AJ11" s="23">
        <v>0.76052543334961</v>
      </c>
      <c r="AK11" s="23" t="s">
        <v>89</v>
      </c>
      <c r="AL11" s="23">
        <v>36648.338673566</v>
      </c>
    </row>
    <row r="12" ht="15.75" customHeight="1">
      <c r="A12" s="36">
        <v>1985.0</v>
      </c>
      <c r="B12" s="87" t="s">
        <v>64</v>
      </c>
      <c r="C12" s="91">
        <v>2.4748194492475E7</v>
      </c>
      <c r="D12" s="23">
        <v>404439.37934474</v>
      </c>
      <c r="E12" s="91">
        <v>980917.70159404</v>
      </c>
      <c r="F12" s="91">
        <v>1295763.0108409</v>
      </c>
      <c r="G12" s="91">
        <v>721394.33885808</v>
      </c>
      <c r="H12" s="91">
        <v>4187180.2134543</v>
      </c>
      <c r="I12" s="91">
        <v>1618112.9598903</v>
      </c>
      <c r="J12" s="91" t="s">
        <v>89</v>
      </c>
      <c r="K12" s="91">
        <v>2910078.3662103</v>
      </c>
      <c r="L12" s="91">
        <f t="shared" si="3"/>
        <v>135742.3267</v>
      </c>
      <c r="M12" s="23" t="s">
        <v>89</v>
      </c>
      <c r="N12" s="23" t="s">
        <v>89</v>
      </c>
      <c r="O12" s="23" t="s">
        <v>89</v>
      </c>
      <c r="P12" s="23" t="s">
        <v>89</v>
      </c>
      <c r="Q12" s="23" t="s">
        <v>89</v>
      </c>
      <c r="R12" s="23">
        <v>80844.798397254</v>
      </c>
      <c r="S12" s="23">
        <v>1.0955579040527</v>
      </c>
      <c r="T12" s="23" t="s">
        <v>89</v>
      </c>
      <c r="U12" s="23">
        <v>10.349404425049</v>
      </c>
      <c r="Y12" s="23" t="s">
        <v>89</v>
      </c>
      <c r="Z12" s="23" t="s">
        <v>89</v>
      </c>
      <c r="AA12" s="23">
        <v>255.73134821167</v>
      </c>
      <c r="AB12" s="23">
        <v>1617.0579689819</v>
      </c>
      <c r="AC12" s="23" t="s">
        <v>89</v>
      </c>
      <c r="AH12" s="23" t="s">
        <v>89</v>
      </c>
      <c r="AI12" s="23" t="s">
        <v>89</v>
      </c>
      <c r="AJ12" s="23" t="s">
        <v>89</v>
      </c>
      <c r="AK12" s="23" t="s">
        <v>89</v>
      </c>
      <c r="AL12" s="23">
        <v>53013.294055768</v>
      </c>
    </row>
    <row r="13" ht="15.75" customHeight="1">
      <c r="B13" s="101" t="s">
        <v>20</v>
      </c>
      <c r="C13" s="13">
        <f t="shared" ref="C13:K13" si="4">SUM(C16:C37)</f>
        <v>54564.29832</v>
      </c>
      <c r="D13" s="6">
        <f t="shared" si="4"/>
        <v>41717.31036</v>
      </c>
      <c r="E13" s="13">
        <f t="shared" si="4"/>
        <v>31572.33643</v>
      </c>
      <c r="F13" s="13">
        <f t="shared" si="4"/>
        <v>41459.17322</v>
      </c>
      <c r="G13" s="13">
        <f t="shared" si="4"/>
        <v>537.1322658</v>
      </c>
      <c r="H13" s="13">
        <f t="shared" si="4"/>
        <v>7388.633919</v>
      </c>
      <c r="I13" s="13">
        <f t="shared" si="4"/>
        <v>209.5368407</v>
      </c>
      <c r="J13" s="13">
        <f t="shared" si="4"/>
        <v>0</v>
      </c>
      <c r="K13" s="13">
        <f t="shared" si="4"/>
        <v>41053.27986</v>
      </c>
      <c r="L13" s="91">
        <f t="shared" si="3"/>
        <v>1589927.576</v>
      </c>
      <c r="M13" s="6">
        <f t="shared" ref="M13:U13" si="5">SUM(M16:M37)</f>
        <v>91576.00193</v>
      </c>
      <c r="N13" s="6">
        <f t="shared" si="5"/>
        <v>0</v>
      </c>
      <c r="O13" s="6">
        <f t="shared" si="5"/>
        <v>0</v>
      </c>
      <c r="P13" s="6">
        <f t="shared" si="5"/>
        <v>0</v>
      </c>
      <c r="Q13" s="6">
        <f t="shared" si="5"/>
        <v>64070.85055</v>
      </c>
      <c r="R13" s="6">
        <f t="shared" si="5"/>
        <v>304355.4446</v>
      </c>
      <c r="S13" s="6">
        <f t="shared" si="5"/>
        <v>77.32971059</v>
      </c>
      <c r="T13" s="6">
        <f t="shared" si="5"/>
        <v>0</v>
      </c>
      <c r="U13" s="6">
        <f t="shared" si="5"/>
        <v>6601.387018</v>
      </c>
      <c r="Y13" s="6">
        <f t="shared" ref="Y13:AC13" si="6">SUM(Y16:Y37)</f>
        <v>1213.70379</v>
      </c>
      <c r="Z13" s="6">
        <f t="shared" si="6"/>
        <v>0</v>
      </c>
      <c r="AA13" s="6">
        <f t="shared" si="6"/>
        <v>61263.50278</v>
      </c>
      <c r="AB13" s="6">
        <f t="shared" si="6"/>
        <v>1065.554291</v>
      </c>
      <c r="AC13" s="6">
        <f t="shared" si="6"/>
        <v>0</v>
      </c>
      <c r="AH13" s="6">
        <f t="shared" ref="AH13:AL13" si="7">SUM(AH16:AH37)</f>
        <v>0</v>
      </c>
      <c r="AI13" s="6">
        <f t="shared" si="7"/>
        <v>14.58731304</v>
      </c>
      <c r="AJ13" s="6">
        <f t="shared" si="7"/>
        <v>34175.42335</v>
      </c>
      <c r="AK13" s="6">
        <f t="shared" si="7"/>
        <v>0</v>
      </c>
      <c r="AL13" s="6">
        <f t="shared" si="7"/>
        <v>1025513.791</v>
      </c>
    </row>
    <row r="14" ht="15.75" hidden="1" customHeight="1">
      <c r="B14" s="101"/>
      <c r="L14" s="23">
        <f t="shared" si="3"/>
        <v>0</v>
      </c>
    </row>
    <row r="15" ht="15.75" hidden="1" customHeight="1">
      <c r="B15" s="101"/>
      <c r="L15" s="23">
        <f t="shared" si="3"/>
        <v>0</v>
      </c>
    </row>
    <row r="16" ht="15.75" hidden="1" customHeight="1">
      <c r="A16" s="36">
        <v>1985.0</v>
      </c>
      <c r="B16" s="87" t="s">
        <v>73</v>
      </c>
      <c r="C16" s="23">
        <v>306.19951082764</v>
      </c>
      <c r="D16" s="23">
        <v>357.54226670532</v>
      </c>
      <c r="E16" s="23">
        <v>41.430357757568</v>
      </c>
      <c r="F16" s="23">
        <v>1536.1573718933</v>
      </c>
      <c r="G16" s="23" t="s">
        <v>89</v>
      </c>
      <c r="H16" s="23" t="s">
        <v>89</v>
      </c>
      <c r="I16" s="23" t="s">
        <v>89</v>
      </c>
      <c r="J16" s="23" t="s">
        <v>89</v>
      </c>
      <c r="K16" s="23">
        <v>637.89745943604</v>
      </c>
      <c r="L16" s="23">
        <f t="shared" si="3"/>
        <v>85433.10549</v>
      </c>
      <c r="M16" s="23">
        <v>78805.298009576</v>
      </c>
      <c r="N16" s="23" t="s">
        <v>89</v>
      </c>
      <c r="O16" s="23" t="s">
        <v>89</v>
      </c>
      <c r="P16" s="23" t="s">
        <v>89</v>
      </c>
      <c r="Q16" s="23">
        <v>69.309059106445</v>
      </c>
      <c r="R16" s="23">
        <v>30.714671801758</v>
      </c>
      <c r="S16" s="23" t="s">
        <v>89</v>
      </c>
      <c r="T16" s="23" t="s">
        <v>89</v>
      </c>
      <c r="U16" s="23">
        <v>70.823418670654</v>
      </c>
      <c r="Y16" s="23">
        <v>14.200304937744</v>
      </c>
      <c r="Z16" s="23" t="s">
        <v>89</v>
      </c>
      <c r="AA16" s="23" t="s">
        <v>89</v>
      </c>
      <c r="AB16" s="23" t="s">
        <v>89</v>
      </c>
      <c r="AC16" s="23" t="s">
        <v>89</v>
      </c>
      <c r="AH16" s="23" t="s">
        <v>89</v>
      </c>
      <c r="AI16" s="23" t="s">
        <v>89</v>
      </c>
      <c r="AJ16" s="23" t="s">
        <v>89</v>
      </c>
      <c r="AK16" s="23" t="s">
        <v>89</v>
      </c>
      <c r="AL16" s="23">
        <v>6442.7600242798</v>
      </c>
    </row>
    <row r="17" ht="15.75" hidden="1" customHeight="1">
      <c r="A17" s="36">
        <v>1985.0</v>
      </c>
      <c r="B17" s="87" t="s">
        <v>74</v>
      </c>
      <c r="C17" s="23" t="s">
        <v>89</v>
      </c>
      <c r="D17" s="23" t="s">
        <v>89</v>
      </c>
      <c r="E17" s="23" t="s">
        <v>89</v>
      </c>
      <c r="F17" s="23" t="s">
        <v>89</v>
      </c>
      <c r="G17" s="23" t="s">
        <v>89</v>
      </c>
      <c r="H17" s="23" t="s">
        <v>89</v>
      </c>
      <c r="I17" s="23" t="s">
        <v>89</v>
      </c>
      <c r="J17" s="23" t="s">
        <v>89</v>
      </c>
      <c r="K17" s="23" t="s">
        <v>89</v>
      </c>
      <c r="L17" s="23">
        <f t="shared" si="3"/>
        <v>0</v>
      </c>
      <c r="M17" s="23" t="s">
        <v>89</v>
      </c>
      <c r="N17" s="23" t="s">
        <v>89</v>
      </c>
      <c r="O17" s="23" t="s">
        <v>89</v>
      </c>
      <c r="P17" s="23" t="s">
        <v>89</v>
      </c>
      <c r="Q17" s="23" t="s">
        <v>89</v>
      </c>
      <c r="R17" s="23" t="s">
        <v>89</v>
      </c>
      <c r="S17" s="23" t="s">
        <v>89</v>
      </c>
      <c r="T17" s="23" t="s">
        <v>89</v>
      </c>
      <c r="U17" s="23" t="s">
        <v>89</v>
      </c>
      <c r="Y17" s="23" t="s">
        <v>89</v>
      </c>
      <c r="Z17" s="23" t="s">
        <v>89</v>
      </c>
      <c r="AA17" s="23" t="s">
        <v>89</v>
      </c>
      <c r="AB17" s="23" t="s">
        <v>89</v>
      </c>
      <c r="AC17" s="23" t="s">
        <v>89</v>
      </c>
      <c r="AH17" s="23" t="s">
        <v>89</v>
      </c>
      <c r="AI17" s="23" t="s">
        <v>89</v>
      </c>
      <c r="AJ17" s="23" t="s">
        <v>89</v>
      </c>
      <c r="AK17" s="23" t="s">
        <v>89</v>
      </c>
      <c r="AL17" s="23" t="s">
        <v>89</v>
      </c>
    </row>
    <row r="18" ht="15.75" hidden="1" customHeight="1">
      <c r="A18" s="36">
        <v>1985.0</v>
      </c>
      <c r="B18" s="87" t="s">
        <v>75</v>
      </c>
      <c r="C18" s="23" t="s">
        <v>89</v>
      </c>
      <c r="D18" s="23" t="s">
        <v>89</v>
      </c>
      <c r="E18" s="23" t="s">
        <v>89</v>
      </c>
      <c r="F18" s="23" t="s">
        <v>89</v>
      </c>
      <c r="G18" s="23" t="s">
        <v>89</v>
      </c>
      <c r="H18" s="23" t="s">
        <v>89</v>
      </c>
      <c r="I18" s="23" t="s">
        <v>89</v>
      </c>
      <c r="J18" s="23" t="s">
        <v>89</v>
      </c>
      <c r="K18" s="23" t="s">
        <v>89</v>
      </c>
      <c r="L18" s="23">
        <f t="shared" si="3"/>
        <v>0</v>
      </c>
      <c r="M18" s="23" t="s">
        <v>89</v>
      </c>
      <c r="N18" s="23" t="s">
        <v>89</v>
      </c>
      <c r="O18" s="23" t="s">
        <v>89</v>
      </c>
      <c r="P18" s="23" t="s">
        <v>89</v>
      </c>
      <c r="Q18" s="23" t="s">
        <v>89</v>
      </c>
      <c r="R18" s="23" t="s">
        <v>89</v>
      </c>
      <c r="S18" s="23" t="s">
        <v>89</v>
      </c>
      <c r="T18" s="23" t="s">
        <v>89</v>
      </c>
      <c r="U18" s="23" t="s">
        <v>89</v>
      </c>
      <c r="Y18" s="23" t="s">
        <v>89</v>
      </c>
      <c r="Z18" s="23" t="s">
        <v>89</v>
      </c>
      <c r="AA18" s="23" t="s">
        <v>89</v>
      </c>
      <c r="AB18" s="23" t="s">
        <v>89</v>
      </c>
      <c r="AC18" s="23" t="s">
        <v>89</v>
      </c>
      <c r="AH18" s="23" t="s">
        <v>89</v>
      </c>
      <c r="AI18" s="23" t="s">
        <v>89</v>
      </c>
      <c r="AJ18" s="23" t="s">
        <v>89</v>
      </c>
      <c r="AK18" s="23" t="s">
        <v>89</v>
      </c>
      <c r="AL18" s="23" t="s">
        <v>89</v>
      </c>
    </row>
    <row r="19" ht="15.75" hidden="1" customHeight="1">
      <c r="A19" s="36">
        <v>1985.0</v>
      </c>
      <c r="B19" s="87" t="s">
        <v>16</v>
      </c>
      <c r="C19" s="23" t="s">
        <v>89</v>
      </c>
      <c r="D19" s="23" t="s">
        <v>89</v>
      </c>
      <c r="E19" s="23" t="s">
        <v>89</v>
      </c>
      <c r="F19" s="23" t="s">
        <v>89</v>
      </c>
      <c r="G19" s="23" t="s">
        <v>89</v>
      </c>
      <c r="H19" s="23" t="s">
        <v>89</v>
      </c>
      <c r="I19" s="23" t="s">
        <v>89</v>
      </c>
      <c r="J19" s="23" t="s">
        <v>89</v>
      </c>
      <c r="K19" s="23" t="s">
        <v>89</v>
      </c>
      <c r="L19" s="23">
        <f t="shared" si="3"/>
        <v>0</v>
      </c>
      <c r="M19" s="23" t="s">
        <v>89</v>
      </c>
      <c r="N19" s="23" t="s">
        <v>89</v>
      </c>
      <c r="O19" s="23" t="s">
        <v>89</v>
      </c>
      <c r="P19" s="23" t="s">
        <v>89</v>
      </c>
      <c r="Q19" s="23" t="s">
        <v>89</v>
      </c>
      <c r="R19" s="23" t="s">
        <v>89</v>
      </c>
      <c r="S19" s="23" t="s">
        <v>89</v>
      </c>
      <c r="T19" s="23" t="s">
        <v>89</v>
      </c>
      <c r="U19" s="23" t="s">
        <v>89</v>
      </c>
      <c r="Y19" s="23" t="s">
        <v>89</v>
      </c>
      <c r="Z19" s="23" t="s">
        <v>89</v>
      </c>
      <c r="AA19" s="23" t="s">
        <v>89</v>
      </c>
      <c r="AB19" s="23" t="s">
        <v>89</v>
      </c>
      <c r="AC19" s="23" t="s">
        <v>89</v>
      </c>
      <c r="AH19" s="23" t="s">
        <v>89</v>
      </c>
      <c r="AI19" s="23" t="s">
        <v>89</v>
      </c>
      <c r="AJ19" s="23" t="s">
        <v>89</v>
      </c>
      <c r="AK19" s="23" t="s">
        <v>89</v>
      </c>
      <c r="AL19" s="23" t="s">
        <v>89</v>
      </c>
    </row>
    <row r="20" ht="15.75" hidden="1" customHeight="1">
      <c r="A20" s="36">
        <v>1985.0</v>
      </c>
      <c r="B20" s="87" t="s">
        <v>76</v>
      </c>
      <c r="C20" s="23">
        <v>8.3931282592773</v>
      </c>
      <c r="D20" s="23">
        <v>27.951086395264</v>
      </c>
      <c r="E20" s="23">
        <v>1245.6445475342</v>
      </c>
      <c r="F20" s="23">
        <v>113.41277747192</v>
      </c>
      <c r="G20" s="23" t="s">
        <v>89</v>
      </c>
      <c r="H20" s="23" t="s">
        <v>89</v>
      </c>
      <c r="I20" s="23" t="s">
        <v>89</v>
      </c>
      <c r="J20" s="23" t="s">
        <v>89</v>
      </c>
      <c r="K20" s="23">
        <v>0.98226637573242</v>
      </c>
      <c r="L20" s="23">
        <f t="shared" si="3"/>
        <v>62370.16771</v>
      </c>
      <c r="M20" s="23">
        <v>395.72673418579</v>
      </c>
      <c r="N20" s="23" t="s">
        <v>89</v>
      </c>
      <c r="O20" s="23" t="s">
        <v>89</v>
      </c>
      <c r="P20" s="23" t="s">
        <v>89</v>
      </c>
      <c r="Q20" s="23">
        <v>61054.762810486</v>
      </c>
      <c r="R20" s="23" t="s">
        <v>89</v>
      </c>
      <c r="S20" s="23" t="s">
        <v>89</v>
      </c>
      <c r="T20" s="23" t="s">
        <v>89</v>
      </c>
      <c r="U20" s="23">
        <v>0.80376389160156</v>
      </c>
      <c r="Y20" s="23">
        <v>7.9476601135254</v>
      </c>
      <c r="Z20" s="23" t="s">
        <v>89</v>
      </c>
      <c r="AA20" s="23" t="s">
        <v>89</v>
      </c>
      <c r="AB20" s="23" t="s">
        <v>89</v>
      </c>
      <c r="AC20" s="23" t="s">
        <v>89</v>
      </c>
      <c r="AH20" s="23" t="s">
        <v>89</v>
      </c>
      <c r="AI20" s="23" t="s">
        <v>89</v>
      </c>
      <c r="AJ20" s="23" t="s">
        <v>89</v>
      </c>
      <c r="AK20" s="23" t="s">
        <v>89</v>
      </c>
      <c r="AL20" s="23">
        <v>910.92673995361</v>
      </c>
    </row>
    <row r="21" ht="15.75" hidden="1" customHeight="1">
      <c r="A21" s="36">
        <v>1985.0</v>
      </c>
      <c r="B21" s="87" t="s">
        <v>77</v>
      </c>
      <c r="C21" s="23">
        <v>2727.2912579529</v>
      </c>
      <c r="D21" s="23">
        <v>1283.9443811707</v>
      </c>
      <c r="E21" s="23">
        <v>168.27292617187</v>
      </c>
      <c r="F21" s="23">
        <v>636.83931484375</v>
      </c>
      <c r="G21" s="23">
        <v>8.6294963867188</v>
      </c>
      <c r="H21" s="23">
        <v>364.50515925903</v>
      </c>
      <c r="I21" s="23">
        <v>27.69199107666</v>
      </c>
      <c r="J21" s="23" t="s">
        <v>89</v>
      </c>
      <c r="K21" s="23">
        <v>2779.5284360718</v>
      </c>
      <c r="L21" s="23">
        <f t="shared" si="3"/>
        <v>304383.5075</v>
      </c>
      <c r="M21" s="23">
        <v>4.3755710693359</v>
      </c>
      <c r="N21" s="23" t="s">
        <v>89</v>
      </c>
      <c r="O21" s="23" t="s">
        <v>89</v>
      </c>
      <c r="P21" s="23" t="s">
        <v>89</v>
      </c>
      <c r="Q21" s="23" t="s">
        <v>89</v>
      </c>
      <c r="R21" s="23">
        <v>304197.3713355</v>
      </c>
      <c r="S21" s="23" t="s">
        <v>89</v>
      </c>
      <c r="T21" s="23" t="s">
        <v>89</v>
      </c>
      <c r="U21" s="23">
        <v>0.082761181640625</v>
      </c>
      <c r="Y21" s="23" t="s">
        <v>89</v>
      </c>
      <c r="Z21" s="23" t="s">
        <v>89</v>
      </c>
      <c r="AA21" s="23">
        <v>1.112934967041</v>
      </c>
      <c r="AB21" s="23">
        <v>42.374251617432</v>
      </c>
      <c r="AC21" s="23" t="s">
        <v>89</v>
      </c>
      <c r="AH21" s="23" t="s">
        <v>89</v>
      </c>
      <c r="AI21" s="23" t="s">
        <v>89</v>
      </c>
      <c r="AJ21" s="23" t="s">
        <v>89</v>
      </c>
      <c r="AK21" s="23" t="s">
        <v>89</v>
      </c>
      <c r="AL21" s="23">
        <v>138.19065088501</v>
      </c>
    </row>
    <row r="22" ht="15.75" hidden="1" customHeight="1">
      <c r="A22" s="36">
        <v>1985.0</v>
      </c>
      <c r="B22" s="87" t="s">
        <v>78</v>
      </c>
      <c r="C22" s="23">
        <v>1.9776513305664</v>
      </c>
      <c r="D22" s="23">
        <v>1.2106197265625</v>
      </c>
      <c r="E22" s="23">
        <v>6.3556592590332</v>
      </c>
      <c r="F22" s="23">
        <v>1.7457490783691</v>
      </c>
      <c r="G22" s="23">
        <v>3.4993496704102</v>
      </c>
      <c r="H22" s="23">
        <v>1.0285165527344</v>
      </c>
      <c r="I22" s="23">
        <v>1.0935747436523</v>
      </c>
      <c r="J22" s="23" t="s">
        <v>89</v>
      </c>
      <c r="K22" s="23">
        <v>10.620119726562</v>
      </c>
      <c r="L22" s="23">
        <f t="shared" si="3"/>
        <v>75.75272722</v>
      </c>
      <c r="M22" s="23" t="s">
        <v>89</v>
      </c>
      <c r="N22" s="23" t="s">
        <v>89</v>
      </c>
      <c r="O22" s="23" t="s">
        <v>89</v>
      </c>
      <c r="P22" s="23" t="s">
        <v>89</v>
      </c>
      <c r="Q22" s="23" t="s">
        <v>89</v>
      </c>
      <c r="R22" s="23">
        <v>0.41979450073242</v>
      </c>
      <c r="S22" s="23">
        <v>74.216838201904</v>
      </c>
      <c r="T22" s="23" t="s">
        <v>89</v>
      </c>
      <c r="U22" s="23" t="s">
        <v>89</v>
      </c>
      <c r="Y22" s="23">
        <v>0.089314642333984</v>
      </c>
      <c r="Z22" s="23" t="s">
        <v>89</v>
      </c>
      <c r="AA22" s="23">
        <v>0.16841737060547</v>
      </c>
      <c r="AB22" s="23" t="s">
        <v>89</v>
      </c>
      <c r="AC22" s="23" t="s">
        <v>89</v>
      </c>
      <c r="AH22" s="23" t="s">
        <v>89</v>
      </c>
      <c r="AI22" s="23" t="s">
        <v>89</v>
      </c>
      <c r="AJ22" s="23" t="s">
        <v>89</v>
      </c>
      <c r="AK22" s="23" t="s">
        <v>89</v>
      </c>
      <c r="AL22" s="23">
        <v>0.8583625</v>
      </c>
    </row>
    <row r="23" ht="15.75" hidden="1" customHeight="1">
      <c r="A23" s="36">
        <v>1985.0</v>
      </c>
      <c r="B23" s="87" t="s">
        <v>79</v>
      </c>
      <c r="C23" s="23" t="s">
        <v>89</v>
      </c>
      <c r="D23" s="23" t="s">
        <v>89</v>
      </c>
      <c r="E23" s="23" t="s">
        <v>89</v>
      </c>
      <c r="F23" s="23" t="s">
        <v>89</v>
      </c>
      <c r="G23" s="23" t="s">
        <v>89</v>
      </c>
      <c r="H23" s="23" t="s">
        <v>89</v>
      </c>
      <c r="I23" s="23" t="s">
        <v>89</v>
      </c>
      <c r="J23" s="23" t="s">
        <v>89</v>
      </c>
      <c r="K23" s="23" t="s">
        <v>89</v>
      </c>
      <c r="L23" s="23">
        <f t="shared" si="3"/>
        <v>0</v>
      </c>
      <c r="M23" s="23" t="s">
        <v>89</v>
      </c>
      <c r="N23" s="23" t="s">
        <v>89</v>
      </c>
      <c r="O23" s="23" t="s">
        <v>89</v>
      </c>
      <c r="P23" s="23" t="s">
        <v>89</v>
      </c>
      <c r="Q23" s="23" t="s">
        <v>89</v>
      </c>
      <c r="R23" s="23" t="s">
        <v>89</v>
      </c>
      <c r="S23" s="23" t="s">
        <v>89</v>
      </c>
      <c r="T23" s="23" t="s">
        <v>89</v>
      </c>
      <c r="U23" s="23" t="s">
        <v>89</v>
      </c>
      <c r="Y23" s="23" t="s">
        <v>89</v>
      </c>
      <c r="Z23" s="23" t="s">
        <v>89</v>
      </c>
      <c r="AA23" s="23" t="s">
        <v>89</v>
      </c>
      <c r="AB23" s="23" t="s">
        <v>89</v>
      </c>
      <c r="AC23" s="23" t="s">
        <v>89</v>
      </c>
      <c r="AH23" s="23" t="s">
        <v>89</v>
      </c>
      <c r="AI23" s="23" t="s">
        <v>89</v>
      </c>
      <c r="AJ23" s="23" t="s">
        <v>89</v>
      </c>
      <c r="AK23" s="23" t="s">
        <v>89</v>
      </c>
      <c r="AL23" s="23" t="s">
        <v>89</v>
      </c>
    </row>
    <row r="24" ht="15.75" hidden="1" customHeight="1">
      <c r="A24" s="36">
        <v>1985.0</v>
      </c>
      <c r="B24" s="87" t="s">
        <v>80</v>
      </c>
      <c r="C24" s="23">
        <v>17.135784692383</v>
      </c>
      <c r="D24" s="23">
        <v>6.1694493652344</v>
      </c>
      <c r="E24" s="23">
        <v>15.76759911499</v>
      </c>
      <c r="F24" s="23">
        <v>18.21709185791</v>
      </c>
      <c r="G24" s="23">
        <v>0.93146700439453</v>
      </c>
      <c r="H24" s="23">
        <v>5.3424885375977</v>
      </c>
      <c r="I24" s="23">
        <v>0.50488153076172</v>
      </c>
      <c r="J24" s="23" t="s">
        <v>89</v>
      </c>
      <c r="K24" s="23">
        <v>8.9157261352539</v>
      </c>
      <c r="L24" s="23">
        <f t="shared" si="3"/>
        <v>6551.095769</v>
      </c>
      <c r="M24" s="23">
        <v>13.931154608154</v>
      </c>
      <c r="N24" s="23" t="s">
        <v>89</v>
      </c>
      <c r="O24" s="23" t="s">
        <v>89</v>
      </c>
      <c r="P24" s="23" t="s">
        <v>89</v>
      </c>
      <c r="Q24" s="23">
        <v>1.6074542175293</v>
      </c>
      <c r="R24" s="23">
        <v>1.1661789428711</v>
      </c>
      <c r="S24" s="23" t="s">
        <v>89</v>
      </c>
      <c r="T24" s="23" t="s">
        <v>89</v>
      </c>
      <c r="U24" s="23">
        <v>6516.5005418639</v>
      </c>
      <c r="Y24" s="23" t="s">
        <v>89</v>
      </c>
      <c r="Z24" s="23" t="s">
        <v>89</v>
      </c>
      <c r="AA24" s="23">
        <v>0.59658809204102</v>
      </c>
      <c r="AB24" s="23" t="s">
        <v>89</v>
      </c>
      <c r="AC24" s="23" t="s">
        <v>89</v>
      </c>
      <c r="AH24" s="23" t="s">
        <v>89</v>
      </c>
      <c r="AI24" s="23" t="s">
        <v>89</v>
      </c>
      <c r="AJ24" s="23" t="s">
        <v>89</v>
      </c>
      <c r="AK24" s="23" t="s">
        <v>89</v>
      </c>
      <c r="AL24" s="23">
        <v>17.293851043701</v>
      </c>
    </row>
    <row r="25" ht="15.75" hidden="1" customHeight="1">
      <c r="B25" s="101"/>
      <c r="L25" s="23">
        <f t="shared" si="3"/>
        <v>0</v>
      </c>
    </row>
    <row r="26" ht="15.75" hidden="1" customHeight="1">
      <c r="B26" s="101"/>
      <c r="L26" s="23">
        <f t="shared" si="3"/>
        <v>0</v>
      </c>
    </row>
    <row r="27" ht="15.75" hidden="1" customHeight="1">
      <c r="B27" s="101"/>
      <c r="L27" s="23">
        <f t="shared" si="3"/>
        <v>0</v>
      </c>
    </row>
    <row r="28" ht="15.75" hidden="1" customHeight="1">
      <c r="A28" s="36">
        <v>1985.0</v>
      </c>
      <c r="B28" s="87" t="s">
        <v>81</v>
      </c>
      <c r="C28" s="23">
        <v>0.44644481201172</v>
      </c>
      <c r="D28" s="23">
        <v>4.0176643981934</v>
      </c>
      <c r="E28" s="23">
        <v>40.181766033936</v>
      </c>
      <c r="F28" s="23">
        <v>2.5896733337402</v>
      </c>
      <c r="G28" s="23" t="s">
        <v>89</v>
      </c>
      <c r="H28" s="23" t="s">
        <v>89</v>
      </c>
      <c r="I28" s="23" t="s">
        <v>89</v>
      </c>
      <c r="J28" s="23" t="s">
        <v>89</v>
      </c>
      <c r="K28" s="23">
        <v>4.6426349426269</v>
      </c>
      <c r="L28" s="23">
        <f t="shared" si="3"/>
        <v>1681.510769</v>
      </c>
      <c r="M28" s="23">
        <v>3.0359594604492</v>
      </c>
      <c r="N28" s="23" t="s">
        <v>89</v>
      </c>
      <c r="O28" s="23" t="s">
        <v>89</v>
      </c>
      <c r="P28" s="23" t="s">
        <v>89</v>
      </c>
      <c r="Q28" s="23">
        <v>374.6912645874</v>
      </c>
      <c r="R28" s="23" t="s">
        <v>89</v>
      </c>
      <c r="S28" s="23">
        <v>0.26783817138672</v>
      </c>
      <c r="T28" s="23" t="s">
        <v>89</v>
      </c>
      <c r="U28" s="23" t="s">
        <v>89</v>
      </c>
      <c r="Y28" s="23">
        <v>1035.7092937744</v>
      </c>
      <c r="Z28" s="23" t="s">
        <v>89</v>
      </c>
      <c r="AA28" s="23" t="s">
        <v>89</v>
      </c>
      <c r="AB28" s="23" t="s">
        <v>89</v>
      </c>
      <c r="AC28" s="23" t="s">
        <v>89</v>
      </c>
      <c r="AH28" s="23" t="s">
        <v>89</v>
      </c>
      <c r="AI28" s="23" t="s">
        <v>89</v>
      </c>
      <c r="AJ28" s="23" t="s">
        <v>89</v>
      </c>
      <c r="AK28" s="23" t="s">
        <v>89</v>
      </c>
      <c r="AL28" s="23">
        <v>267.8064130127</v>
      </c>
    </row>
    <row r="29" ht="15.75" hidden="1" customHeight="1">
      <c r="A29" s="36">
        <v>1985.0</v>
      </c>
      <c r="B29" s="87" t="s">
        <v>82</v>
      </c>
      <c r="C29" s="23" t="s">
        <v>89</v>
      </c>
      <c r="D29" s="23" t="s">
        <v>89</v>
      </c>
      <c r="E29" s="23" t="s">
        <v>89</v>
      </c>
      <c r="F29" s="23" t="s">
        <v>89</v>
      </c>
      <c r="G29" s="23" t="s">
        <v>89</v>
      </c>
      <c r="H29" s="23" t="s">
        <v>89</v>
      </c>
      <c r="I29" s="23" t="s">
        <v>89</v>
      </c>
      <c r="J29" s="23" t="s">
        <v>89</v>
      </c>
      <c r="K29" s="23" t="s">
        <v>89</v>
      </c>
      <c r="L29" s="23">
        <f t="shared" si="3"/>
        <v>0</v>
      </c>
      <c r="M29" s="23" t="s">
        <v>89</v>
      </c>
      <c r="N29" s="23" t="s">
        <v>89</v>
      </c>
      <c r="O29" s="23" t="s">
        <v>89</v>
      </c>
      <c r="P29" s="23" t="s">
        <v>89</v>
      </c>
      <c r="Q29" s="23" t="s">
        <v>89</v>
      </c>
      <c r="R29" s="23" t="s">
        <v>89</v>
      </c>
      <c r="S29" s="23" t="s">
        <v>89</v>
      </c>
      <c r="T29" s="23" t="s">
        <v>89</v>
      </c>
      <c r="U29" s="23" t="s">
        <v>89</v>
      </c>
      <c r="Y29" s="23" t="s">
        <v>89</v>
      </c>
      <c r="Z29" s="23" t="s">
        <v>89</v>
      </c>
      <c r="AA29" s="23" t="s">
        <v>89</v>
      </c>
      <c r="AB29" s="23" t="s">
        <v>89</v>
      </c>
      <c r="AC29" s="23" t="s">
        <v>89</v>
      </c>
      <c r="AH29" s="23" t="s">
        <v>89</v>
      </c>
      <c r="AI29" s="23" t="s">
        <v>89</v>
      </c>
      <c r="AJ29" s="23" t="s">
        <v>89</v>
      </c>
      <c r="AK29" s="23" t="s">
        <v>89</v>
      </c>
      <c r="AL29" s="23" t="s">
        <v>89</v>
      </c>
    </row>
    <row r="30" ht="15.75" hidden="1" customHeight="1">
      <c r="A30" s="36">
        <v>1985.0</v>
      </c>
      <c r="B30" s="87" t="s">
        <v>83</v>
      </c>
      <c r="C30" s="23">
        <v>154.58323530273</v>
      </c>
      <c r="D30" s="23">
        <v>2457.0916808777</v>
      </c>
      <c r="E30" s="23">
        <v>709.84377518311</v>
      </c>
      <c r="F30" s="23">
        <v>690.59415067139</v>
      </c>
      <c r="G30" s="23">
        <v>234.87001072998</v>
      </c>
      <c r="H30" s="23">
        <v>238.54976090698</v>
      </c>
      <c r="I30" s="23" t="s">
        <v>89</v>
      </c>
      <c r="J30" s="23" t="s">
        <v>89</v>
      </c>
      <c r="K30" s="23">
        <v>143.83244417114</v>
      </c>
      <c r="L30" s="23">
        <f t="shared" si="3"/>
        <v>61257.65009</v>
      </c>
      <c r="M30" s="23" t="s">
        <v>89</v>
      </c>
      <c r="N30" s="23" t="s">
        <v>89</v>
      </c>
      <c r="O30" s="23" t="s">
        <v>89</v>
      </c>
      <c r="P30" s="23" t="s">
        <v>89</v>
      </c>
      <c r="Q30" s="23" t="s">
        <v>89</v>
      </c>
      <c r="R30" s="23">
        <v>0.76644965209961</v>
      </c>
      <c r="S30" s="23" t="s">
        <v>89</v>
      </c>
      <c r="T30" s="23" t="s">
        <v>89</v>
      </c>
      <c r="U30" s="23">
        <v>0.17194060668945</v>
      </c>
      <c r="Y30" s="23" t="s">
        <v>89</v>
      </c>
      <c r="Z30" s="23" t="s">
        <v>89</v>
      </c>
      <c r="AA30" s="23">
        <v>61254.729498334</v>
      </c>
      <c r="AB30" s="23">
        <v>0.3405138671875</v>
      </c>
      <c r="AC30" s="23" t="s">
        <v>89</v>
      </c>
      <c r="AH30" s="23" t="s">
        <v>89</v>
      </c>
      <c r="AI30" s="23" t="s">
        <v>89</v>
      </c>
      <c r="AJ30" s="23">
        <v>0.085048388671875</v>
      </c>
      <c r="AK30" s="23" t="s">
        <v>89</v>
      </c>
      <c r="AL30" s="23">
        <v>1.5566366271973</v>
      </c>
    </row>
    <row r="31" ht="15.75" hidden="1" customHeight="1">
      <c r="A31" s="36">
        <v>1985.0</v>
      </c>
      <c r="B31" s="87" t="s">
        <v>84</v>
      </c>
      <c r="C31" s="23">
        <v>59.947013970947</v>
      </c>
      <c r="D31" s="23">
        <v>136.61953113403</v>
      </c>
      <c r="E31" s="23">
        <v>159.91890279541</v>
      </c>
      <c r="F31" s="23">
        <v>19.494807171631</v>
      </c>
      <c r="G31" s="23">
        <v>9.7375924072266</v>
      </c>
      <c r="H31" s="23">
        <v>128.72843704834</v>
      </c>
      <c r="I31" s="23">
        <v>97.755948345947</v>
      </c>
      <c r="J31" s="23" t="s">
        <v>89</v>
      </c>
      <c r="K31" s="23">
        <v>280.46670019531</v>
      </c>
      <c r="L31" s="23">
        <f t="shared" si="3"/>
        <v>1101.680496</v>
      </c>
      <c r="M31" s="23" t="s">
        <v>89</v>
      </c>
      <c r="N31" s="23" t="s">
        <v>89</v>
      </c>
      <c r="O31" s="23" t="s">
        <v>89</v>
      </c>
      <c r="P31" s="23" t="s">
        <v>89</v>
      </c>
      <c r="Q31" s="23" t="s">
        <v>89</v>
      </c>
      <c r="R31" s="23">
        <v>33.302368249512</v>
      </c>
      <c r="S31" s="23" t="s">
        <v>89</v>
      </c>
      <c r="T31" s="23" t="s">
        <v>89</v>
      </c>
      <c r="U31" s="23" t="s">
        <v>89</v>
      </c>
      <c r="Y31" s="23" t="s">
        <v>89</v>
      </c>
      <c r="Z31" s="23" t="s">
        <v>89</v>
      </c>
      <c r="AA31" s="23" t="s">
        <v>89</v>
      </c>
      <c r="AB31" s="23">
        <v>998.87881295166</v>
      </c>
      <c r="AC31" s="23" t="s">
        <v>89</v>
      </c>
      <c r="AH31" s="23" t="s">
        <v>89</v>
      </c>
      <c r="AI31" s="23" t="s">
        <v>89</v>
      </c>
      <c r="AJ31" s="23" t="s">
        <v>89</v>
      </c>
      <c r="AK31" s="23" t="s">
        <v>89</v>
      </c>
      <c r="AL31" s="23">
        <v>69.499314440918</v>
      </c>
    </row>
    <row r="32" ht="15.75" hidden="1" customHeight="1">
      <c r="A32" s="36">
        <v>1985.0</v>
      </c>
      <c r="B32" s="87" t="s">
        <v>19</v>
      </c>
      <c r="C32" s="23" t="s">
        <v>89</v>
      </c>
      <c r="D32" s="23" t="s">
        <v>89</v>
      </c>
      <c r="E32" s="23" t="s">
        <v>89</v>
      </c>
      <c r="F32" s="23" t="s">
        <v>89</v>
      </c>
      <c r="G32" s="23" t="s">
        <v>89</v>
      </c>
      <c r="H32" s="23" t="s">
        <v>89</v>
      </c>
      <c r="I32" s="23" t="s">
        <v>89</v>
      </c>
      <c r="J32" s="23" t="s">
        <v>89</v>
      </c>
      <c r="K32" s="23" t="s">
        <v>89</v>
      </c>
      <c r="L32" s="23">
        <f t="shared" si="3"/>
        <v>0</v>
      </c>
      <c r="M32" s="23" t="s">
        <v>89</v>
      </c>
      <c r="N32" s="23" t="s">
        <v>89</v>
      </c>
      <c r="O32" s="23" t="s">
        <v>89</v>
      </c>
      <c r="P32" s="23" t="s">
        <v>89</v>
      </c>
      <c r="Q32" s="23" t="s">
        <v>89</v>
      </c>
      <c r="R32" s="23" t="s">
        <v>89</v>
      </c>
      <c r="S32" s="23" t="s">
        <v>89</v>
      </c>
      <c r="T32" s="23" t="s">
        <v>89</v>
      </c>
      <c r="U32" s="23" t="s">
        <v>89</v>
      </c>
      <c r="Y32" s="23" t="s">
        <v>89</v>
      </c>
      <c r="Z32" s="23" t="s">
        <v>89</v>
      </c>
      <c r="AA32" s="23" t="s">
        <v>89</v>
      </c>
      <c r="AB32" s="23" t="s">
        <v>89</v>
      </c>
      <c r="AC32" s="23" t="s">
        <v>89</v>
      </c>
      <c r="AH32" s="23" t="s">
        <v>89</v>
      </c>
      <c r="AI32" s="23" t="s">
        <v>89</v>
      </c>
      <c r="AJ32" s="23" t="s">
        <v>89</v>
      </c>
      <c r="AK32" s="23" t="s">
        <v>89</v>
      </c>
      <c r="AL32" s="23" t="s">
        <v>89</v>
      </c>
    </row>
    <row r="33" ht="15.75" hidden="1" customHeight="1">
      <c r="A33" s="36">
        <v>1985.0</v>
      </c>
      <c r="B33" s="87" t="s">
        <v>71</v>
      </c>
      <c r="C33" s="23" t="s">
        <v>89</v>
      </c>
      <c r="D33" s="23" t="s">
        <v>89</v>
      </c>
      <c r="E33" s="23" t="s">
        <v>89</v>
      </c>
      <c r="F33" s="23" t="s">
        <v>89</v>
      </c>
      <c r="G33" s="23" t="s">
        <v>89</v>
      </c>
      <c r="H33" s="23" t="s">
        <v>89</v>
      </c>
      <c r="I33" s="23" t="s">
        <v>89</v>
      </c>
      <c r="J33" s="23" t="s">
        <v>89</v>
      </c>
      <c r="K33" s="23" t="s">
        <v>89</v>
      </c>
      <c r="L33" s="23">
        <f t="shared" si="3"/>
        <v>0</v>
      </c>
      <c r="M33" s="23" t="s">
        <v>89</v>
      </c>
      <c r="N33" s="23" t="s">
        <v>89</v>
      </c>
      <c r="O33" s="23" t="s">
        <v>89</v>
      </c>
      <c r="P33" s="23" t="s">
        <v>89</v>
      </c>
      <c r="Q33" s="23" t="s">
        <v>89</v>
      </c>
      <c r="R33" s="23" t="s">
        <v>89</v>
      </c>
      <c r="S33" s="23" t="s">
        <v>89</v>
      </c>
      <c r="T33" s="23" t="s">
        <v>89</v>
      </c>
      <c r="U33" s="23" t="s">
        <v>89</v>
      </c>
      <c r="Y33" s="23" t="s">
        <v>89</v>
      </c>
      <c r="Z33" s="23" t="s">
        <v>89</v>
      </c>
      <c r="AA33" s="23" t="s">
        <v>89</v>
      </c>
      <c r="AB33" s="23" t="s">
        <v>89</v>
      </c>
      <c r="AC33" s="23" t="s">
        <v>89</v>
      </c>
      <c r="AH33" s="23" t="s">
        <v>89</v>
      </c>
      <c r="AI33" s="23" t="s">
        <v>89</v>
      </c>
      <c r="AJ33" s="23" t="s">
        <v>89</v>
      </c>
      <c r="AK33" s="23" t="s">
        <v>89</v>
      </c>
      <c r="AL33" s="23" t="s">
        <v>89</v>
      </c>
    </row>
    <row r="34" ht="15.75" hidden="1" customHeight="1">
      <c r="A34" s="36">
        <v>1985.0</v>
      </c>
      <c r="B34" s="87" t="s">
        <v>86</v>
      </c>
      <c r="C34" s="23">
        <v>1.4326721374512</v>
      </c>
      <c r="D34" s="23">
        <v>5.7882294128418</v>
      </c>
      <c r="E34" s="23">
        <v>1.0085448120117</v>
      </c>
      <c r="F34" s="23">
        <v>0.4225151550293</v>
      </c>
      <c r="G34" s="23" t="s">
        <v>89</v>
      </c>
      <c r="H34" s="23" t="s">
        <v>89</v>
      </c>
      <c r="I34" s="23" t="s">
        <v>89</v>
      </c>
      <c r="J34" s="23" t="s">
        <v>89</v>
      </c>
      <c r="K34" s="23" t="s">
        <v>89</v>
      </c>
      <c r="L34" s="23">
        <f t="shared" si="3"/>
        <v>14.25121698</v>
      </c>
      <c r="M34" s="23" t="s">
        <v>89</v>
      </c>
      <c r="N34" s="23" t="s">
        <v>89</v>
      </c>
      <c r="O34" s="23" t="s">
        <v>89</v>
      </c>
      <c r="P34" s="23" t="s">
        <v>89</v>
      </c>
      <c r="Q34" s="23" t="s">
        <v>89</v>
      </c>
      <c r="R34" s="23" t="s">
        <v>89</v>
      </c>
      <c r="S34" s="23" t="s">
        <v>89</v>
      </c>
      <c r="T34" s="23" t="s">
        <v>89</v>
      </c>
      <c r="U34" s="23" t="s">
        <v>89</v>
      </c>
      <c r="Y34" s="23" t="s">
        <v>89</v>
      </c>
      <c r="Z34" s="23" t="s">
        <v>89</v>
      </c>
      <c r="AA34" s="23" t="s">
        <v>89</v>
      </c>
      <c r="AB34" s="23" t="s">
        <v>89</v>
      </c>
      <c r="AC34" s="23" t="s">
        <v>89</v>
      </c>
      <c r="AH34" s="23" t="s">
        <v>89</v>
      </c>
      <c r="AI34" s="23">
        <v>14.167244091797</v>
      </c>
      <c r="AJ34" s="23" t="s">
        <v>89</v>
      </c>
      <c r="AK34" s="23" t="s">
        <v>89</v>
      </c>
      <c r="AL34" s="23">
        <v>0.083972888183594</v>
      </c>
    </row>
    <row r="35" ht="15.75" hidden="1" customHeight="1">
      <c r="A35" s="36">
        <v>1985.0</v>
      </c>
      <c r="B35" s="87" t="s">
        <v>87</v>
      </c>
      <c r="C35" s="23">
        <v>2094.9722244324</v>
      </c>
      <c r="D35" s="23">
        <v>17881.118360315</v>
      </c>
      <c r="E35" s="23">
        <v>559.48525883179</v>
      </c>
      <c r="F35" s="23">
        <v>15325.981583032</v>
      </c>
      <c r="G35" s="23">
        <v>239.00361136475</v>
      </c>
      <c r="H35" s="23">
        <v>5961.2433390197</v>
      </c>
      <c r="I35" s="23" t="s">
        <v>89</v>
      </c>
      <c r="J35" s="23" t="s">
        <v>89</v>
      </c>
      <c r="K35" s="23">
        <v>783.30930079346</v>
      </c>
      <c r="L35" s="23">
        <f t="shared" si="3"/>
        <v>34317.9116</v>
      </c>
      <c r="M35" s="23">
        <v>24.024197955322</v>
      </c>
      <c r="N35" s="23" t="s">
        <v>89</v>
      </c>
      <c r="O35" s="23" t="s">
        <v>89</v>
      </c>
      <c r="P35" s="23" t="s">
        <v>89</v>
      </c>
      <c r="Q35" s="23" t="s">
        <v>89</v>
      </c>
      <c r="R35" s="23">
        <v>20.712885455322</v>
      </c>
      <c r="S35" s="23" t="s">
        <v>89</v>
      </c>
      <c r="T35" s="23" t="s">
        <v>89</v>
      </c>
      <c r="U35" s="23" t="s">
        <v>89</v>
      </c>
      <c r="Y35" s="23">
        <v>0.089314965820313</v>
      </c>
      <c r="Z35" s="23" t="s">
        <v>89</v>
      </c>
      <c r="AA35" s="23">
        <v>1.2734732055664</v>
      </c>
      <c r="AB35" s="23">
        <v>0.25544219970703</v>
      </c>
      <c r="AC35" s="23" t="s">
        <v>89</v>
      </c>
      <c r="AH35" s="23" t="s">
        <v>89</v>
      </c>
      <c r="AI35" s="23" t="s">
        <v>89</v>
      </c>
      <c r="AJ35" s="23">
        <v>34175.248983435</v>
      </c>
      <c r="AK35" s="23" t="s">
        <v>89</v>
      </c>
      <c r="AL35" s="23">
        <v>96.307304345703</v>
      </c>
    </row>
    <row r="36" ht="15.75" hidden="1" customHeight="1">
      <c r="A36" s="36">
        <v>1985.0</v>
      </c>
      <c r="B36" s="87" t="s">
        <v>25</v>
      </c>
      <c r="C36" s="23" t="s">
        <v>89</v>
      </c>
      <c r="D36" s="23" t="s">
        <v>89</v>
      </c>
      <c r="E36" s="23" t="s">
        <v>89</v>
      </c>
      <c r="F36" s="23" t="s">
        <v>89</v>
      </c>
      <c r="G36" s="23" t="s">
        <v>89</v>
      </c>
      <c r="H36" s="23" t="s">
        <v>89</v>
      </c>
      <c r="I36" s="23" t="s">
        <v>89</v>
      </c>
      <c r="J36" s="23" t="s">
        <v>89</v>
      </c>
      <c r="K36" s="23" t="s">
        <v>89</v>
      </c>
      <c r="L36" s="23">
        <f t="shared" si="3"/>
        <v>0</v>
      </c>
      <c r="M36" s="23" t="s">
        <v>89</v>
      </c>
      <c r="N36" s="23" t="s">
        <v>89</v>
      </c>
      <c r="O36" s="23" t="s">
        <v>89</v>
      </c>
      <c r="P36" s="23" t="s">
        <v>89</v>
      </c>
      <c r="Q36" s="23" t="s">
        <v>89</v>
      </c>
      <c r="R36" s="23" t="s">
        <v>89</v>
      </c>
      <c r="S36" s="23" t="s">
        <v>89</v>
      </c>
      <c r="T36" s="23" t="s">
        <v>89</v>
      </c>
      <c r="U36" s="23" t="s">
        <v>89</v>
      </c>
      <c r="Y36" s="23" t="s">
        <v>89</v>
      </c>
      <c r="Z36" s="23" t="s">
        <v>89</v>
      </c>
      <c r="AA36" s="23" t="s">
        <v>89</v>
      </c>
      <c r="AB36" s="23" t="s">
        <v>89</v>
      </c>
      <c r="AC36" s="23" t="s">
        <v>89</v>
      </c>
      <c r="AH36" s="23" t="s">
        <v>89</v>
      </c>
      <c r="AI36" s="23" t="s">
        <v>89</v>
      </c>
      <c r="AJ36" s="23" t="s">
        <v>89</v>
      </c>
      <c r="AK36" s="23" t="s">
        <v>89</v>
      </c>
      <c r="AL36" s="23" t="s">
        <v>89</v>
      </c>
    </row>
    <row r="37" ht="15.75" hidden="1" customHeight="1">
      <c r="A37" s="36">
        <v>1985.0</v>
      </c>
      <c r="B37" s="87" t="s">
        <v>88</v>
      </c>
      <c r="C37" s="23">
        <v>49191.919394092</v>
      </c>
      <c r="D37" s="23">
        <v>19555.857091998</v>
      </c>
      <c r="E37" s="23">
        <v>28624.427094342</v>
      </c>
      <c r="F37" s="23">
        <v>23113.718183282</v>
      </c>
      <c r="G37" s="23">
        <v>40.460738195801</v>
      </c>
      <c r="H37" s="23">
        <v>689.23621785278</v>
      </c>
      <c r="I37" s="23">
        <v>82.490445013428</v>
      </c>
      <c r="J37" s="23" t="s">
        <v>89</v>
      </c>
      <c r="K37" s="23">
        <v>36403.084773444</v>
      </c>
      <c r="L37" s="23">
        <f t="shared" si="3"/>
        <v>1032740.943</v>
      </c>
      <c r="M37" s="23">
        <v>12329.610302411</v>
      </c>
      <c r="N37" s="23" t="s">
        <v>89</v>
      </c>
      <c r="O37" s="23" t="s">
        <v>89</v>
      </c>
      <c r="P37" s="23" t="s">
        <v>89</v>
      </c>
      <c r="Q37" s="23">
        <v>2570.4799628052</v>
      </c>
      <c r="R37" s="23">
        <v>70.990914251709</v>
      </c>
      <c r="S37" s="23">
        <v>2.8450342163086</v>
      </c>
      <c r="T37" s="23" t="s">
        <v>89</v>
      </c>
      <c r="U37" s="23">
        <v>13.004591461182</v>
      </c>
      <c r="Y37" s="23">
        <v>155.66790116577</v>
      </c>
      <c r="Z37" s="23" t="s">
        <v>89</v>
      </c>
      <c r="AA37" s="23">
        <v>5.6218707702637</v>
      </c>
      <c r="AB37" s="23">
        <v>23.705270056152</v>
      </c>
      <c r="AC37" s="23" t="s">
        <v>89</v>
      </c>
      <c r="AH37" s="23" t="s">
        <v>89</v>
      </c>
      <c r="AI37" s="23">
        <v>0.4200689453125</v>
      </c>
      <c r="AJ37" s="23">
        <v>0.089316455078125</v>
      </c>
      <c r="AK37" s="23" t="s">
        <v>89</v>
      </c>
      <c r="AL37" s="23">
        <v>1017568.5075453</v>
      </c>
    </row>
    <row r="38" ht="15.75" hidden="1" customHeight="1">
      <c r="B38" s="101"/>
    </row>
    <row r="39" ht="15.75" hidden="1" customHeight="1">
      <c r="B39" s="101"/>
    </row>
    <row r="40" ht="15.75" hidden="1" customHeight="1">
      <c r="B40" s="101"/>
    </row>
    <row r="41" ht="15.75" hidden="1" customHeight="1">
      <c r="B41" s="101"/>
    </row>
    <row r="42" ht="15.75" hidden="1" customHeight="1">
      <c r="B42" s="101"/>
    </row>
    <row r="43" ht="15.75" customHeight="1">
      <c r="B43" s="101"/>
    </row>
    <row r="44" ht="15.75" customHeight="1">
      <c r="B44" s="101"/>
    </row>
    <row r="45" ht="15.75" customHeight="1">
      <c r="B45" s="101"/>
    </row>
    <row r="46" ht="15.75" customHeight="1">
      <c r="B46" s="101"/>
    </row>
    <row r="47" ht="15.75" customHeight="1">
      <c r="B47" s="101"/>
    </row>
    <row r="48" ht="15.75" customHeight="1">
      <c r="B48" s="101"/>
    </row>
    <row r="49" ht="15.75" customHeight="1">
      <c r="B49" s="101"/>
    </row>
    <row r="50" ht="15.75" customHeight="1">
      <c r="B50" s="101"/>
    </row>
    <row r="51" ht="15.75" customHeight="1">
      <c r="B51" s="101"/>
    </row>
    <row r="52" ht="15.75" customHeight="1">
      <c r="B52" s="101"/>
    </row>
    <row r="53" ht="15.75" customHeight="1">
      <c r="B53" s="101"/>
    </row>
    <row r="54" ht="15.75" customHeight="1">
      <c r="B54" s="101"/>
    </row>
    <row r="55" ht="15.75" customHeight="1">
      <c r="B55" s="101"/>
    </row>
    <row r="56" ht="15.75" customHeight="1">
      <c r="B56" s="101"/>
    </row>
    <row r="57" ht="15.75" customHeight="1">
      <c r="B57" s="101"/>
    </row>
    <row r="58" ht="15.75" customHeight="1">
      <c r="B58" s="101"/>
    </row>
    <row r="59" ht="15.75" customHeight="1">
      <c r="B59" s="101"/>
    </row>
    <row r="60" ht="15.75" customHeight="1">
      <c r="B60" s="101"/>
    </row>
    <row r="61" ht="15.75" customHeight="1">
      <c r="B61" s="101"/>
    </row>
    <row r="62" ht="15.75" customHeight="1">
      <c r="B62" s="101"/>
    </row>
    <row r="63" ht="15.75" customHeight="1">
      <c r="B63" s="101"/>
    </row>
    <row r="64" ht="15.75" customHeight="1">
      <c r="B64" s="101"/>
    </row>
    <row r="65" ht="15.75" customHeight="1">
      <c r="B65" s="101"/>
    </row>
    <row r="66" ht="15.75" customHeight="1">
      <c r="B66" s="101"/>
    </row>
    <row r="67" ht="15.75" customHeight="1">
      <c r="B67" s="101"/>
    </row>
    <row r="68" ht="15.75" customHeight="1">
      <c r="B68" s="101"/>
    </row>
    <row r="69" ht="15.75" customHeight="1">
      <c r="B69" s="101"/>
    </row>
    <row r="70" ht="15.75" customHeight="1">
      <c r="B70" s="101"/>
    </row>
    <row r="71" ht="15.75" customHeight="1">
      <c r="B71" s="101"/>
    </row>
    <row r="72" ht="15.75" customHeight="1">
      <c r="B72" s="101"/>
    </row>
    <row r="73" ht="15.75" customHeight="1">
      <c r="B73" s="101"/>
    </row>
    <row r="74" ht="15.75" customHeight="1">
      <c r="B74" s="101"/>
    </row>
    <row r="75" ht="15.75" customHeight="1">
      <c r="B75" s="101"/>
    </row>
    <row r="76" ht="15.75" customHeight="1">
      <c r="B76" s="101"/>
    </row>
    <row r="77" ht="15.75" customHeight="1">
      <c r="B77" s="101"/>
    </row>
    <row r="78" ht="15.75" customHeight="1">
      <c r="B78" s="101"/>
    </row>
    <row r="79" ht="15.75" customHeight="1">
      <c r="B79" s="101"/>
    </row>
    <row r="80" ht="15.75" customHeight="1">
      <c r="B80" s="101"/>
    </row>
    <row r="81" ht="15.75" customHeight="1">
      <c r="B81" s="101"/>
    </row>
    <row r="82" ht="15.75" customHeight="1">
      <c r="B82" s="101"/>
    </row>
    <row r="83" ht="15.75" customHeight="1">
      <c r="B83" s="101"/>
    </row>
    <row r="84" ht="15.75" customHeight="1">
      <c r="B84" s="101"/>
    </row>
    <row r="85" ht="15.75" customHeight="1">
      <c r="B85" s="101"/>
    </row>
    <row r="86" ht="15.75" customHeight="1">
      <c r="B86" s="101"/>
    </row>
    <row r="87" ht="15.75" customHeight="1">
      <c r="B87" s="101"/>
    </row>
    <row r="88" ht="15.75" customHeight="1">
      <c r="B88" s="101"/>
    </row>
    <row r="89" ht="15.75" customHeight="1">
      <c r="B89" s="101"/>
    </row>
    <row r="90" ht="15.75" customHeight="1">
      <c r="B90" s="101"/>
    </row>
    <row r="91" ht="15.75" customHeight="1">
      <c r="B91" s="101"/>
    </row>
    <row r="92" ht="15.75" customHeight="1">
      <c r="B92" s="101"/>
    </row>
    <row r="93" ht="15.75" customHeight="1">
      <c r="B93" s="101"/>
    </row>
    <row r="94" ht="15.75" customHeight="1">
      <c r="B94" s="101"/>
    </row>
    <row r="95" ht="15.75" customHeight="1">
      <c r="B95" s="101"/>
    </row>
    <row r="96" ht="15.75" customHeight="1">
      <c r="B96" s="101"/>
    </row>
    <row r="97" ht="15.75" customHeight="1">
      <c r="B97" s="101"/>
    </row>
    <row r="98" ht="15.75" customHeight="1">
      <c r="B98" s="101"/>
    </row>
    <row r="99" ht="15.75" customHeight="1">
      <c r="B99" s="101"/>
    </row>
    <row r="100" ht="15.75" customHeight="1">
      <c r="B100" s="101"/>
    </row>
    <row r="101" ht="15.75" customHeight="1">
      <c r="B101" s="101"/>
    </row>
    <row r="102" ht="15.75" customHeight="1">
      <c r="B102" s="101"/>
    </row>
    <row r="103" ht="15.75" customHeight="1">
      <c r="B103" s="101"/>
    </row>
    <row r="104" ht="15.75" customHeight="1">
      <c r="B104" s="101"/>
    </row>
    <row r="105" ht="15.75" customHeight="1">
      <c r="B105" s="101"/>
    </row>
    <row r="106" ht="15.75" customHeight="1">
      <c r="B106" s="101"/>
    </row>
    <row r="107" ht="15.75" customHeight="1">
      <c r="B107" s="101"/>
    </row>
    <row r="108" ht="15.75" customHeight="1">
      <c r="B108" s="101"/>
    </row>
    <row r="109" ht="15.75" customHeight="1">
      <c r="B109" s="101"/>
    </row>
    <row r="110" ht="15.75" customHeight="1">
      <c r="B110" s="101"/>
    </row>
    <row r="111" ht="15.75" customHeight="1">
      <c r="B111" s="101"/>
    </row>
    <row r="112" ht="15.75" customHeight="1">
      <c r="B112" s="101"/>
    </row>
    <row r="113" ht="15.75" customHeight="1">
      <c r="B113" s="101"/>
    </row>
    <row r="114" ht="15.75" customHeight="1">
      <c r="B114" s="101"/>
    </row>
    <row r="115" ht="15.75" customHeight="1">
      <c r="B115" s="101"/>
    </row>
    <row r="116" ht="15.75" customHeight="1">
      <c r="B116" s="101"/>
    </row>
    <row r="117" ht="15.75" customHeight="1">
      <c r="B117" s="101"/>
    </row>
    <row r="118" ht="15.75" customHeight="1">
      <c r="B118" s="101"/>
    </row>
    <row r="119" ht="15.75" customHeight="1">
      <c r="B119" s="101"/>
    </row>
    <row r="120" ht="15.75" customHeight="1">
      <c r="B120" s="101"/>
    </row>
    <row r="121" ht="15.75" customHeight="1">
      <c r="B121" s="101"/>
    </row>
    <row r="122" ht="15.75" customHeight="1">
      <c r="B122" s="101"/>
    </row>
    <row r="123" ht="15.75" customHeight="1">
      <c r="B123" s="101"/>
    </row>
    <row r="124" ht="15.75" customHeight="1">
      <c r="B124" s="101"/>
    </row>
    <row r="125" ht="15.75" customHeight="1">
      <c r="B125" s="101"/>
    </row>
    <row r="126" ht="15.75" customHeight="1">
      <c r="B126" s="101"/>
    </row>
    <row r="127" ht="15.75" customHeight="1">
      <c r="B127" s="101"/>
    </row>
    <row r="128" ht="15.75" customHeight="1">
      <c r="B128" s="101"/>
    </row>
    <row r="129" ht="15.75" customHeight="1">
      <c r="B129" s="101"/>
    </row>
    <row r="130" ht="15.75" customHeight="1">
      <c r="B130" s="101"/>
    </row>
    <row r="131" ht="15.75" customHeight="1">
      <c r="B131" s="101"/>
    </row>
    <row r="132" ht="15.75" customHeight="1">
      <c r="B132" s="101"/>
    </row>
    <row r="133" ht="15.75" customHeight="1">
      <c r="B133" s="101"/>
    </row>
    <row r="134" ht="15.75" customHeight="1">
      <c r="B134" s="101"/>
    </row>
    <row r="135" ht="15.75" customHeight="1">
      <c r="B135" s="101"/>
    </row>
    <row r="136" ht="15.75" customHeight="1">
      <c r="B136" s="101"/>
    </row>
    <row r="137" ht="15.75" customHeight="1">
      <c r="B137" s="101"/>
    </row>
    <row r="138" ht="15.75" customHeight="1">
      <c r="B138" s="101"/>
    </row>
    <row r="139" ht="15.75" customHeight="1">
      <c r="B139" s="101"/>
    </row>
    <row r="140" ht="15.75" customHeight="1">
      <c r="B140" s="101"/>
    </row>
    <row r="141" ht="15.75" customHeight="1">
      <c r="B141" s="101"/>
    </row>
    <row r="142" ht="15.75" customHeight="1">
      <c r="B142" s="101"/>
    </row>
    <row r="143" ht="15.75" customHeight="1">
      <c r="B143" s="101"/>
    </row>
    <row r="144" ht="15.75" customHeight="1">
      <c r="B144" s="101"/>
    </row>
    <row r="145" ht="15.75" customHeight="1">
      <c r="B145" s="101"/>
    </row>
    <row r="146" ht="15.75" customHeight="1">
      <c r="B146" s="101"/>
    </row>
    <row r="147" ht="15.75" customHeight="1">
      <c r="B147" s="101"/>
    </row>
    <row r="148" ht="15.75" customHeight="1">
      <c r="B148" s="101"/>
    </row>
    <row r="149" ht="15.75" customHeight="1">
      <c r="B149" s="101"/>
    </row>
    <row r="150" ht="15.75" customHeight="1">
      <c r="B150" s="101"/>
    </row>
    <row r="151" ht="15.75" customHeight="1">
      <c r="B151" s="101"/>
    </row>
    <row r="152" ht="15.75" customHeight="1">
      <c r="B152" s="101"/>
    </row>
    <row r="153" ht="15.75" customHeight="1">
      <c r="B153" s="101"/>
    </row>
    <row r="154" ht="15.75" customHeight="1">
      <c r="B154" s="101"/>
    </row>
    <row r="155" ht="15.75" customHeight="1">
      <c r="B155" s="101"/>
    </row>
    <row r="156" ht="15.75" customHeight="1">
      <c r="B156" s="101"/>
    </row>
    <row r="157" ht="15.75" customHeight="1">
      <c r="B157" s="101"/>
    </row>
    <row r="158" ht="15.75" customHeight="1">
      <c r="B158" s="101"/>
    </row>
    <row r="159" ht="15.75" customHeight="1">
      <c r="B159" s="101"/>
    </row>
    <row r="160" ht="15.75" customHeight="1">
      <c r="B160" s="101"/>
    </row>
    <row r="161" ht="15.75" customHeight="1">
      <c r="B161" s="101"/>
    </row>
    <row r="162" ht="15.75" customHeight="1">
      <c r="B162" s="101"/>
    </row>
    <row r="163" ht="15.75" customHeight="1">
      <c r="B163" s="101"/>
    </row>
    <row r="164" ht="15.75" customHeight="1">
      <c r="B164" s="101"/>
    </row>
    <row r="165" ht="15.75" customHeight="1">
      <c r="B165" s="101"/>
    </row>
    <row r="166" ht="15.75" customHeight="1">
      <c r="B166" s="101"/>
    </row>
    <row r="167" ht="15.75" customHeight="1">
      <c r="B167" s="101"/>
    </row>
    <row r="168" ht="15.75" customHeight="1">
      <c r="B168" s="101"/>
    </row>
    <row r="169" ht="15.75" customHeight="1">
      <c r="B169" s="101"/>
    </row>
    <row r="170" ht="15.75" customHeight="1">
      <c r="B170" s="101"/>
    </row>
    <row r="171" ht="15.75" customHeight="1">
      <c r="B171" s="101"/>
    </row>
    <row r="172" ht="15.75" customHeight="1">
      <c r="B172" s="101"/>
    </row>
    <row r="173" ht="15.75" customHeight="1">
      <c r="B173" s="101"/>
    </row>
    <row r="174" ht="15.75" customHeight="1">
      <c r="B174" s="101"/>
    </row>
    <row r="175" ht="15.75" customHeight="1">
      <c r="B175" s="101"/>
    </row>
    <row r="176" ht="15.75" customHeight="1">
      <c r="B176" s="101"/>
    </row>
    <row r="177" ht="15.75" customHeight="1">
      <c r="B177" s="101"/>
    </row>
    <row r="178" ht="15.75" customHeight="1">
      <c r="B178" s="101"/>
    </row>
    <row r="179" ht="15.75" customHeight="1">
      <c r="B179" s="101"/>
    </row>
    <row r="180" ht="15.75" customHeight="1">
      <c r="B180" s="101"/>
    </row>
    <row r="181" ht="15.75" customHeight="1">
      <c r="B181" s="101"/>
    </row>
    <row r="182" ht="15.75" customHeight="1">
      <c r="B182" s="101"/>
    </row>
    <row r="183" ht="15.75" customHeight="1">
      <c r="B183" s="101"/>
    </row>
    <row r="184" ht="15.75" customHeight="1">
      <c r="B184" s="101"/>
    </row>
    <row r="185" ht="15.75" customHeight="1">
      <c r="B185" s="101"/>
    </row>
    <row r="186" ht="15.75" customHeight="1">
      <c r="B186" s="101"/>
    </row>
    <row r="187" ht="15.75" customHeight="1">
      <c r="B187" s="101"/>
    </row>
    <row r="188" ht="15.75" customHeight="1">
      <c r="B188" s="101"/>
    </row>
    <row r="189" ht="15.75" customHeight="1">
      <c r="B189" s="101"/>
    </row>
    <row r="190" ht="15.75" customHeight="1">
      <c r="B190" s="101"/>
    </row>
    <row r="191" ht="15.75" customHeight="1">
      <c r="B191" s="101"/>
    </row>
    <row r="192" ht="15.75" customHeight="1">
      <c r="B192" s="101"/>
    </row>
    <row r="193" ht="15.75" customHeight="1">
      <c r="B193" s="101"/>
    </row>
    <row r="194" ht="15.75" customHeight="1">
      <c r="B194" s="101"/>
    </row>
    <row r="195" ht="15.75" customHeight="1">
      <c r="B195" s="101"/>
    </row>
    <row r="196" ht="15.75" customHeight="1">
      <c r="B196" s="101"/>
    </row>
    <row r="197" ht="15.75" customHeight="1">
      <c r="B197" s="101"/>
    </row>
    <row r="198" ht="15.75" customHeight="1">
      <c r="B198" s="101"/>
    </row>
    <row r="199" ht="15.75" customHeight="1">
      <c r="B199" s="101"/>
    </row>
    <row r="200" ht="15.75" customHeight="1">
      <c r="B200" s="101"/>
    </row>
    <row r="201" ht="15.75" customHeight="1">
      <c r="B201" s="101"/>
    </row>
    <row r="202" ht="15.75" customHeight="1">
      <c r="B202" s="101"/>
    </row>
    <row r="203" ht="15.75" customHeight="1">
      <c r="B203" s="101"/>
    </row>
    <row r="204" ht="15.75" customHeight="1">
      <c r="B204" s="101"/>
    </row>
    <row r="205" ht="15.75" customHeight="1">
      <c r="B205" s="101"/>
    </row>
    <row r="206" ht="15.75" customHeight="1">
      <c r="B206" s="101"/>
    </row>
    <row r="207" ht="15.75" customHeight="1">
      <c r="B207" s="101"/>
    </row>
    <row r="208" ht="15.75" customHeight="1">
      <c r="B208" s="101"/>
    </row>
    <row r="209" ht="15.75" customHeight="1">
      <c r="B209" s="101"/>
    </row>
    <row r="210" ht="15.75" customHeight="1">
      <c r="B210" s="101"/>
    </row>
    <row r="211" ht="15.75" customHeight="1">
      <c r="B211" s="101"/>
    </row>
    <row r="212" ht="15.75" customHeight="1">
      <c r="B212" s="101"/>
    </row>
    <row r="213" ht="15.75" customHeight="1">
      <c r="B213" s="101"/>
    </row>
    <row r="214" ht="15.75" customHeight="1">
      <c r="B214" s="101"/>
    </row>
    <row r="215" ht="15.75" customHeight="1">
      <c r="B215" s="101"/>
    </row>
    <row r="216" ht="15.75" customHeight="1">
      <c r="B216" s="101"/>
    </row>
    <row r="217" ht="15.75" customHeight="1">
      <c r="B217" s="101"/>
    </row>
    <row r="218" ht="15.75" customHeight="1">
      <c r="B218" s="101"/>
    </row>
    <row r="219" ht="15.75" customHeight="1">
      <c r="B219" s="101"/>
    </row>
    <row r="220" ht="15.75" customHeight="1">
      <c r="B220" s="101"/>
    </row>
    <row r="221" ht="15.75" customHeight="1">
      <c r="B221" s="101"/>
    </row>
    <row r="222" ht="15.75" customHeight="1">
      <c r="B222" s="101"/>
    </row>
    <row r="223" ht="15.75" customHeight="1">
      <c r="B223" s="101"/>
    </row>
    <row r="224" ht="15.75" customHeight="1">
      <c r="B224" s="101"/>
    </row>
    <row r="225" ht="15.75" customHeight="1">
      <c r="B225" s="101"/>
    </row>
    <row r="226" ht="15.75" customHeight="1">
      <c r="B226" s="101"/>
    </row>
    <row r="227" ht="15.75" customHeight="1">
      <c r="B227" s="101"/>
    </row>
    <row r="228" ht="15.75" customHeight="1">
      <c r="B228" s="101"/>
    </row>
    <row r="229" ht="15.75" customHeight="1">
      <c r="B229" s="101"/>
    </row>
    <row r="230" ht="15.75" customHeight="1">
      <c r="B230" s="101"/>
    </row>
    <row r="231" ht="15.75" customHeight="1">
      <c r="B231" s="101"/>
    </row>
    <row r="232" ht="15.75" customHeight="1">
      <c r="B232" s="101"/>
    </row>
    <row r="233" ht="15.75" customHeight="1">
      <c r="B233" s="101"/>
    </row>
    <row r="234" ht="15.75" customHeight="1">
      <c r="B234" s="101"/>
    </row>
    <row r="235" ht="15.75" customHeight="1">
      <c r="B235" s="101"/>
    </row>
    <row r="236" ht="15.75" customHeight="1">
      <c r="B236" s="101"/>
    </row>
    <row r="237" ht="15.75" customHeight="1">
      <c r="B237" s="101"/>
    </row>
    <row r="238" ht="15.75" customHeight="1">
      <c r="B238" s="101"/>
    </row>
    <row r="239" ht="15.75" customHeight="1">
      <c r="B239" s="101"/>
    </row>
    <row r="240" ht="15.75" customHeight="1">
      <c r="B240" s="101"/>
    </row>
    <row r="241" ht="15.75" customHeight="1">
      <c r="B241" s="101"/>
    </row>
    <row r="242" ht="15.75" customHeight="1">
      <c r="B242" s="101"/>
    </row>
    <row r="243" ht="15.75" customHeight="1">
      <c r="B243" s="101"/>
    </row>
    <row r="244" ht="15.75" customHeight="1">
      <c r="B244" s="101"/>
    </row>
    <row r="245" ht="15.75" customHeight="1">
      <c r="B245" s="101"/>
    </row>
    <row r="246" ht="15.75" customHeight="1">
      <c r="B246" s="101"/>
    </row>
    <row r="247" ht="15.75" customHeight="1">
      <c r="B247" s="101"/>
    </row>
    <row r="248" ht="15.75" customHeight="1">
      <c r="B248" s="101"/>
    </row>
    <row r="249" ht="15.75" customHeight="1">
      <c r="B249" s="101"/>
    </row>
    <row r="250" ht="15.75" customHeight="1">
      <c r="B250" s="101"/>
    </row>
    <row r="251" ht="15.75" customHeight="1">
      <c r="B251" s="101"/>
    </row>
    <row r="252" ht="15.75" customHeight="1">
      <c r="B252" s="101"/>
    </row>
    <row r="253" ht="15.75" customHeight="1">
      <c r="B253" s="101"/>
    </row>
    <row r="254" ht="15.75" customHeight="1">
      <c r="B254" s="101"/>
    </row>
    <row r="255" ht="15.75" customHeight="1">
      <c r="B255" s="101"/>
    </row>
    <row r="256" ht="15.75" customHeight="1">
      <c r="B256" s="101"/>
    </row>
    <row r="257" ht="15.75" customHeight="1">
      <c r="B257" s="101"/>
    </row>
    <row r="258" ht="15.75" customHeight="1">
      <c r="B258" s="101"/>
    </row>
    <row r="259" ht="15.75" customHeight="1">
      <c r="B259" s="101"/>
    </row>
    <row r="260" ht="15.75" customHeight="1">
      <c r="B260" s="101"/>
    </row>
    <row r="261" ht="15.75" customHeight="1">
      <c r="B261" s="101"/>
    </row>
    <row r="262" ht="15.75" customHeight="1">
      <c r="B262" s="101"/>
    </row>
    <row r="263" ht="15.75" customHeight="1">
      <c r="B263" s="101"/>
    </row>
    <row r="264" ht="15.75" customHeight="1">
      <c r="B264" s="101"/>
    </row>
    <row r="265" ht="15.75" customHeight="1">
      <c r="B265" s="101"/>
    </row>
    <row r="266" ht="15.75" customHeight="1">
      <c r="B266" s="101"/>
    </row>
    <row r="267" ht="15.75" customHeight="1">
      <c r="B267" s="101"/>
    </row>
    <row r="268" ht="15.75" customHeight="1">
      <c r="B268" s="101"/>
    </row>
    <row r="269" ht="15.75" customHeight="1">
      <c r="B269" s="101"/>
    </row>
    <row r="270" ht="15.75" customHeight="1">
      <c r="B270" s="101"/>
    </row>
    <row r="271" ht="15.75" customHeight="1">
      <c r="B271" s="101"/>
    </row>
    <row r="272" ht="15.75" customHeight="1">
      <c r="B272" s="101"/>
    </row>
    <row r="273" ht="15.75" customHeight="1">
      <c r="B273" s="101"/>
    </row>
    <row r="274" ht="15.75" customHeight="1">
      <c r="B274" s="101"/>
    </row>
    <row r="275" ht="15.75" customHeight="1">
      <c r="B275" s="101"/>
    </row>
    <row r="276" ht="15.75" customHeight="1">
      <c r="B276" s="101"/>
    </row>
    <row r="277" ht="15.75" customHeight="1">
      <c r="B277" s="101"/>
    </row>
    <row r="278" ht="15.75" customHeight="1">
      <c r="B278" s="101"/>
    </row>
    <row r="279" ht="15.75" customHeight="1">
      <c r="B279" s="101"/>
    </row>
    <row r="280" ht="15.75" customHeight="1">
      <c r="B280" s="101"/>
    </row>
    <row r="281" ht="15.75" customHeight="1">
      <c r="B281" s="101"/>
    </row>
    <row r="282" ht="15.75" customHeight="1">
      <c r="B282" s="101"/>
    </row>
    <row r="283" ht="15.75" customHeight="1">
      <c r="B283" s="101"/>
    </row>
    <row r="284" ht="15.75" customHeight="1">
      <c r="B284" s="101"/>
    </row>
    <row r="285" ht="15.75" customHeight="1">
      <c r="B285" s="101"/>
    </row>
    <row r="286" ht="15.75" customHeight="1">
      <c r="B286" s="101"/>
    </row>
    <row r="287" ht="15.75" customHeight="1">
      <c r="B287" s="101"/>
    </row>
    <row r="288" ht="15.75" customHeight="1">
      <c r="B288" s="101"/>
    </row>
    <row r="289" ht="15.75" customHeight="1">
      <c r="B289" s="101"/>
    </row>
    <row r="290" ht="15.75" customHeight="1">
      <c r="B290" s="101"/>
    </row>
    <row r="291" ht="15.75" customHeight="1">
      <c r="B291" s="101"/>
    </row>
    <row r="292" ht="15.75" customHeight="1">
      <c r="B292" s="101"/>
    </row>
    <row r="293" ht="15.75" customHeight="1">
      <c r="B293" s="101"/>
    </row>
    <row r="294" ht="15.75" customHeight="1">
      <c r="B294" s="101"/>
    </row>
    <row r="295" ht="15.75" customHeight="1">
      <c r="B295" s="101"/>
    </row>
    <row r="296" ht="15.75" customHeight="1">
      <c r="B296" s="101"/>
    </row>
    <row r="297" ht="15.75" customHeight="1">
      <c r="B297" s="101"/>
    </row>
    <row r="298" ht="15.75" customHeight="1">
      <c r="B298" s="101"/>
    </row>
    <row r="299" ht="15.75" customHeight="1">
      <c r="B299" s="101"/>
    </row>
    <row r="300" ht="15.75" customHeight="1">
      <c r="B300" s="101"/>
    </row>
    <row r="301" ht="15.75" customHeight="1">
      <c r="B301" s="101"/>
    </row>
    <row r="302" ht="15.75" customHeight="1">
      <c r="B302" s="101"/>
    </row>
    <row r="303" ht="15.75" customHeight="1">
      <c r="B303" s="101"/>
    </row>
    <row r="304" ht="15.75" customHeight="1">
      <c r="B304" s="101"/>
    </row>
    <row r="305" ht="15.75" customHeight="1">
      <c r="B305" s="101"/>
    </row>
    <row r="306" ht="15.75" customHeight="1">
      <c r="B306" s="101"/>
    </row>
    <row r="307" ht="15.75" customHeight="1">
      <c r="B307" s="101"/>
    </row>
    <row r="308" ht="15.75" customHeight="1">
      <c r="B308" s="101"/>
    </row>
    <row r="309" ht="15.75" customHeight="1">
      <c r="B309" s="101"/>
    </row>
    <row r="310" ht="15.75" customHeight="1">
      <c r="B310" s="101"/>
    </row>
    <row r="311" ht="15.75" customHeight="1">
      <c r="B311" s="101"/>
    </row>
    <row r="312" ht="15.75" customHeight="1">
      <c r="B312" s="101"/>
    </row>
    <row r="313" ht="15.75" customHeight="1">
      <c r="B313" s="101"/>
    </row>
    <row r="314" ht="15.75" customHeight="1">
      <c r="B314" s="101"/>
    </row>
    <row r="315" ht="15.75" customHeight="1">
      <c r="B315" s="101"/>
    </row>
    <row r="316" ht="15.75" customHeight="1">
      <c r="B316" s="101"/>
    </row>
    <row r="317" ht="15.75" customHeight="1">
      <c r="B317" s="101"/>
    </row>
    <row r="318" ht="15.75" customHeight="1">
      <c r="B318" s="101"/>
    </row>
    <row r="319" ht="15.75" customHeight="1">
      <c r="B319" s="101"/>
    </row>
    <row r="320" ht="15.75" customHeight="1">
      <c r="B320" s="101"/>
    </row>
    <row r="321" ht="15.75" customHeight="1">
      <c r="B321" s="101"/>
    </row>
    <row r="322" ht="15.75" customHeight="1">
      <c r="B322" s="101"/>
    </row>
    <row r="323" ht="15.75" customHeight="1">
      <c r="B323" s="101"/>
    </row>
    <row r="324" ht="15.75" customHeight="1">
      <c r="B324" s="101"/>
    </row>
    <row r="325" ht="15.75" customHeight="1">
      <c r="B325" s="101"/>
    </row>
    <row r="326" ht="15.75" customHeight="1">
      <c r="B326" s="101"/>
    </row>
    <row r="327" ht="15.75" customHeight="1">
      <c r="B327" s="101"/>
    </row>
    <row r="328" ht="15.75" customHeight="1">
      <c r="B328" s="101"/>
    </row>
    <row r="329" ht="15.75" customHeight="1">
      <c r="B329" s="101"/>
    </row>
    <row r="330" ht="15.75" customHeight="1">
      <c r="B330" s="101"/>
    </row>
    <row r="331" ht="15.75" customHeight="1">
      <c r="B331" s="101"/>
    </row>
    <row r="332" ht="15.75" customHeight="1">
      <c r="B332" s="101"/>
    </row>
    <row r="333" ht="15.75" customHeight="1">
      <c r="B333" s="101"/>
    </row>
    <row r="334" ht="15.75" customHeight="1">
      <c r="B334" s="101"/>
    </row>
    <row r="335" ht="15.75" customHeight="1">
      <c r="B335" s="101"/>
    </row>
    <row r="336" ht="15.75" customHeight="1">
      <c r="B336" s="101"/>
    </row>
    <row r="337" ht="15.75" customHeight="1">
      <c r="B337" s="101"/>
    </row>
    <row r="338" ht="15.75" customHeight="1">
      <c r="B338" s="101"/>
    </row>
    <row r="339" ht="15.75" customHeight="1">
      <c r="B339" s="101"/>
    </row>
    <row r="340" ht="15.75" customHeight="1">
      <c r="B340" s="101"/>
    </row>
    <row r="341" ht="15.75" customHeight="1">
      <c r="B341" s="101"/>
    </row>
    <row r="342" ht="15.75" customHeight="1">
      <c r="B342" s="101"/>
    </row>
    <row r="343" ht="15.75" customHeight="1">
      <c r="B343" s="101"/>
    </row>
    <row r="344" ht="15.75" customHeight="1">
      <c r="B344" s="101"/>
    </row>
    <row r="345" ht="15.75" customHeight="1">
      <c r="B345" s="101"/>
    </row>
    <row r="346" ht="15.75" customHeight="1">
      <c r="B346" s="101"/>
    </row>
    <row r="347" ht="15.75" customHeight="1">
      <c r="B347" s="101"/>
    </row>
    <row r="348" ht="15.75" customHeight="1">
      <c r="B348" s="101"/>
    </row>
    <row r="349" ht="15.75" customHeight="1">
      <c r="B349" s="101"/>
    </row>
    <row r="350" ht="15.75" customHeight="1">
      <c r="B350" s="101"/>
    </row>
    <row r="351" ht="15.75" customHeight="1">
      <c r="B351" s="101"/>
    </row>
    <row r="352" ht="15.75" customHeight="1">
      <c r="B352" s="101"/>
    </row>
    <row r="353" ht="15.75" customHeight="1">
      <c r="B353" s="101"/>
    </row>
    <row r="354" ht="15.75" customHeight="1">
      <c r="B354" s="101"/>
    </row>
    <row r="355" ht="15.75" customHeight="1">
      <c r="B355" s="101"/>
    </row>
    <row r="356" ht="15.75" customHeight="1">
      <c r="B356" s="101"/>
    </row>
    <row r="357" ht="15.75" customHeight="1">
      <c r="B357" s="101"/>
    </row>
    <row r="358" ht="15.75" customHeight="1">
      <c r="B358" s="101"/>
    </row>
    <row r="359" ht="15.75" customHeight="1">
      <c r="B359" s="101"/>
    </row>
    <row r="360" ht="15.75" customHeight="1">
      <c r="B360" s="101"/>
    </row>
    <row r="361" ht="15.75" customHeight="1">
      <c r="B361" s="101"/>
    </row>
    <row r="362" ht="15.75" customHeight="1">
      <c r="B362" s="101"/>
    </row>
    <row r="363" ht="15.75" customHeight="1">
      <c r="B363" s="101"/>
    </row>
    <row r="364" ht="15.75" customHeight="1">
      <c r="B364" s="101"/>
    </row>
    <row r="365" ht="15.75" customHeight="1">
      <c r="B365" s="101"/>
    </row>
    <row r="366" ht="15.75" customHeight="1">
      <c r="B366" s="101"/>
    </row>
    <row r="367" ht="15.75" customHeight="1">
      <c r="B367" s="101"/>
    </row>
    <row r="368" ht="15.75" customHeight="1">
      <c r="B368" s="101"/>
    </row>
    <row r="369" ht="15.75" customHeight="1">
      <c r="B369" s="101"/>
    </row>
    <row r="370" ht="15.75" customHeight="1">
      <c r="B370" s="101"/>
    </row>
    <row r="371" ht="15.75" customHeight="1">
      <c r="B371" s="101"/>
    </row>
    <row r="372" ht="15.75" customHeight="1">
      <c r="B372" s="101"/>
    </row>
    <row r="373" ht="15.75" customHeight="1">
      <c r="B373" s="101"/>
    </row>
    <row r="374" ht="15.75" customHeight="1">
      <c r="B374" s="101"/>
    </row>
    <row r="375" ht="15.75" customHeight="1">
      <c r="B375" s="101"/>
    </row>
    <row r="376" ht="15.75" customHeight="1">
      <c r="B376" s="101"/>
    </row>
    <row r="377" ht="15.75" customHeight="1">
      <c r="B377" s="101"/>
    </row>
    <row r="378" ht="15.75" customHeight="1">
      <c r="B378" s="101"/>
    </row>
    <row r="379" ht="15.75" customHeight="1">
      <c r="B379" s="101"/>
    </row>
    <row r="380" ht="15.75" customHeight="1">
      <c r="B380" s="101"/>
    </row>
    <row r="381" ht="15.75" customHeight="1">
      <c r="B381" s="101"/>
    </row>
    <row r="382" ht="15.75" customHeight="1">
      <c r="B382" s="101"/>
    </row>
    <row r="383" ht="15.75" customHeight="1">
      <c r="B383" s="101"/>
    </row>
    <row r="384" ht="15.75" customHeight="1">
      <c r="B384" s="101"/>
    </row>
    <row r="385" ht="15.75" customHeight="1">
      <c r="B385" s="101"/>
    </row>
    <row r="386" ht="15.75" customHeight="1">
      <c r="B386" s="101"/>
    </row>
    <row r="387" ht="15.75" customHeight="1">
      <c r="B387" s="101"/>
    </row>
    <row r="388" ht="15.75" customHeight="1">
      <c r="B388" s="101"/>
    </row>
    <row r="389" ht="15.75" customHeight="1">
      <c r="B389" s="101"/>
    </row>
    <row r="390" ht="15.75" customHeight="1">
      <c r="B390" s="101"/>
    </row>
    <row r="391" ht="15.75" customHeight="1">
      <c r="B391" s="101"/>
    </row>
    <row r="392" ht="15.75" customHeight="1">
      <c r="B392" s="101"/>
    </row>
    <row r="393" ht="15.75" customHeight="1">
      <c r="B393" s="101"/>
    </row>
    <row r="394" ht="15.75" customHeight="1">
      <c r="B394" s="101"/>
    </row>
    <row r="395" ht="15.75" customHeight="1">
      <c r="B395" s="101"/>
    </row>
    <row r="396" ht="15.75" customHeight="1">
      <c r="B396" s="101"/>
    </row>
    <row r="397" ht="15.75" customHeight="1">
      <c r="B397" s="101"/>
    </row>
    <row r="398" ht="15.75" customHeight="1">
      <c r="B398" s="101"/>
    </row>
    <row r="399" ht="15.75" customHeight="1">
      <c r="B399" s="101"/>
    </row>
    <row r="400" ht="15.75" customHeight="1">
      <c r="B400" s="101"/>
    </row>
    <row r="401" ht="15.75" customHeight="1">
      <c r="B401" s="101"/>
    </row>
    <row r="402" ht="15.75" customHeight="1">
      <c r="B402" s="101"/>
    </row>
    <row r="403" ht="15.75" customHeight="1">
      <c r="B403" s="101"/>
    </row>
    <row r="404" ht="15.75" customHeight="1">
      <c r="B404" s="101"/>
    </row>
    <row r="405" ht="15.75" customHeight="1">
      <c r="B405" s="101"/>
    </row>
    <row r="406" ht="15.75" customHeight="1">
      <c r="B406" s="101"/>
    </row>
    <row r="407" ht="15.75" customHeight="1">
      <c r="B407" s="101"/>
    </row>
    <row r="408" ht="15.75" customHeight="1">
      <c r="B408" s="101"/>
    </row>
    <row r="409" ht="15.75" customHeight="1">
      <c r="B409" s="101"/>
    </row>
    <row r="410" ht="15.75" customHeight="1">
      <c r="B410" s="101"/>
    </row>
    <row r="411" ht="15.75" customHeight="1">
      <c r="B411" s="101"/>
    </row>
    <row r="412" ht="15.75" customHeight="1">
      <c r="B412" s="101"/>
    </row>
    <row r="413" ht="15.75" customHeight="1">
      <c r="B413" s="101"/>
    </row>
    <row r="414" ht="15.75" customHeight="1">
      <c r="B414" s="101"/>
    </row>
    <row r="415" ht="15.75" customHeight="1">
      <c r="B415" s="101"/>
    </row>
    <row r="416" ht="15.75" customHeight="1">
      <c r="B416" s="101"/>
    </row>
    <row r="417" ht="15.75" customHeight="1">
      <c r="B417" s="101"/>
    </row>
    <row r="418" ht="15.75" customHeight="1">
      <c r="B418" s="101"/>
    </row>
    <row r="419" ht="15.75" customHeight="1">
      <c r="B419" s="101"/>
    </row>
    <row r="420" ht="15.75" customHeight="1">
      <c r="B420" s="101"/>
    </row>
    <row r="421" ht="15.75" customHeight="1">
      <c r="B421" s="101"/>
    </row>
    <row r="422" ht="15.75" customHeight="1">
      <c r="B422" s="101"/>
    </row>
    <row r="423" ht="15.75" customHeight="1">
      <c r="B423" s="101"/>
    </row>
    <row r="424" ht="15.75" customHeight="1">
      <c r="B424" s="101"/>
    </row>
    <row r="425" ht="15.75" customHeight="1">
      <c r="B425" s="101"/>
    </row>
    <row r="426" ht="15.75" customHeight="1">
      <c r="B426" s="101"/>
    </row>
    <row r="427" ht="15.75" customHeight="1">
      <c r="B427" s="101"/>
    </row>
    <row r="428" ht="15.75" customHeight="1">
      <c r="B428" s="101"/>
    </row>
    <row r="429" ht="15.75" customHeight="1">
      <c r="B429" s="101"/>
    </row>
    <row r="430" ht="15.75" customHeight="1">
      <c r="B430" s="101"/>
    </row>
    <row r="431" ht="15.75" customHeight="1">
      <c r="B431" s="101"/>
    </row>
    <row r="432" ht="15.75" customHeight="1">
      <c r="B432" s="101"/>
    </row>
    <row r="433" ht="15.75" customHeight="1">
      <c r="B433" s="101"/>
    </row>
    <row r="434" ht="15.75" customHeight="1">
      <c r="B434" s="101"/>
    </row>
    <row r="435" ht="15.75" customHeight="1">
      <c r="B435" s="101"/>
    </row>
    <row r="436" ht="15.75" customHeight="1">
      <c r="B436" s="101"/>
    </row>
    <row r="437" ht="15.75" customHeight="1">
      <c r="B437" s="101"/>
    </row>
    <row r="438" ht="15.75" customHeight="1">
      <c r="B438" s="101"/>
    </row>
    <row r="439" ht="15.75" customHeight="1">
      <c r="B439" s="101"/>
    </row>
    <row r="440" ht="15.75" customHeight="1">
      <c r="B440" s="101"/>
    </row>
    <row r="441" ht="15.75" customHeight="1">
      <c r="B441" s="101"/>
    </row>
    <row r="442" ht="15.75" customHeight="1">
      <c r="B442" s="101"/>
    </row>
    <row r="443" ht="15.75" customHeight="1">
      <c r="B443" s="101"/>
    </row>
    <row r="444" ht="15.75" customHeight="1">
      <c r="B444" s="101"/>
    </row>
    <row r="445" ht="15.75" customHeight="1">
      <c r="B445" s="101"/>
    </row>
    <row r="446" ht="15.75" customHeight="1">
      <c r="B446" s="101"/>
    </row>
    <row r="447" ht="15.75" customHeight="1">
      <c r="B447" s="101"/>
    </row>
    <row r="448" ht="15.75" customHeight="1">
      <c r="B448" s="101"/>
    </row>
    <row r="449" ht="15.75" customHeight="1">
      <c r="B449" s="101"/>
    </row>
    <row r="450" ht="15.75" customHeight="1">
      <c r="B450" s="101"/>
    </row>
    <row r="451" ht="15.75" customHeight="1">
      <c r="B451" s="101"/>
    </row>
    <row r="452" ht="15.75" customHeight="1">
      <c r="B452" s="101"/>
    </row>
    <row r="453" ht="15.75" customHeight="1">
      <c r="B453" s="101"/>
    </row>
    <row r="454" ht="15.75" customHeight="1">
      <c r="B454" s="101"/>
    </row>
    <row r="455" ht="15.75" customHeight="1">
      <c r="B455" s="101"/>
    </row>
    <row r="456" ht="15.75" customHeight="1">
      <c r="B456" s="101"/>
    </row>
    <row r="457" ht="15.75" customHeight="1">
      <c r="B457" s="101"/>
    </row>
    <row r="458" ht="15.75" customHeight="1">
      <c r="B458" s="101"/>
    </row>
    <row r="459" ht="15.75" customHeight="1">
      <c r="B459" s="101"/>
    </row>
    <row r="460" ht="15.75" customHeight="1">
      <c r="B460" s="101"/>
    </row>
    <row r="461" ht="15.75" customHeight="1">
      <c r="B461" s="101"/>
    </row>
    <row r="462" ht="15.75" customHeight="1">
      <c r="B462" s="101"/>
    </row>
    <row r="463" ht="15.75" customHeight="1">
      <c r="B463" s="101"/>
    </row>
    <row r="464" ht="15.75" customHeight="1">
      <c r="B464" s="101"/>
    </row>
    <row r="465" ht="15.75" customHeight="1">
      <c r="B465" s="101"/>
    </row>
    <row r="466" ht="15.75" customHeight="1">
      <c r="B466" s="101"/>
    </row>
    <row r="467" ht="15.75" customHeight="1">
      <c r="B467" s="101"/>
    </row>
    <row r="468" ht="15.75" customHeight="1">
      <c r="B468" s="101"/>
    </row>
    <row r="469" ht="15.75" customHeight="1">
      <c r="B469" s="101"/>
    </row>
    <row r="470" ht="15.75" customHeight="1">
      <c r="B470" s="101"/>
    </row>
    <row r="471" ht="15.75" customHeight="1">
      <c r="B471" s="101"/>
    </row>
    <row r="472" ht="15.75" customHeight="1">
      <c r="B472" s="101"/>
    </row>
    <row r="473" ht="15.75" customHeight="1">
      <c r="B473" s="101"/>
    </row>
    <row r="474" ht="15.75" customHeight="1">
      <c r="B474" s="101"/>
    </row>
    <row r="475" ht="15.75" customHeight="1">
      <c r="B475" s="101"/>
    </row>
    <row r="476" ht="15.75" customHeight="1">
      <c r="B476" s="101"/>
    </row>
    <row r="477" ht="15.75" customHeight="1">
      <c r="B477" s="101"/>
    </row>
    <row r="478" ht="15.75" customHeight="1">
      <c r="B478" s="101"/>
    </row>
    <row r="479" ht="15.75" customHeight="1">
      <c r="B479" s="101"/>
    </row>
    <row r="480" ht="15.75" customHeight="1">
      <c r="B480" s="101"/>
    </row>
    <row r="481" ht="15.75" customHeight="1">
      <c r="B481" s="101"/>
    </row>
    <row r="482" ht="15.75" customHeight="1">
      <c r="B482" s="101"/>
    </row>
    <row r="483" ht="15.75" customHeight="1">
      <c r="B483" s="101"/>
    </row>
    <row r="484" ht="15.75" customHeight="1">
      <c r="B484" s="101"/>
    </row>
    <row r="485" ht="15.75" customHeight="1">
      <c r="B485" s="101"/>
    </row>
    <row r="486" ht="15.75" customHeight="1">
      <c r="B486" s="101"/>
    </row>
    <row r="487" ht="15.75" customHeight="1">
      <c r="B487" s="101"/>
    </row>
    <row r="488" ht="15.75" customHeight="1">
      <c r="B488" s="101"/>
    </row>
    <row r="489" ht="15.75" customHeight="1">
      <c r="B489" s="101"/>
    </row>
    <row r="490" ht="15.75" customHeight="1">
      <c r="B490" s="101"/>
    </row>
    <row r="491" ht="15.75" customHeight="1">
      <c r="B491" s="101"/>
    </row>
    <row r="492" ht="15.75" customHeight="1">
      <c r="B492" s="101"/>
    </row>
    <row r="493" ht="15.75" customHeight="1">
      <c r="B493" s="101"/>
    </row>
    <row r="494" ht="15.75" customHeight="1">
      <c r="B494" s="101"/>
    </row>
    <row r="495" ht="15.75" customHeight="1">
      <c r="B495" s="101"/>
    </row>
    <row r="496" ht="15.75" customHeight="1">
      <c r="B496" s="101"/>
    </row>
    <row r="497" ht="15.75" customHeight="1">
      <c r="B497" s="101"/>
    </row>
    <row r="498" ht="15.75" customHeight="1">
      <c r="B498" s="101"/>
    </row>
    <row r="499" ht="15.75" customHeight="1">
      <c r="B499" s="101"/>
    </row>
    <row r="500" ht="15.75" customHeight="1">
      <c r="B500" s="101"/>
    </row>
    <row r="501" ht="15.75" customHeight="1">
      <c r="B501" s="101"/>
    </row>
    <row r="502" ht="15.75" customHeight="1">
      <c r="B502" s="101"/>
    </row>
    <row r="503" ht="15.75" customHeight="1">
      <c r="B503" s="101"/>
    </row>
    <row r="504" ht="15.75" customHeight="1">
      <c r="B504" s="101"/>
    </row>
    <row r="505" ht="15.75" customHeight="1">
      <c r="B505" s="101"/>
    </row>
    <row r="506" ht="15.75" customHeight="1">
      <c r="B506" s="101"/>
    </row>
    <row r="507" ht="15.75" customHeight="1">
      <c r="B507" s="101"/>
    </row>
    <row r="508" ht="15.75" customHeight="1">
      <c r="B508" s="101"/>
    </row>
    <row r="509" ht="15.75" customHeight="1">
      <c r="B509" s="101"/>
    </row>
    <row r="510" ht="15.75" customHeight="1">
      <c r="B510" s="101"/>
    </row>
    <row r="511" ht="15.75" customHeight="1">
      <c r="B511" s="101"/>
    </row>
    <row r="512" ht="15.75" customHeight="1">
      <c r="B512" s="101"/>
    </row>
    <row r="513" ht="15.75" customHeight="1">
      <c r="B513" s="101"/>
    </row>
    <row r="514" ht="15.75" customHeight="1">
      <c r="B514" s="101"/>
    </row>
    <row r="515" ht="15.75" customHeight="1">
      <c r="B515" s="101"/>
    </row>
    <row r="516" ht="15.75" customHeight="1">
      <c r="B516" s="101"/>
    </row>
    <row r="517" ht="15.75" customHeight="1">
      <c r="B517" s="101"/>
    </row>
    <row r="518" ht="15.75" customHeight="1">
      <c r="B518" s="101"/>
    </row>
    <row r="519" ht="15.75" customHeight="1">
      <c r="B519" s="101"/>
    </row>
    <row r="520" ht="15.75" customHeight="1">
      <c r="B520" s="101"/>
    </row>
    <row r="521" ht="15.75" customHeight="1">
      <c r="B521" s="101"/>
    </row>
    <row r="522" ht="15.75" customHeight="1">
      <c r="B522" s="101"/>
    </row>
    <row r="523" ht="15.75" customHeight="1">
      <c r="B523" s="101"/>
    </row>
    <row r="524" ht="15.75" customHeight="1">
      <c r="B524" s="101"/>
    </row>
    <row r="525" ht="15.75" customHeight="1">
      <c r="B525" s="101"/>
    </row>
    <row r="526" ht="15.75" customHeight="1">
      <c r="B526" s="101"/>
    </row>
    <row r="527" ht="15.75" customHeight="1">
      <c r="B527" s="101"/>
    </row>
    <row r="528" ht="15.75" customHeight="1">
      <c r="B528" s="101"/>
    </row>
    <row r="529" ht="15.75" customHeight="1">
      <c r="B529" s="101"/>
    </row>
    <row r="530" ht="15.75" customHeight="1">
      <c r="B530" s="101"/>
    </row>
    <row r="531" ht="15.75" customHeight="1">
      <c r="B531" s="101"/>
    </row>
    <row r="532" ht="15.75" customHeight="1">
      <c r="B532" s="101"/>
    </row>
    <row r="533" ht="15.75" customHeight="1">
      <c r="B533" s="101"/>
    </row>
    <row r="534" ht="15.75" customHeight="1">
      <c r="B534" s="101"/>
    </row>
    <row r="535" ht="15.75" customHeight="1">
      <c r="B535" s="101"/>
    </row>
    <row r="536" ht="15.75" customHeight="1">
      <c r="B536" s="101"/>
    </row>
    <row r="537" ht="15.75" customHeight="1">
      <c r="B537" s="101"/>
    </row>
    <row r="538" ht="15.75" customHeight="1">
      <c r="B538" s="101"/>
    </row>
    <row r="539" ht="15.75" customHeight="1">
      <c r="B539" s="101"/>
    </row>
    <row r="540" ht="15.75" customHeight="1">
      <c r="B540" s="101"/>
    </row>
    <row r="541" ht="15.75" customHeight="1">
      <c r="B541" s="101"/>
    </row>
    <row r="542" ht="15.75" customHeight="1">
      <c r="B542" s="101"/>
    </row>
    <row r="543" ht="15.75" customHeight="1">
      <c r="B543" s="101"/>
    </row>
    <row r="544" ht="15.75" customHeight="1">
      <c r="B544" s="101"/>
    </row>
    <row r="545" ht="15.75" customHeight="1">
      <c r="B545" s="101"/>
    </row>
    <row r="546" ht="15.75" customHeight="1">
      <c r="B546" s="101"/>
    </row>
    <row r="547" ht="15.75" customHeight="1">
      <c r="B547" s="101"/>
    </row>
    <row r="548" ht="15.75" customHeight="1">
      <c r="B548" s="101"/>
    </row>
    <row r="549" ht="15.75" customHeight="1">
      <c r="B549" s="101"/>
    </row>
    <row r="550" ht="15.75" customHeight="1">
      <c r="B550" s="101"/>
    </row>
    <row r="551" ht="15.75" customHeight="1">
      <c r="B551" s="101"/>
    </row>
    <row r="552" ht="15.75" customHeight="1">
      <c r="B552" s="101"/>
    </row>
    <row r="553" ht="15.75" customHeight="1">
      <c r="B553" s="101"/>
    </row>
    <row r="554" ht="15.75" customHeight="1">
      <c r="B554" s="101"/>
    </row>
    <row r="555" ht="15.75" customHeight="1">
      <c r="B555" s="101"/>
    </row>
    <row r="556" ht="15.75" customHeight="1">
      <c r="B556" s="101"/>
    </row>
    <row r="557" ht="15.75" customHeight="1">
      <c r="B557" s="101"/>
    </row>
    <row r="558" ht="15.75" customHeight="1">
      <c r="B558" s="101"/>
    </row>
    <row r="559" ht="15.75" customHeight="1">
      <c r="B559" s="101"/>
    </row>
    <row r="560" ht="15.75" customHeight="1">
      <c r="B560" s="101"/>
    </row>
    <row r="561" ht="15.75" customHeight="1">
      <c r="B561" s="101"/>
    </row>
    <row r="562" ht="15.75" customHeight="1">
      <c r="B562" s="101"/>
    </row>
    <row r="563" ht="15.75" customHeight="1">
      <c r="B563" s="101"/>
    </row>
    <row r="564" ht="15.75" customHeight="1">
      <c r="B564" s="101"/>
    </row>
    <row r="565" ht="15.75" customHeight="1">
      <c r="B565" s="101"/>
    </row>
    <row r="566" ht="15.75" customHeight="1">
      <c r="B566" s="101"/>
    </row>
    <row r="567" ht="15.75" customHeight="1">
      <c r="B567" s="101"/>
    </row>
    <row r="568" ht="15.75" customHeight="1">
      <c r="B568" s="101"/>
    </row>
    <row r="569" ht="15.75" customHeight="1">
      <c r="B569" s="101"/>
    </row>
    <row r="570" ht="15.75" customHeight="1">
      <c r="B570" s="101"/>
    </row>
    <row r="571" ht="15.75" customHeight="1">
      <c r="B571" s="101"/>
    </row>
    <row r="572" ht="15.75" customHeight="1">
      <c r="B572" s="101"/>
    </row>
    <row r="573" ht="15.75" customHeight="1">
      <c r="B573" s="101"/>
    </row>
    <row r="574" ht="15.75" customHeight="1">
      <c r="B574" s="101"/>
    </row>
    <row r="575" ht="15.75" customHeight="1">
      <c r="B575" s="101"/>
    </row>
    <row r="576" ht="15.75" customHeight="1">
      <c r="B576" s="101"/>
    </row>
    <row r="577" ht="15.75" customHeight="1">
      <c r="B577" s="101"/>
    </row>
    <row r="578" ht="15.75" customHeight="1">
      <c r="B578" s="101"/>
    </row>
    <row r="579" ht="15.75" customHeight="1">
      <c r="B579" s="101"/>
    </row>
    <row r="580" ht="15.75" customHeight="1">
      <c r="B580" s="101"/>
    </row>
    <row r="581" ht="15.75" customHeight="1">
      <c r="B581" s="101"/>
    </row>
    <row r="582" ht="15.75" customHeight="1">
      <c r="B582" s="101"/>
    </row>
    <row r="583" ht="15.75" customHeight="1">
      <c r="B583" s="101"/>
    </row>
    <row r="584" ht="15.75" customHeight="1">
      <c r="B584" s="101"/>
    </row>
    <row r="585" ht="15.75" customHeight="1">
      <c r="B585" s="101"/>
    </row>
    <row r="586" ht="15.75" customHeight="1">
      <c r="B586" s="101"/>
    </row>
    <row r="587" ht="15.75" customHeight="1">
      <c r="B587" s="101"/>
    </row>
    <row r="588" ht="15.75" customHeight="1">
      <c r="B588" s="101"/>
    </row>
    <row r="589" ht="15.75" customHeight="1">
      <c r="B589" s="101"/>
    </row>
    <row r="590" ht="15.75" customHeight="1">
      <c r="B590" s="101"/>
    </row>
    <row r="591" ht="15.75" customHeight="1">
      <c r="B591" s="101"/>
    </row>
    <row r="592" ht="15.75" customHeight="1">
      <c r="B592" s="101"/>
    </row>
    <row r="593" ht="15.75" customHeight="1">
      <c r="B593" s="101"/>
    </row>
    <row r="594" ht="15.75" customHeight="1">
      <c r="B594" s="101"/>
    </row>
    <row r="595" ht="15.75" customHeight="1">
      <c r="B595" s="101"/>
    </row>
    <row r="596" ht="15.75" customHeight="1">
      <c r="B596" s="101"/>
    </row>
    <row r="597" ht="15.75" customHeight="1">
      <c r="B597" s="101"/>
    </row>
    <row r="598" ht="15.75" customHeight="1">
      <c r="B598" s="101"/>
    </row>
    <row r="599" ht="15.75" customHeight="1">
      <c r="B599" s="101"/>
    </row>
    <row r="600" ht="15.75" customHeight="1">
      <c r="B600" s="101"/>
    </row>
    <row r="601" ht="15.75" customHeight="1">
      <c r="B601" s="101"/>
    </row>
    <row r="602" ht="15.75" customHeight="1">
      <c r="B602" s="101"/>
    </row>
    <row r="603" ht="15.75" customHeight="1">
      <c r="B603" s="101"/>
    </row>
    <row r="604" ht="15.75" customHeight="1">
      <c r="B604" s="101"/>
    </row>
    <row r="605" ht="15.75" customHeight="1">
      <c r="B605" s="101"/>
    </row>
    <row r="606" ht="15.75" customHeight="1">
      <c r="B606" s="101"/>
    </row>
    <row r="607" ht="15.75" customHeight="1">
      <c r="B607" s="101"/>
    </row>
    <row r="608" ht="15.75" customHeight="1">
      <c r="B608" s="101"/>
    </row>
    <row r="609" ht="15.75" customHeight="1">
      <c r="B609" s="101"/>
    </row>
    <row r="610" ht="15.75" customHeight="1">
      <c r="B610" s="101"/>
    </row>
    <row r="611" ht="15.75" customHeight="1">
      <c r="B611" s="101"/>
    </row>
    <row r="612" ht="15.75" customHeight="1">
      <c r="B612" s="101"/>
    </row>
    <row r="613" ht="15.75" customHeight="1">
      <c r="B613" s="101"/>
    </row>
    <row r="614" ht="15.75" customHeight="1">
      <c r="B614" s="101"/>
    </row>
    <row r="615" ht="15.75" customHeight="1">
      <c r="B615" s="101"/>
    </row>
    <row r="616" ht="15.75" customHeight="1">
      <c r="B616" s="101"/>
    </row>
    <row r="617" ht="15.75" customHeight="1">
      <c r="B617" s="101"/>
    </row>
    <row r="618" ht="15.75" customHeight="1">
      <c r="B618" s="101"/>
    </row>
    <row r="619" ht="15.75" customHeight="1">
      <c r="B619" s="101"/>
    </row>
    <row r="620" ht="15.75" customHeight="1">
      <c r="B620" s="101"/>
    </row>
    <row r="621" ht="15.75" customHeight="1">
      <c r="B621" s="101"/>
    </row>
    <row r="622" ht="15.75" customHeight="1">
      <c r="B622" s="101"/>
    </row>
    <row r="623" ht="15.75" customHeight="1">
      <c r="B623" s="101"/>
    </row>
    <row r="624" ht="15.75" customHeight="1">
      <c r="B624" s="101"/>
    </row>
    <row r="625" ht="15.75" customHeight="1">
      <c r="B625" s="101"/>
    </row>
    <row r="626" ht="15.75" customHeight="1">
      <c r="B626" s="101"/>
    </row>
    <row r="627" ht="15.75" customHeight="1">
      <c r="B627" s="101"/>
    </row>
    <row r="628" ht="15.75" customHeight="1">
      <c r="B628" s="101"/>
    </row>
    <row r="629" ht="15.75" customHeight="1">
      <c r="B629" s="101"/>
    </row>
    <row r="630" ht="15.75" customHeight="1">
      <c r="B630" s="101"/>
    </row>
    <row r="631" ht="15.75" customHeight="1">
      <c r="B631" s="101"/>
    </row>
    <row r="632" ht="15.75" customHeight="1">
      <c r="B632" s="101"/>
    </row>
    <row r="633" ht="15.75" customHeight="1">
      <c r="B633" s="101"/>
    </row>
    <row r="634" ht="15.75" customHeight="1">
      <c r="B634" s="101"/>
    </row>
    <row r="635" ht="15.75" customHeight="1">
      <c r="B635" s="101"/>
    </row>
    <row r="636" ht="15.75" customHeight="1">
      <c r="B636" s="101"/>
    </row>
    <row r="637" ht="15.75" customHeight="1">
      <c r="B637" s="101"/>
    </row>
    <row r="638" ht="15.75" customHeight="1">
      <c r="B638" s="101"/>
    </row>
    <row r="639" ht="15.75" customHeight="1">
      <c r="B639" s="101"/>
    </row>
    <row r="640" ht="15.75" customHeight="1">
      <c r="B640" s="101"/>
    </row>
    <row r="641" ht="15.75" customHeight="1">
      <c r="B641" s="101"/>
    </row>
    <row r="642" ht="15.75" customHeight="1">
      <c r="B642" s="101"/>
    </row>
    <row r="643" ht="15.75" customHeight="1">
      <c r="B643" s="101"/>
    </row>
    <row r="644" ht="15.75" customHeight="1">
      <c r="B644" s="101"/>
    </row>
    <row r="645" ht="15.75" customHeight="1">
      <c r="B645" s="101"/>
    </row>
    <row r="646" ht="15.75" customHeight="1">
      <c r="B646" s="101"/>
    </row>
    <row r="647" ht="15.75" customHeight="1">
      <c r="B647" s="101"/>
    </row>
    <row r="648" ht="15.75" customHeight="1">
      <c r="B648" s="101"/>
    </row>
    <row r="649" ht="15.75" customHeight="1">
      <c r="B649" s="101"/>
    </row>
    <row r="650" ht="15.75" customHeight="1">
      <c r="B650" s="101"/>
    </row>
    <row r="651" ht="15.75" customHeight="1">
      <c r="B651" s="101"/>
    </row>
    <row r="652" ht="15.75" customHeight="1">
      <c r="B652" s="101"/>
    </row>
    <row r="653" ht="15.75" customHeight="1">
      <c r="B653" s="101"/>
    </row>
    <row r="654" ht="15.75" customHeight="1">
      <c r="B654" s="101"/>
    </row>
    <row r="655" ht="15.75" customHeight="1">
      <c r="B655" s="101"/>
    </row>
    <row r="656" ht="15.75" customHeight="1">
      <c r="B656" s="101"/>
    </row>
    <row r="657" ht="15.75" customHeight="1">
      <c r="B657" s="101"/>
    </row>
    <row r="658" ht="15.75" customHeight="1">
      <c r="B658" s="101"/>
    </row>
    <row r="659" ht="15.75" customHeight="1">
      <c r="B659" s="101"/>
    </row>
    <row r="660" ht="15.75" customHeight="1">
      <c r="B660" s="101"/>
    </row>
    <row r="661" ht="15.75" customHeight="1">
      <c r="B661" s="101"/>
    </row>
    <row r="662" ht="15.75" customHeight="1">
      <c r="B662" s="101"/>
    </row>
    <row r="663" ht="15.75" customHeight="1">
      <c r="B663" s="101"/>
    </row>
    <row r="664" ht="15.75" customHeight="1">
      <c r="B664" s="101"/>
    </row>
    <row r="665" ht="15.75" customHeight="1">
      <c r="B665" s="101"/>
    </row>
    <row r="666" ht="15.75" customHeight="1">
      <c r="B666" s="101"/>
    </row>
    <row r="667" ht="15.75" customHeight="1">
      <c r="B667" s="101"/>
    </row>
    <row r="668" ht="15.75" customHeight="1">
      <c r="B668" s="101"/>
    </row>
    <row r="669" ht="15.75" customHeight="1">
      <c r="B669" s="101"/>
    </row>
    <row r="670" ht="15.75" customHeight="1">
      <c r="B670" s="101"/>
    </row>
    <row r="671" ht="15.75" customHeight="1">
      <c r="B671" s="101"/>
    </row>
    <row r="672" ht="15.75" customHeight="1">
      <c r="B672" s="101"/>
    </row>
    <row r="673" ht="15.75" customHeight="1">
      <c r="B673" s="101"/>
    </row>
    <row r="674" ht="15.75" customHeight="1">
      <c r="B674" s="101"/>
    </row>
    <row r="675" ht="15.75" customHeight="1">
      <c r="B675" s="101"/>
    </row>
    <row r="676" ht="15.75" customHeight="1">
      <c r="B676" s="101"/>
    </row>
    <row r="677" ht="15.75" customHeight="1">
      <c r="B677" s="101"/>
    </row>
    <row r="678" ht="15.75" customHeight="1">
      <c r="B678" s="101"/>
    </row>
    <row r="679" ht="15.75" customHeight="1">
      <c r="B679" s="101"/>
    </row>
    <row r="680" ht="15.75" customHeight="1">
      <c r="B680" s="101"/>
    </row>
    <row r="681" ht="15.75" customHeight="1">
      <c r="B681" s="101"/>
    </row>
    <row r="682" ht="15.75" customHeight="1">
      <c r="B682" s="101"/>
    </row>
    <row r="683" ht="15.75" customHeight="1">
      <c r="B683" s="101"/>
    </row>
    <row r="684" ht="15.75" customHeight="1">
      <c r="B684" s="101"/>
    </row>
    <row r="685" ht="15.75" customHeight="1">
      <c r="B685" s="101"/>
    </row>
    <row r="686" ht="15.75" customHeight="1">
      <c r="B686" s="101"/>
    </row>
    <row r="687" ht="15.75" customHeight="1">
      <c r="B687" s="101"/>
    </row>
    <row r="688" ht="15.75" customHeight="1">
      <c r="B688" s="101"/>
    </row>
    <row r="689" ht="15.75" customHeight="1">
      <c r="B689" s="101"/>
    </row>
    <row r="690" ht="15.75" customHeight="1">
      <c r="B690" s="101"/>
    </row>
    <row r="691" ht="15.75" customHeight="1">
      <c r="B691" s="101"/>
    </row>
    <row r="692" ht="15.75" customHeight="1">
      <c r="B692" s="101"/>
    </row>
    <row r="693" ht="15.75" customHeight="1">
      <c r="B693" s="101"/>
    </row>
    <row r="694" ht="15.75" customHeight="1">
      <c r="B694" s="101"/>
    </row>
    <row r="695" ht="15.75" customHeight="1">
      <c r="B695" s="101"/>
    </row>
    <row r="696" ht="15.75" customHeight="1">
      <c r="B696" s="101"/>
    </row>
    <row r="697" ht="15.75" customHeight="1">
      <c r="B697" s="101"/>
    </row>
    <row r="698" ht="15.75" customHeight="1">
      <c r="B698" s="101"/>
    </row>
    <row r="699" ht="15.75" customHeight="1">
      <c r="B699" s="101"/>
    </row>
    <row r="700" ht="15.75" customHeight="1">
      <c r="B700" s="101"/>
    </row>
    <row r="701" ht="15.75" customHeight="1">
      <c r="B701" s="101"/>
    </row>
    <row r="702" ht="15.75" customHeight="1">
      <c r="B702" s="101"/>
    </row>
    <row r="703" ht="15.75" customHeight="1">
      <c r="B703" s="101"/>
    </row>
    <row r="704" ht="15.75" customHeight="1">
      <c r="B704" s="101"/>
    </row>
    <row r="705" ht="15.75" customHeight="1">
      <c r="B705" s="101"/>
    </row>
    <row r="706" ht="15.75" customHeight="1">
      <c r="B706" s="101"/>
    </row>
    <row r="707" ht="15.75" customHeight="1">
      <c r="B707" s="101"/>
    </row>
    <row r="708" ht="15.75" customHeight="1">
      <c r="B708" s="101"/>
    </row>
    <row r="709" ht="15.75" customHeight="1">
      <c r="B709" s="101"/>
    </row>
    <row r="710" ht="15.75" customHeight="1">
      <c r="B710" s="101"/>
    </row>
    <row r="711" ht="15.75" customHeight="1">
      <c r="B711" s="101"/>
    </row>
    <row r="712" ht="15.75" customHeight="1">
      <c r="B712" s="101"/>
    </row>
    <row r="713" ht="15.75" customHeight="1">
      <c r="B713" s="101"/>
    </row>
    <row r="714" ht="15.75" customHeight="1">
      <c r="B714" s="101"/>
    </row>
    <row r="715" ht="15.75" customHeight="1">
      <c r="B715" s="101"/>
    </row>
    <row r="716" ht="15.75" customHeight="1">
      <c r="B716" s="101"/>
    </row>
    <row r="717" ht="15.75" customHeight="1">
      <c r="B717" s="101"/>
    </row>
    <row r="718" ht="15.75" customHeight="1">
      <c r="B718" s="101"/>
    </row>
    <row r="719" ht="15.75" customHeight="1">
      <c r="B719" s="101"/>
    </row>
    <row r="720" ht="15.75" customHeight="1">
      <c r="B720" s="101"/>
    </row>
    <row r="721" ht="15.75" customHeight="1">
      <c r="B721" s="101"/>
    </row>
    <row r="722" ht="15.75" customHeight="1">
      <c r="B722" s="101"/>
    </row>
    <row r="723" ht="15.75" customHeight="1">
      <c r="B723" s="101"/>
    </row>
    <row r="724" ht="15.75" customHeight="1">
      <c r="B724" s="101"/>
    </row>
    <row r="725" ht="15.75" customHeight="1">
      <c r="B725" s="101"/>
    </row>
    <row r="726" ht="15.75" customHeight="1">
      <c r="B726" s="101"/>
    </row>
    <row r="727" ht="15.75" customHeight="1">
      <c r="B727" s="101"/>
    </row>
    <row r="728" ht="15.75" customHeight="1">
      <c r="B728" s="101"/>
    </row>
    <row r="729" ht="15.75" customHeight="1">
      <c r="B729" s="101"/>
    </row>
    <row r="730" ht="15.75" customHeight="1">
      <c r="B730" s="101"/>
    </row>
    <row r="731" ht="15.75" customHeight="1">
      <c r="B731" s="101"/>
    </row>
    <row r="732" ht="15.75" customHeight="1">
      <c r="B732" s="101"/>
    </row>
    <row r="733" ht="15.75" customHeight="1">
      <c r="B733" s="101"/>
    </row>
    <row r="734" ht="15.75" customHeight="1">
      <c r="B734" s="101"/>
    </row>
    <row r="735" ht="15.75" customHeight="1">
      <c r="B735" s="101"/>
    </row>
    <row r="736" ht="15.75" customHeight="1">
      <c r="B736" s="101"/>
    </row>
    <row r="737" ht="15.75" customHeight="1">
      <c r="B737" s="101"/>
    </row>
    <row r="738" ht="15.75" customHeight="1">
      <c r="B738" s="101"/>
    </row>
    <row r="739" ht="15.75" customHeight="1">
      <c r="B739" s="101"/>
    </row>
    <row r="740" ht="15.75" customHeight="1">
      <c r="B740" s="101"/>
    </row>
    <row r="741" ht="15.75" customHeight="1">
      <c r="B741" s="101"/>
    </row>
    <row r="742" ht="15.75" customHeight="1">
      <c r="B742" s="101"/>
    </row>
    <row r="743" ht="15.75" customHeight="1">
      <c r="B743" s="101"/>
    </row>
    <row r="744" ht="15.75" customHeight="1">
      <c r="B744" s="101"/>
    </row>
    <row r="745" ht="15.75" customHeight="1">
      <c r="B745" s="101"/>
    </row>
    <row r="746" ht="15.75" customHeight="1">
      <c r="B746" s="101"/>
    </row>
    <row r="747" ht="15.75" customHeight="1">
      <c r="B747" s="101"/>
    </row>
    <row r="748" ht="15.75" customHeight="1">
      <c r="B748" s="101"/>
    </row>
    <row r="749" ht="15.75" customHeight="1">
      <c r="B749" s="101"/>
    </row>
    <row r="750" ht="15.75" customHeight="1">
      <c r="B750" s="101"/>
    </row>
    <row r="751" ht="15.75" customHeight="1">
      <c r="B751" s="101"/>
    </row>
    <row r="752" ht="15.75" customHeight="1">
      <c r="B752" s="101"/>
    </row>
    <row r="753" ht="15.75" customHeight="1">
      <c r="B753" s="101"/>
    </row>
    <row r="754" ht="15.75" customHeight="1">
      <c r="B754" s="101"/>
    </row>
    <row r="755" ht="15.75" customHeight="1">
      <c r="B755" s="101"/>
    </row>
    <row r="756" ht="15.75" customHeight="1">
      <c r="B756" s="101"/>
    </row>
    <row r="757" ht="15.75" customHeight="1">
      <c r="B757" s="101"/>
    </row>
    <row r="758" ht="15.75" customHeight="1">
      <c r="B758" s="101"/>
    </row>
    <row r="759" ht="15.75" customHeight="1">
      <c r="B759" s="101"/>
    </row>
    <row r="760" ht="15.75" customHeight="1">
      <c r="B760" s="101"/>
    </row>
    <row r="761" ht="15.75" customHeight="1">
      <c r="B761" s="101"/>
    </row>
    <row r="762" ht="15.75" customHeight="1">
      <c r="B762" s="101"/>
    </row>
    <row r="763" ht="15.75" customHeight="1">
      <c r="B763" s="101"/>
    </row>
    <row r="764" ht="15.75" customHeight="1">
      <c r="B764" s="101"/>
    </row>
    <row r="765" ht="15.75" customHeight="1">
      <c r="B765" s="101"/>
    </row>
    <row r="766" ht="15.75" customHeight="1">
      <c r="B766" s="101"/>
    </row>
    <row r="767" ht="15.75" customHeight="1">
      <c r="B767" s="101"/>
    </row>
    <row r="768" ht="15.75" customHeight="1">
      <c r="B768" s="101"/>
    </row>
    <row r="769" ht="15.75" customHeight="1">
      <c r="B769" s="101"/>
    </row>
    <row r="770" ht="15.75" customHeight="1">
      <c r="B770" s="101"/>
    </row>
    <row r="771" ht="15.75" customHeight="1">
      <c r="B771" s="101"/>
    </row>
    <row r="772" ht="15.75" customHeight="1">
      <c r="B772" s="101"/>
    </row>
    <row r="773" ht="15.75" customHeight="1">
      <c r="B773" s="101"/>
    </row>
    <row r="774" ht="15.75" customHeight="1">
      <c r="B774" s="101"/>
    </row>
    <row r="775" ht="15.75" customHeight="1">
      <c r="B775" s="101"/>
    </row>
    <row r="776" ht="15.75" customHeight="1">
      <c r="B776" s="101"/>
    </row>
    <row r="777" ht="15.75" customHeight="1">
      <c r="B777" s="101"/>
    </row>
    <row r="778" ht="15.75" customHeight="1">
      <c r="B778" s="101"/>
    </row>
    <row r="779" ht="15.75" customHeight="1">
      <c r="B779" s="101"/>
    </row>
    <row r="780" ht="15.75" customHeight="1">
      <c r="B780" s="101"/>
    </row>
    <row r="781" ht="15.75" customHeight="1">
      <c r="B781" s="101"/>
    </row>
    <row r="782" ht="15.75" customHeight="1">
      <c r="B782" s="101"/>
    </row>
    <row r="783" ht="15.75" customHeight="1">
      <c r="B783" s="101"/>
    </row>
    <row r="784" ht="15.75" customHeight="1">
      <c r="B784" s="101"/>
    </row>
    <row r="785" ht="15.75" customHeight="1">
      <c r="B785" s="101"/>
    </row>
    <row r="786" ht="15.75" customHeight="1">
      <c r="B786" s="101"/>
    </row>
    <row r="787" ht="15.75" customHeight="1">
      <c r="B787" s="101"/>
    </row>
    <row r="788" ht="15.75" customHeight="1">
      <c r="B788" s="101"/>
    </row>
    <row r="789" ht="15.75" customHeight="1">
      <c r="B789" s="101"/>
    </row>
    <row r="790" ht="15.75" customHeight="1">
      <c r="B790" s="101"/>
    </row>
    <row r="791" ht="15.75" customHeight="1">
      <c r="B791" s="101"/>
    </row>
    <row r="792" ht="15.75" customHeight="1">
      <c r="B792" s="101"/>
    </row>
    <row r="793" ht="15.75" customHeight="1">
      <c r="B793" s="101"/>
    </row>
    <row r="794" ht="15.75" customHeight="1">
      <c r="B794" s="101"/>
    </row>
    <row r="795" ht="15.75" customHeight="1">
      <c r="B795" s="101"/>
    </row>
    <row r="796" ht="15.75" customHeight="1">
      <c r="B796" s="101"/>
    </row>
    <row r="797" ht="15.75" customHeight="1">
      <c r="B797" s="101"/>
    </row>
    <row r="798" ht="15.75" customHeight="1">
      <c r="B798" s="101"/>
    </row>
    <row r="799" ht="15.75" customHeight="1">
      <c r="B799" s="101"/>
    </row>
    <row r="800" ht="15.75" customHeight="1">
      <c r="B800" s="101"/>
    </row>
    <row r="801" ht="15.75" customHeight="1">
      <c r="B801" s="101"/>
    </row>
    <row r="802" ht="15.75" customHeight="1">
      <c r="B802" s="101"/>
    </row>
    <row r="803" ht="15.75" customHeight="1">
      <c r="B803" s="101"/>
    </row>
    <row r="804" ht="15.75" customHeight="1">
      <c r="B804" s="101"/>
    </row>
    <row r="805" ht="15.75" customHeight="1">
      <c r="B805" s="101"/>
    </row>
    <row r="806" ht="15.75" customHeight="1">
      <c r="B806" s="101"/>
    </row>
    <row r="807" ht="15.75" customHeight="1">
      <c r="B807" s="101"/>
    </row>
    <row r="808" ht="15.75" customHeight="1">
      <c r="B808" s="101"/>
    </row>
    <row r="809" ht="15.75" customHeight="1">
      <c r="B809" s="101"/>
    </row>
    <row r="810" ht="15.75" customHeight="1">
      <c r="B810" s="101"/>
    </row>
    <row r="811" ht="15.75" customHeight="1">
      <c r="B811" s="101"/>
    </row>
    <row r="812" ht="15.75" customHeight="1">
      <c r="B812" s="101"/>
    </row>
    <row r="813" ht="15.75" customHeight="1">
      <c r="B813" s="101"/>
    </row>
    <row r="814" ht="15.75" customHeight="1">
      <c r="B814" s="101"/>
    </row>
    <row r="815" ht="15.75" customHeight="1">
      <c r="B815" s="101"/>
    </row>
    <row r="816" ht="15.75" customHeight="1">
      <c r="B816" s="101"/>
    </row>
    <row r="817" ht="15.75" customHeight="1">
      <c r="B817" s="101"/>
    </row>
    <row r="818" ht="15.75" customHeight="1">
      <c r="B818" s="101"/>
    </row>
    <row r="819" ht="15.75" customHeight="1">
      <c r="B819" s="101"/>
    </row>
    <row r="820" ht="15.75" customHeight="1">
      <c r="B820" s="101"/>
    </row>
    <row r="821" ht="15.75" customHeight="1">
      <c r="B821" s="101"/>
    </row>
    <row r="822" ht="15.75" customHeight="1">
      <c r="B822" s="101"/>
    </row>
    <row r="823" ht="15.75" customHeight="1">
      <c r="B823" s="101"/>
    </row>
    <row r="824" ht="15.75" customHeight="1">
      <c r="B824" s="101"/>
    </row>
    <row r="825" ht="15.75" customHeight="1">
      <c r="B825" s="101"/>
    </row>
    <row r="826" ht="15.75" customHeight="1">
      <c r="B826" s="101"/>
    </row>
    <row r="827" ht="15.75" customHeight="1">
      <c r="B827" s="101"/>
    </row>
    <row r="828" ht="15.75" customHeight="1">
      <c r="B828" s="101"/>
    </row>
    <row r="829" ht="15.75" customHeight="1">
      <c r="B829" s="101"/>
    </row>
    <row r="830" ht="15.75" customHeight="1">
      <c r="B830" s="101"/>
    </row>
    <row r="831" ht="15.75" customHeight="1">
      <c r="B831" s="101"/>
    </row>
    <row r="832" ht="15.75" customHeight="1">
      <c r="B832" s="101"/>
    </row>
    <row r="833" ht="15.75" customHeight="1">
      <c r="B833" s="101"/>
    </row>
    <row r="834" ht="15.75" customHeight="1">
      <c r="B834" s="101"/>
    </row>
    <row r="835" ht="15.75" customHeight="1">
      <c r="B835" s="101"/>
    </row>
    <row r="836" ht="15.75" customHeight="1">
      <c r="B836" s="101"/>
    </row>
    <row r="837" ht="15.75" customHeight="1">
      <c r="B837" s="101"/>
    </row>
    <row r="838" ht="15.75" customHeight="1">
      <c r="B838" s="101"/>
    </row>
    <row r="839" ht="15.75" customHeight="1">
      <c r="B839" s="101"/>
    </row>
    <row r="840" ht="15.75" customHeight="1">
      <c r="B840" s="101"/>
    </row>
    <row r="841" ht="15.75" customHeight="1">
      <c r="B841" s="101"/>
    </row>
    <row r="842" ht="15.75" customHeight="1">
      <c r="B842" s="101"/>
    </row>
    <row r="843" ht="15.75" customHeight="1">
      <c r="B843" s="101"/>
    </row>
    <row r="844" ht="15.75" customHeight="1">
      <c r="B844" s="101"/>
    </row>
    <row r="845" ht="15.75" customHeight="1">
      <c r="B845" s="101"/>
    </row>
    <row r="846" ht="15.75" customHeight="1">
      <c r="B846" s="101"/>
    </row>
    <row r="847" ht="15.75" customHeight="1">
      <c r="B847" s="101"/>
    </row>
    <row r="848" ht="15.75" customHeight="1">
      <c r="B848" s="101"/>
    </row>
    <row r="849" ht="15.75" customHeight="1">
      <c r="B849" s="101"/>
    </row>
    <row r="850" ht="15.75" customHeight="1">
      <c r="B850" s="101"/>
    </row>
    <row r="851" ht="15.75" customHeight="1">
      <c r="B851" s="101"/>
    </row>
    <row r="852" ht="15.75" customHeight="1">
      <c r="B852" s="101"/>
    </row>
    <row r="853" ht="15.75" customHeight="1">
      <c r="B853" s="101"/>
    </row>
    <row r="854" ht="15.75" customHeight="1">
      <c r="B854" s="101"/>
    </row>
    <row r="855" ht="15.75" customHeight="1">
      <c r="B855" s="101"/>
    </row>
    <row r="856" ht="15.75" customHeight="1">
      <c r="B856" s="101"/>
    </row>
    <row r="857" ht="15.75" customHeight="1">
      <c r="B857" s="101"/>
    </row>
    <row r="858" ht="15.75" customHeight="1">
      <c r="B858" s="101"/>
    </row>
    <row r="859" ht="15.75" customHeight="1">
      <c r="B859" s="101"/>
    </row>
    <row r="860" ht="15.75" customHeight="1">
      <c r="B860" s="101"/>
    </row>
    <row r="861" ht="15.75" customHeight="1">
      <c r="B861" s="101"/>
    </row>
    <row r="862" ht="15.75" customHeight="1">
      <c r="B862" s="101"/>
    </row>
    <row r="863" ht="15.75" customHeight="1">
      <c r="B863" s="101"/>
    </row>
    <row r="864" ht="15.75" customHeight="1">
      <c r="B864" s="101"/>
    </row>
    <row r="865" ht="15.75" customHeight="1">
      <c r="B865" s="101"/>
    </row>
    <row r="866" ht="15.75" customHeight="1">
      <c r="B866" s="101"/>
    </row>
    <row r="867" ht="15.75" customHeight="1">
      <c r="B867" s="101"/>
    </row>
    <row r="868" ht="15.75" customHeight="1">
      <c r="B868" s="101"/>
    </row>
    <row r="869" ht="15.75" customHeight="1">
      <c r="B869" s="101"/>
    </row>
    <row r="870" ht="15.75" customHeight="1">
      <c r="B870" s="101"/>
    </row>
    <row r="871" ht="15.75" customHeight="1">
      <c r="B871" s="101"/>
    </row>
    <row r="872" ht="15.75" customHeight="1">
      <c r="B872" s="101"/>
    </row>
    <row r="873" ht="15.75" customHeight="1">
      <c r="B873" s="101"/>
    </row>
    <row r="874" ht="15.75" customHeight="1">
      <c r="B874" s="101"/>
    </row>
    <row r="875" ht="15.75" customHeight="1">
      <c r="B875" s="101"/>
    </row>
    <row r="876" ht="15.75" customHeight="1">
      <c r="B876" s="101"/>
    </row>
    <row r="877" ht="15.75" customHeight="1">
      <c r="B877" s="101"/>
    </row>
    <row r="878" ht="15.75" customHeight="1">
      <c r="B878" s="101"/>
    </row>
    <row r="879" ht="15.75" customHeight="1">
      <c r="B879" s="101"/>
    </row>
    <row r="880" ht="15.75" customHeight="1">
      <c r="B880" s="101"/>
    </row>
    <row r="881" ht="15.75" customHeight="1">
      <c r="B881" s="101"/>
    </row>
    <row r="882" ht="15.75" customHeight="1">
      <c r="B882" s="101"/>
    </row>
    <row r="883" ht="15.75" customHeight="1">
      <c r="B883" s="101"/>
    </row>
    <row r="884" ht="15.75" customHeight="1">
      <c r="B884" s="101"/>
    </row>
    <row r="885" ht="15.75" customHeight="1">
      <c r="B885" s="101"/>
    </row>
    <row r="886" ht="15.75" customHeight="1">
      <c r="B886" s="101"/>
    </row>
    <row r="887" ht="15.75" customHeight="1">
      <c r="B887" s="101"/>
    </row>
    <row r="888" ht="15.75" customHeight="1">
      <c r="B888" s="101"/>
    </row>
    <row r="889" ht="15.75" customHeight="1">
      <c r="B889" s="101"/>
    </row>
    <row r="890" ht="15.75" customHeight="1">
      <c r="B890" s="101"/>
    </row>
    <row r="891" ht="15.75" customHeight="1">
      <c r="B891" s="101"/>
    </row>
    <row r="892" ht="15.75" customHeight="1">
      <c r="B892" s="101"/>
    </row>
    <row r="893" ht="15.75" customHeight="1">
      <c r="B893" s="101"/>
    </row>
    <row r="894" ht="15.75" customHeight="1">
      <c r="B894" s="101"/>
    </row>
    <row r="895" ht="15.75" customHeight="1">
      <c r="B895" s="101"/>
    </row>
    <row r="896" ht="15.75" customHeight="1">
      <c r="B896" s="101"/>
    </row>
    <row r="897" ht="15.75" customHeight="1">
      <c r="B897" s="101"/>
    </row>
    <row r="898" ht="15.75" customHeight="1">
      <c r="B898" s="101"/>
    </row>
    <row r="899" ht="15.75" customHeight="1">
      <c r="B899" s="101"/>
    </row>
    <row r="900" ht="15.75" customHeight="1">
      <c r="B900" s="101"/>
    </row>
    <row r="901" ht="15.75" customHeight="1">
      <c r="B901" s="101"/>
    </row>
    <row r="902" ht="15.75" customHeight="1">
      <c r="B902" s="101"/>
    </row>
    <row r="903" ht="15.75" customHeight="1">
      <c r="B903" s="101"/>
    </row>
    <row r="904" ht="15.75" customHeight="1">
      <c r="B904" s="101"/>
    </row>
    <row r="905" ht="15.75" customHeight="1">
      <c r="B905" s="101"/>
    </row>
    <row r="906" ht="15.75" customHeight="1">
      <c r="B906" s="101"/>
    </row>
    <row r="907" ht="15.75" customHeight="1">
      <c r="B907" s="101"/>
    </row>
    <row r="908" ht="15.75" customHeight="1">
      <c r="B908" s="101"/>
    </row>
    <row r="909" ht="15.75" customHeight="1">
      <c r="B909" s="101"/>
    </row>
    <row r="910" ht="15.75" customHeight="1">
      <c r="B910" s="101"/>
    </row>
    <row r="911" ht="15.75" customHeight="1">
      <c r="B911" s="101"/>
    </row>
    <row r="912" ht="15.75" customHeight="1">
      <c r="B912" s="101"/>
    </row>
    <row r="913" ht="15.75" customHeight="1">
      <c r="B913" s="101"/>
    </row>
    <row r="914" ht="15.75" customHeight="1">
      <c r="B914" s="101"/>
    </row>
    <row r="915" ht="15.75" customHeight="1">
      <c r="B915" s="101"/>
    </row>
    <row r="916" ht="15.75" customHeight="1">
      <c r="B916" s="101"/>
    </row>
    <row r="917" ht="15.75" customHeight="1">
      <c r="B917" s="101"/>
    </row>
    <row r="918" ht="15.75" customHeight="1">
      <c r="B918" s="101"/>
    </row>
    <row r="919" ht="15.75" customHeight="1">
      <c r="B919" s="101"/>
    </row>
    <row r="920" ht="15.75" customHeight="1">
      <c r="B920" s="101"/>
    </row>
    <row r="921" ht="15.75" customHeight="1">
      <c r="B921" s="101"/>
    </row>
    <row r="922" ht="15.75" customHeight="1">
      <c r="B922" s="101"/>
    </row>
    <row r="923" ht="15.75" customHeight="1">
      <c r="B923" s="101"/>
    </row>
    <row r="924" ht="15.75" customHeight="1">
      <c r="B924" s="101"/>
    </row>
    <row r="925" ht="15.75" customHeight="1">
      <c r="B925" s="101"/>
    </row>
    <row r="926" ht="15.75" customHeight="1">
      <c r="B926" s="101"/>
    </row>
    <row r="927" ht="15.75" customHeight="1">
      <c r="B927" s="101"/>
    </row>
    <row r="928" ht="15.75" customHeight="1">
      <c r="B928" s="101"/>
    </row>
    <row r="929" ht="15.75" customHeight="1">
      <c r="B929" s="101"/>
    </row>
    <row r="930" ht="15.75" customHeight="1">
      <c r="B930" s="101"/>
    </row>
    <row r="931" ht="15.75" customHeight="1">
      <c r="B931" s="101"/>
    </row>
    <row r="932" ht="15.75" customHeight="1">
      <c r="B932" s="101"/>
    </row>
    <row r="933" ht="15.75" customHeight="1">
      <c r="B933" s="101"/>
    </row>
    <row r="934" ht="15.75" customHeight="1">
      <c r="B934" s="101"/>
    </row>
    <row r="935" ht="15.75" customHeight="1">
      <c r="B935" s="101"/>
    </row>
    <row r="936" ht="15.75" customHeight="1">
      <c r="B936" s="101"/>
    </row>
    <row r="937" ht="15.75" customHeight="1">
      <c r="B937" s="101"/>
    </row>
    <row r="938" ht="15.75" customHeight="1">
      <c r="B938" s="101"/>
    </row>
    <row r="939" ht="15.75" customHeight="1">
      <c r="B939" s="101"/>
    </row>
    <row r="940" ht="15.75" customHeight="1">
      <c r="B940" s="101"/>
    </row>
    <row r="941" ht="15.75" customHeight="1">
      <c r="B941" s="101"/>
    </row>
    <row r="942" ht="15.75" customHeight="1">
      <c r="B942" s="101"/>
    </row>
    <row r="943" ht="15.75" customHeight="1">
      <c r="B943" s="101"/>
    </row>
    <row r="944" ht="15.75" customHeight="1">
      <c r="B944" s="101"/>
    </row>
    <row r="945" ht="15.75" customHeight="1">
      <c r="B945" s="101"/>
    </row>
    <row r="946" ht="15.75" customHeight="1">
      <c r="B946" s="101"/>
    </row>
    <row r="947" ht="15.75" customHeight="1">
      <c r="B947" s="101"/>
    </row>
    <row r="948" ht="15.75" customHeight="1">
      <c r="B948" s="101"/>
    </row>
    <row r="949" ht="15.75" customHeight="1">
      <c r="B949" s="101"/>
    </row>
    <row r="950" ht="15.75" customHeight="1">
      <c r="B950" s="101"/>
    </row>
    <row r="951" ht="15.75" customHeight="1">
      <c r="B951" s="101"/>
    </row>
    <row r="952" ht="15.75" customHeight="1">
      <c r="B952" s="101"/>
    </row>
    <row r="953" ht="15.75" customHeight="1">
      <c r="B953" s="101"/>
    </row>
    <row r="954" ht="15.75" customHeight="1">
      <c r="B954" s="101"/>
    </row>
    <row r="955" ht="15.75" customHeight="1">
      <c r="B955" s="101"/>
    </row>
    <row r="956" ht="15.75" customHeight="1">
      <c r="B956" s="101"/>
    </row>
    <row r="957" ht="15.75" customHeight="1">
      <c r="B957" s="101"/>
    </row>
    <row r="958" ht="15.75" customHeight="1">
      <c r="B958" s="101"/>
    </row>
    <row r="959" ht="15.75" customHeight="1">
      <c r="B959" s="101"/>
    </row>
    <row r="960" ht="15.75" customHeight="1">
      <c r="B960" s="101"/>
    </row>
    <row r="961" ht="15.75" customHeight="1">
      <c r="B961" s="101"/>
    </row>
    <row r="962" ht="15.75" customHeight="1">
      <c r="B962" s="101"/>
    </row>
    <row r="963" ht="15.75" customHeight="1">
      <c r="B963" s="101"/>
    </row>
    <row r="964" ht="15.75" customHeight="1">
      <c r="B964" s="101"/>
    </row>
    <row r="965" ht="15.75" customHeight="1">
      <c r="B965" s="101"/>
    </row>
    <row r="966" ht="15.75" customHeight="1">
      <c r="B966" s="101"/>
    </row>
    <row r="967" ht="15.75" customHeight="1">
      <c r="B967" s="101"/>
    </row>
    <row r="968" ht="15.75" customHeight="1">
      <c r="B968" s="101"/>
    </row>
    <row r="969" ht="15.75" customHeight="1">
      <c r="B969" s="101"/>
    </row>
    <row r="970" ht="15.75" customHeight="1">
      <c r="B970" s="101"/>
    </row>
    <row r="971" ht="15.75" customHeight="1">
      <c r="B971" s="101"/>
    </row>
    <row r="972" ht="15.75" customHeight="1">
      <c r="B972" s="101"/>
    </row>
    <row r="973" ht="15.75" customHeight="1">
      <c r="B973" s="101"/>
    </row>
    <row r="974" ht="15.75" customHeight="1">
      <c r="B974" s="101"/>
    </row>
    <row r="975" ht="15.75" customHeight="1">
      <c r="B975" s="101"/>
    </row>
    <row r="976" ht="15.75" customHeight="1">
      <c r="B976" s="101"/>
    </row>
    <row r="977" ht="15.75" customHeight="1">
      <c r="B977" s="101"/>
    </row>
    <row r="978" ht="15.75" customHeight="1">
      <c r="B978" s="101"/>
    </row>
    <row r="979" ht="15.75" customHeight="1">
      <c r="B979" s="101"/>
    </row>
    <row r="980" ht="15.75" customHeight="1">
      <c r="B980" s="101"/>
    </row>
    <row r="981" ht="15.75" customHeight="1">
      <c r="B981" s="101"/>
    </row>
    <row r="982" ht="15.75" customHeight="1">
      <c r="B982" s="101"/>
    </row>
    <row r="983" ht="15.75" customHeight="1">
      <c r="B983" s="101"/>
    </row>
    <row r="984" ht="15.75" customHeight="1">
      <c r="B984" s="101"/>
    </row>
    <row r="985" ht="15.75" customHeight="1">
      <c r="B985" s="101"/>
    </row>
    <row r="986" ht="15.75" customHeight="1">
      <c r="B986" s="101"/>
    </row>
    <row r="987" ht="15.75" customHeight="1">
      <c r="B987" s="101"/>
    </row>
    <row r="988" ht="15.75" customHeight="1">
      <c r="B988" s="101"/>
    </row>
    <row r="989" ht="15.75" customHeight="1">
      <c r="B989" s="101"/>
    </row>
    <row r="990" ht="15.75" customHeight="1">
      <c r="B990" s="101"/>
    </row>
    <row r="991" ht="15.75" customHeight="1">
      <c r="B991" s="101"/>
    </row>
    <row r="992" ht="15.75" customHeight="1">
      <c r="B992" s="101"/>
    </row>
    <row r="993" ht="15.75" customHeight="1">
      <c r="B993" s="101"/>
    </row>
    <row r="994" ht="15.75" customHeight="1">
      <c r="B994" s="101"/>
    </row>
    <row r="995" ht="15.75" customHeight="1">
      <c r="B995" s="101"/>
    </row>
    <row r="996" ht="15.75" customHeight="1">
      <c r="B996" s="101"/>
    </row>
    <row r="997" ht="15.75" customHeight="1">
      <c r="B997" s="101"/>
    </row>
    <row r="998" ht="15.75" customHeight="1">
      <c r="B998" s="101"/>
    </row>
    <row r="999" ht="15.75" customHeight="1">
      <c r="B999" s="101"/>
    </row>
    <row r="1000" ht="15.75" customHeight="1">
      <c r="B1000" s="10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